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ai\OneDrive\Desktop\Meridian\Data Samples for Labs\Bad Excel Demo\"/>
    </mc:Choice>
  </mc:AlternateContent>
  <xr:revisionPtr revIDLastSave="0" documentId="13_ncr:1_{D8C514AB-AB65-4F53-BFC7-CDF78D1EE948}" xr6:coauthVersionLast="47" xr6:coauthVersionMax="47" xr10:uidLastSave="{00000000-0000-0000-0000-000000000000}"/>
  <bookViews>
    <workbookView xWindow="34452" yWindow="-108" windowWidth="61656" windowHeight="25416" xr2:uid="{9AA1DE16-DE08-4021-B515-C806FF793018}"/>
  </bookViews>
  <sheets>
    <sheet name="1 - PPE Build" sheetId="1" r:id="rId1"/>
    <sheet name="2 - PPE Build" sheetId="4" r:id="rId2"/>
    <sheet name="3 - PPE Build" sheetId="2" r:id="rId3"/>
  </sheets>
  <definedNames>
    <definedName name="_xlnm.Print_Area" localSheetId="0">'1 - PPE Build'!$A$1:$E$27</definedName>
    <definedName name="_xlnm.Print_Area" localSheetId="1">'2 - PPE Build'!$B$2:$G$35</definedName>
    <definedName name="_xlnm.Print_Area" localSheetId="2">'3 - PPE Build'!$B$2:$G$57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4" l="1"/>
  <c r="F31" i="4"/>
  <c r="G31" i="4"/>
  <c r="H31" i="4"/>
  <c r="I31" i="4"/>
  <c r="J31" i="4"/>
  <c r="K31" i="4"/>
  <c r="L31" i="4"/>
  <c r="M31" i="4"/>
  <c r="N31" i="4"/>
  <c r="O31" i="4"/>
  <c r="D31" i="4"/>
  <c r="E30" i="4"/>
  <c r="F30" i="4"/>
  <c r="G30" i="4"/>
  <c r="H30" i="4"/>
  <c r="I30" i="4"/>
  <c r="J30" i="4"/>
  <c r="K30" i="4"/>
  <c r="L30" i="4"/>
  <c r="M30" i="4"/>
  <c r="N30" i="4"/>
  <c r="O30" i="4"/>
  <c r="D30" i="4"/>
  <c r="E29" i="4"/>
  <c r="F29" i="4"/>
  <c r="G29" i="4"/>
  <c r="H29" i="4"/>
  <c r="I29" i="4"/>
  <c r="J29" i="4"/>
  <c r="K29" i="4"/>
  <c r="L29" i="4"/>
  <c r="M29" i="4"/>
  <c r="N29" i="4"/>
  <c r="O29" i="4"/>
  <c r="D29" i="4"/>
  <c r="E24" i="4"/>
  <c r="F24" i="4"/>
  <c r="G24" i="4"/>
  <c r="H24" i="4"/>
  <c r="I24" i="4"/>
  <c r="J24" i="4"/>
  <c r="K24" i="4"/>
  <c r="L24" i="4"/>
  <c r="M24" i="4"/>
  <c r="N24" i="4"/>
  <c r="O24" i="4"/>
  <c r="D24" i="4"/>
  <c r="E23" i="4"/>
  <c r="F23" i="4"/>
  <c r="G23" i="4"/>
  <c r="H23" i="4"/>
  <c r="I23" i="4"/>
  <c r="J23" i="4"/>
  <c r="K23" i="4"/>
  <c r="L23" i="4"/>
  <c r="M23" i="4"/>
  <c r="N23" i="4"/>
  <c r="O23" i="4"/>
  <c r="D23" i="4"/>
  <c r="D21" i="4"/>
  <c r="E18" i="4" s="1"/>
  <c r="E21" i="4" s="1"/>
  <c r="M20" i="4"/>
  <c r="L20" i="4"/>
  <c r="K20" i="4"/>
  <c r="J20" i="4"/>
  <c r="I20" i="4"/>
  <c r="H20" i="4"/>
  <c r="G20" i="4"/>
  <c r="F20" i="4"/>
  <c r="E20" i="4"/>
  <c r="D20" i="4"/>
  <c r="D15" i="4"/>
  <c r="E12" i="4" s="1"/>
  <c r="E15" i="4" s="1"/>
  <c r="F12" i="4" s="1"/>
  <c r="F15" i="4" s="1"/>
  <c r="G12" i="4" s="1"/>
  <c r="G15" i="4" s="1"/>
  <c r="H12" i="4" s="1"/>
  <c r="H15" i="4" s="1"/>
  <c r="I12" i="4" s="1"/>
  <c r="I15" i="4" s="1"/>
  <c r="J12" i="4" s="1"/>
  <c r="J15" i="4" s="1"/>
  <c r="K12" i="4" s="1"/>
  <c r="K15" i="4" s="1"/>
  <c r="L12" i="4" s="1"/>
  <c r="L15" i="4" s="1"/>
  <c r="M12" i="4" s="1"/>
  <c r="M15" i="4" s="1"/>
  <c r="N12" i="4" s="1"/>
  <c r="N15" i="4" s="1"/>
  <c r="O12" i="4" s="1"/>
  <c r="O15" i="4" s="1"/>
  <c r="O14" i="4"/>
  <c r="N14" i="4"/>
  <c r="M14" i="4"/>
  <c r="L14" i="4"/>
  <c r="K14" i="4"/>
  <c r="J14" i="4"/>
  <c r="I14" i="4"/>
  <c r="H14" i="4"/>
  <c r="G14" i="4"/>
  <c r="F14" i="4"/>
  <c r="E14" i="4"/>
  <c r="D14" i="4"/>
  <c r="O8" i="4"/>
  <c r="N8" i="4"/>
  <c r="M8" i="4"/>
  <c r="L8" i="4"/>
  <c r="K8" i="4"/>
  <c r="J8" i="4"/>
  <c r="I8" i="4"/>
  <c r="H8" i="4"/>
  <c r="G8" i="4"/>
  <c r="F8" i="4"/>
  <c r="E8" i="4"/>
  <c r="D8" i="4"/>
  <c r="D9" i="4" s="1"/>
  <c r="E3" i="4"/>
  <c r="F3" i="4" s="1"/>
  <c r="C49" i="2"/>
  <c r="B49" i="2"/>
  <c r="C48" i="2"/>
  <c r="E48" i="2" s="1"/>
  <c r="B48" i="2"/>
  <c r="E47" i="2"/>
  <c r="E50" i="2" s="1"/>
  <c r="E20" i="2" s="1"/>
  <c r="C47" i="2"/>
  <c r="D47" i="2" s="1"/>
  <c r="D50" i="2" s="1"/>
  <c r="D20" i="2" s="1"/>
  <c r="D21" i="2" s="1"/>
  <c r="E18" i="2" s="1"/>
  <c r="C43" i="2"/>
  <c r="C42" i="2"/>
  <c r="E42" i="2" s="1"/>
  <c r="B42" i="2"/>
  <c r="B43" i="2" s="1"/>
  <c r="C41" i="2"/>
  <c r="D41" i="2" s="1"/>
  <c r="D44" i="2" s="1"/>
  <c r="D14" i="2" s="1"/>
  <c r="D15" i="2" s="1"/>
  <c r="E12" i="2" s="1"/>
  <c r="C37" i="2"/>
  <c r="B37" i="2"/>
  <c r="C36" i="2"/>
  <c r="E36" i="2" s="1"/>
  <c r="B36" i="2"/>
  <c r="C35" i="2"/>
  <c r="D35" i="2" s="1"/>
  <c r="D38" i="2" s="1"/>
  <c r="D23" i="2"/>
  <c r="E3" i="2"/>
  <c r="F3" i="2" s="1"/>
  <c r="K14" i="1"/>
  <c r="K24" i="1" s="1"/>
  <c r="J14" i="1"/>
  <c r="J24" i="1" s="1"/>
  <c r="E14" i="1"/>
  <c r="E24" i="1" s="1"/>
  <c r="F14" i="1"/>
  <c r="F24" i="1" s="1"/>
  <c r="G14" i="1"/>
  <c r="G24" i="1" s="1"/>
  <c r="H14" i="1"/>
  <c r="H24" i="1" s="1"/>
  <c r="I14" i="1"/>
  <c r="D14" i="1"/>
  <c r="D24" i="1" s="1"/>
  <c r="C14" i="1"/>
  <c r="I24" i="1"/>
  <c r="L24" i="1"/>
  <c r="M24" i="1"/>
  <c r="B14" i="1"/>
  <c r="B24" i="1" s="1"/>
  <c r="M9" i="1"/>
  <c r="L9" i="1"/>
  <c r="E9" i="1"/>
  <c r="F9" i="1"/>
  <c r="G9" i="1"/>
  <c r="H9" i="1"/>
  <c r="I9" i="1"/>
  <c r="J9" i="1"/>
  <c r="K9" i="1"/>
  <c r="D9" i="1"/>
  <c r="C9" i="1"/>
  <c r="B9" i="1"/>
  <c r="B23" i="1" s="1"/>
  <c r="M4" i="1"/>
  <c r="M22" i="1" s="1"/>
  <c r="L4" i="1"/>
  <c r="L22" i="1" s="1"/>
  <c r="K4" i="1"/>
  <c r="K22" i="1" s="1"/>
  <c r="J4" i="1"/>
  <c r="J22" i="1" s="1"/>
  <c r="I4" i="1"/>
  <c r="I22" i="1" s="1"/>
  <c r="H4" i="1"/>
  <c r="H22" i="1" s="1"/>
  <c r="G4" i="1"/>
  <c r="G22" i="1" s="1"/>
  <c r="F4" i="1"/>
  <c r="F22" i="1" s="1"/>
  <c r="E4" i="1"/>
  <c r="E22" i="1" s="1"/>
  <c r="D4" i="1"/>
  <c r="D22" i="1" s="1"/>
  <c r="F18" i="4" l="1"/>
  <c r="F21" i="4" s="1"/>
  <c r="D25" i="4"/>
  <c r="E6" i="4"/>
  <c r="E9" i="4" s="1"/>
  <c r="F6" i="4" s="1"/>
  <c r="F9" i="4" s="1"/>
  <c r="G6" i="4" s="1"/>
  <c r="G9" i="4" s="1"/>
  <c r="H6" i="4" s="1"/>
  <c r="H9" i="4" s="1"/>
  <c r="I6" i="4" s="1"/>
  <c r="I9" i="4" s="1"/>
  <c r="J6" i="4" s="1"/>
  <c r="J9" i="4" s="1"/>
  <c r="K6" i="4" s="1"/>
  <c r="K9" i="4" s="1"/>
  <c r="L6" i="4" s="1"/>
  <c r="L9" i="4" s="1"/>
  <c r="M6" i="4" s="1"/>
  <c r="M9" i="4" s="1"/>
  <c r="N6" i="4" s="1"/>
  <c r="N9" i="4" s="1"/>
  <c r="O6" i="4" s="1"/>
  <c r="O9" i="4" s="1"/>
  <c r="G3" i="4"/>
  <c r="E21" i="2"/>
  <c r="F18" i="2" s="1"/>
  <c r="E35" i="2"/>
  <c r="E38" i="2" s="1"/>
  <c r="D52" i="2"/>
  <c r="D8" i="2"/>
  <c r="G3" i="2"/>
  <c r="F48" i="2"/>
  <c r="F41" i="2"/>
  <c r="F49" i="2"/>
  <c r="F47" i="2"/>
  <c r="F50" i="2" s="1"/>
  <c r="F20" i="2" s="1"/>
  <c r="F21" i="2" s="1"/>
  <c r="G18" i="2" s="1"/>
  <c r="F35" i="2"/>
  <c r="F37" i="2"/>
  <c r="F42" i="2"/>
  <c r="F43" i="2"/>
  <c r="F36" i="2"/>
  <c r="E8" i="2"/>
  <c r="E23" i="2"/>
  <c r="E41" i="2"/>
  <c r="E44" i="2" s="1"/>
  <c r="E14" i="2" s="1"/>
  <c r="E15" i="2" s="1"/>
  <c r="F12" i="2" s="1"/>
  <c r="G18" i="4" l="1"/>
  <c r="G21" i="4" s="1"/>
  <c r="E25" i="4"/>
  <c r="H3" i="4"/>
  <c r="F38" i="2"/>
  <c r="E52" i="2"/>
  <c r="F44" i="2"/>
  <c r="F14" i="2" s="1"/>
  <c r="F15" i="2" s="1"/>
  <c r="G12" i="2" s="1"/>
  <c r="G43" i="2"/>
  <c r="H3" i="2"/>
  <c r="G41" i="2"/>
  <c r="G47" i="2"/>
  <c r="G49" i="2"/>
  <c r="G37" i="2"/>
  <c r="G42" i="2"/>
  <c r="G48" i="2"/>
  <c r="G36" i="2"/>
  <c r="G35" i="2"/>
  <c r="G38" i="2" s="1"/>
  <c r="D9" i="2"/>
  <c r="E6" i="2" s="1"/>
  <c r="E9" i="2" s="1"/>
  <c r="F6" i="2" s="1"/>
  <c r="D24" i="2"/>
  <c r="F23" i="2"/>
  <c r="H18" i="4" l="1"/>
  <c r="H21" i="4" s="1"/>
  <c r="F25" i="4"/>
  <c r="I3" i="4"/>
  <c r="D26" i="4"/>
  <c r="G8" i="2"/>
  <c r="G23" i="2"/>
  <c r="E24" i="2"/>
  <c r="D25" i="2"/>
  <c r="D26" i="2" s="1"/>
  <c r="G44" i="2"/>
  <c r="G14" i="2" s="1"/>
  <c r="G15" i="2" s="1"/>
  <c r="H12" i="2" s="1"/>
  <c r="H15" i="2" s="1"/>
  <c r="I12" i="2" s="1"/>
  <c r="H48" i="2"/>
  <c r="H36" i="2"/>
  <c r="H43" i="2"/>
  <c r="I3" i="2"/>
  <c r="H37" i="2"/>
  <c r="H42" i="2"/>
  <c r="H49" i="2"/>
  <c r="H41" i="2"/>
  <c r="H44" i="2" s="1"/>
  <c r="H14" i="2" s="1"/>
  <c r="H47" i="2"/>
  <c r="H35" i="2"/>
  <c r="G50" i="2"/>
  <c r="G20" i="2" s="1"/>
  <c r="G21" i="2" s="1"/>
  <c r="H18" i="2" s="1"/>
  <c r="F52" i="2"/>
  <c r="F8" i="2"/>
  <c r="F9" i="2" s="1"/>
  <c r="G6" i="2" s="1"/>
  <c r="G9" i="2" s="1"/>
  <c r="H6" i="2" s="1"/>
  <c r="I18" i="4" l="1"/>
  <c r="I21" i="4" s="1"/>
  <c r="G25" i="4"/>
  <c r="E26" i="4"/>
  <c r="J3" i="4"/>
  <c r="H50" i="2"/>
  <c r="H20" i="2" s="1"/>
  <c r="H21" i="2" s="1"/>
  <c r="I18" i="2" s="1"/>
  <c r="H38" i="2"/>
  <c r="H8" i="2"/>
  <c r="H9" i="2" s="1"/>
  <c r="I6" i="2" s="1"/>
  <c r="F24" i="2"/>
  <c r="E25" i="2"/>
  <c r="E26" i="2" s="1"/>
  <c r="I43" i="2"/>
  <c r="J3" i="2"/>
  <c r="I48" i="2"/>
  <c r="I36" i="2"/>
  <c r="I42" i="2"/>
  <c r="I47" i="2"/>
  <c r="I35" i="2"/>
  <c r="I49" i="2"/>
  <c r="I41" i="2"/>
  <c r="I44" i="2" s="1"/>
  <c r="I14" i="2" s="1"/>
  <c r="I15" i="2" s="1"/>
  <c r="J12" i="2" s="1"/>
  <c r="I37" i="2"/>
  <c r="H23" i="2"/>
  <c r="G52" i="2"/>
  <c r="J18" i="4" l="1"/>
  <c r="J21" i="4" s="1"/>
  <c r="H25" i="4"/>
  <c r="K3" i="4"/>
  <c r="F26" i="4"/>
  <c r="H52" i="2"/>
  <c r="I23" i="2"/>
  <c r="I38" i="2"/>
  <c r="J37" i="2"/>
  <c r="J35" i="2"/>
  <c r="J48" i="2"/>
  <c r="J36" i="2"/>
  <c r="J49" i="2"/>
  <c r="J42" i="2"/>
  <c r="J41" i="2"/>
  <c r="J43" i="2"/>
  <c r="J47" i="2"/>
  <c r="K3" i="2"/>
  <c r="I50" i="2"/>
  <c r="I20" i="2" s="1"/>
  <c r="I21" i="2" s="1"/>
  <c r="J18" i="2" s="1"/>
  <c r="G24" i="2"/>
  <c r="F25" i="2"/>
  <c r="F26" i="2" s="1"/>
  <c r="K18" i="4" l="1"/>
  <c r="K21" i="4" s="1"/>
  <c r="I25" i="4"/>
  <c r="G26" i="4"/>
  <c r="L3" i="4"/>
  <c r="J50" i="2"/>
  <c r="J20" i="2" s="1"/>
  <c r="J21" i="2" s="1"/>
  <c r="K18" i="2" s="1"/>
  <c r="H24" i="2"/>
  <c r="G25" i="2"/>
  <c r="G26" i="2" s="1"/>
  <c r="K48" i="2"/>
  <c r="K36" i="2"/>
  <c r="K41" i="2"/>
  <c r="K35" i="2"/>
  <c r="K42" i="2"/>
  <c r="K47" i="2"/>
  <c r="K37" i="2"/>
  <c r="K49" i="2"/>
  <c r="L3" i="2"/>
  <c r="K43" i="2"/>
  <c r="J44" i="2"/>
  <c r="J14" i="2" s="1"/>
  <c r="J15" i="2" s="1"/>
  <c r="K12" i="2" s="1"/>
  <c r="J38" i="2"/>
  <c r="I52" i="2"/>
  <c r="I8" i="2"/>
  <c r="I9" i="2" s="1"/>
  <c r="J6" i="2" s="1"/>
  <c r="J23" i="2"/>
  <c r="L18" i="4" l="1"/>
  <c r="L21" i="4" s="1"/>
  <c r="J25" i="4"/>
  <c r="H26" i="4"/>
  <c r="M3" i="4"/>
  <c r="K23" i="2"/>
  <c r="L37" i="2"/>
  <c r="L35" i="2"/>
  <c r="L41" i="2"/>
  <c r="L49" i="2"/>
  <c r="L48" i="2"/>
  <c r="L42" i="2"/>
  <c r="L47" i="2"/>
  <c r="L36" i="2"/>
  <c r="L43" i="2"/>
  <c r="M3" i="2"/>
  <c r="K50" i="2"/>
  <c r="K20" i="2" s="1"/>
  <c r="K21" i="2" s="1"/>
  <c r="L18" i="2" s="1"/>
  <c r="K44" i="2"/>
  <c r="K14" i="2" s="1"/>
  <c r="K15" i="2" s="1"/>
  <c r="L12" i="2" s="1"/>
  <c r="J8" i="2"/>
  <c r="J9" i="2" s="1"/>
  <c r="K6" i="2" s="1"/>
  <c r="J52" i="2"/>
  <c r="K38" i="2"/>
  <c r="I24" i="2"/>
  <c r="H25" i="2"/>
  <c r="H26" i="2" s="1"/>
  <c r="M18" i="4" l="1"/>
  <c r="M21" i="4" s="1"/>
  <c r="K25" i="4"/>
  <c r="N3" i="4"/>
  <c r="I26" i="4"/>
  <c r="L50" i="2"/>
  <c r="L20" i="2" s="1"/>
  <c r="M35" i="2"/>
  <c r="M41" i="2"/>
  <c r="M42" i="2"/>
  <c r="N3" i="2"/>
  <c r="M37" i="2"/>
  <c r="M48" i="2"/>
  <c r="M49" i="2"/>
  <c r="M47" i="2"/>
  <c r="M43" i="2"/>
  <c r="M36" i="2"/>
  <c r="L38" i="2"/>
  <c r="K8" i="2"/>
  <c r="K9" i="2" s="1"/>
  <c r="L6" i="2" s="1"/>
  <c r="K52" i="2"/>
  <c r="L21" i="2"/>
  <c r="M18" i="2" s="1"/>
  <c r="L44" i="2"/>
  <c r="L14" i="2" s="1"/>
  <c r="L15" i="2" s="1"/>
  <c r="M12" i="2" s="1"/>
  <c r="J24" i="2"/>
  <c r="I25" i="2"/>
  <c r="I26" i="2" s="1"/>
  <c r="L23" i="2"/>
  <c r="N18" i="4" l="1"/>
  <c r="N21" i="4" s="1"/>
  <c r="L25" i="4"/>
  <c r="O3" i="4"/>
  <c r="J26" i="4"/>
  <c r="M23" i="2"/>
  <c r="N41" i="2"/>
  <c r="N37" i="2"/>
  <c r="O3" i="2"/>
  <c r="N36" i="2"/>
  <c r="N35" i="2"/>
  <c r="N49" i="2"/>
  <c r="N47" i="2"/>
  <c r="N48" i="2"/>
  <c r="N42" i="2"/>
  <c r="N43" i="2"/>
  <c r="K24" i="2"/>
  <c r="J25" i="2"/>
  <c r="J26" i="2" s="1"/>
  <c r="L52" i="2"/>
  <c r="L8" i="2"/>
  <c r="L9" i="2" s="1"/>
  <c r="M6" i="2" s="1"/>
  <c r="M50" i="2"/>
  <c r="M20" i="2" s="1"/>
  <c r="M21" i="2" s="1"/>
  <c r="N18" i="2" s="1"/>
  <c r="M44" i="2"/>
  <c r="M14" i="2" s="1"/>
  <c r="M15" i="2" s="1"/>
  <c r="N12" i="2" s="1"/>
  <c r="M38" i="2"/>
  <c r="O18" i="4" l="1"/>
  <c r="O21" i="4" s="1"/>
  <c r="M25" i="4"/>
  <c r="K26" i="4"/>
  <c r="N38" i="2"/>
  <c r="N8" i="2"/>
  <c r="O42" i="2"/>
  <c r="O35" i="2"/>
  <c r="O43" i="2"/>
  <c r="O36" i="2"/>
  <c r="O49" i="2"/>
  <c r="O37" i="2"/>
  <c r="O47" i="2"/>
  <c r="O48" i="2"/>
  <c r="O41" i="2"/>
  <c r="O44" i="2" s="1"/>
  <c r="O14" i="2" s="1"/>
  <c r="L24" i="2"/>
  <c r="K25" i="2"/>
  <c r="K26" i="2" s="1"/>
  <c r="N50" i="2"/>
  <c r="N20" i="2" s="1"/>
  <c r="N21" i="2" s="1"/>
  <c r="O18" i="2" s="1"/>
  <c r="N44" i="2"/>
  <c r="N14" i="2" s="1"/>
  <c r="N15" i="2" s="1"/>
  <c r="O12" i="2" s="1"/>
  <c r="O15" i="2" s="1"/>
  <c r="N23" i="2"/>
  <c r="M8" i="2"/>
  <c r="M9" i="2" s="1"/>
  <c r="N6" i="2" s="1"/>
  <c r="M52" i="2"/>
  <c r="N25" i="4" l="1"/>
  <c r="O25" i="4"/>
  <c r="L26" i="4"/>
  <c r="O50" i="2"/>
  <c r="O20" i="2" s="1"/>
  <c r="O21" i="2" s="1"/>
  <c r="M24" i="2"/>
  <c r="L25" i="2"/>
  <c r="L26" i="2" s="1"/>
  <c r="O38" i="2"/>
  <c r="O23" i="2"/>
  <c r="N52" i="2"/>
  <c r="N9" i="2"/>
  <c r="O6" i="2" s="1"/>
  <c r="M26" i="4" l="1"/>
  <c r="O52" i="2"/>
  <c r="O8" i="2"/>
  <c r="O9" i="2" s="1"/>
  <c r="N24" i="2"/>
  <c r="M25" i="2"/>
  <c r="M26" i="2" s="1"/>
  <c r="O26" i="4" l="1"/>
  <c r="N26" i="4"/>
  <c r="O24" i="2"/>
  <c r="O25" i="2" s="1"/>
  <c r="O26" i="2" s="1"/>
  <c r="N25" i="2"/>
  <c r="N26" i="2" s="1"/>
  <c r="C4" i="1" l="1"/>
  <c r="C22" i="1" s="1"/>
  <c r="B4" i="1"/>
  <c r="B22" i="1" s="1"/>
  <c r="B17" i="1" l="1"/>
  <c r="B15" i="1"/>
  <c r="C12" i="1" s="1"/>
  <c r="C24" i="1" s="1"/>
  <c r="C1" i="1"/>
  <c r="D1" i="1" l="1"/>
  <c r="C17" i="1"/>
  <c r="B10" i="1"/>
  <c r="C7" i="1" s="1"/>
  <c r="C23" i="1" s="1"/>
  <c r="E1" i="1" l="1"/>
  <c r="C10" i="1"/>
  <c r="D7" i="1" s="1"/>
  <c r="D23" i="1" s="1"/>
  <c r="B5" i="1"/>
  <c r="C2" i="1" s="1"/>
  <c r="B18" i="1"/>
  <c r="D17" i="1"/>
  <c r="C15" i="1"/>
  <c r="D12" i="1" s="1"/>
  <c r="D10" i="1" l="1"/>
  <c r="E7" i="1" s="1"/>
  <c r="E23" i="1" s="1"/>
  <c r="F1" i="1"/>
  <c r="E17" i="1"/>
  <c r="F17" i="1" s="1"/>
  <c r="B19" i="1"/>
  <c r="D15" i="1"/>
  <c r="E12" i="1" s="1"/>
  <c r="G1" i="1" l="1"/>
  <c r="E15" i="1"/>
  <c r="F12" i="1" s="1"/>
  <c r="E10" i="1"/>
  <c r="F7" i="1" s="1"/>
  <c r="F23" i="1" s="1"/>
  <c r="G17" i="1"/>
  <c r="C5" i="1"/>
  <c r="D2" i="1" s="1"/>
  <c r="F10" i="1" l="1"/>
  <c r="G7" i="1" s="1"/>
  <c r="G23" i="1" s="1"/>
  <c r="F15" i="1"/>
  <c r="G12" i="1" s="1"/>
  <c r="H1" i="1"/>
  <c r="H17" i="1"/>
  <c r="C18" i="1"/>
  <c r="C19" i="1" s="1"/>
  <c r="G10" i="1" l="1"/>
  <c r="H7" i="1" s="1"/>
  <c r="H23" i="1" s="1"/>
  <c r="G15" i="1"/>
  <c r="H12" i="1" s="1"/>
  <c r="I1" i="1"/>
  <c r="I17" i="1"/>
  <c r="D18" i="1"/>
  <c r="D19" i="1" s="1"/>
  <c r="D5" i="1"/>
  <c r="E2" i="1" s="1"/>
  <c r="J1" i="1" l="1"/>
  <c r="H10" i="1"/>
  <c r="I7" i="1" s="1"/>
  <c r="I23" i="1" s="1"/>
  <c r="H15" i="1"/>
  <c r="I12" i="1" s="1"/>
  <c r="J17" i="1"/>
  <c r="E5" i="1"/>
  <c r="F2" i="1" s="1"/>
  <c r="F5" i="1" s="1"/>
  <c r="G2" i="1" s="1"/>
  <c r="E18" i="1"/>
  <c r="I15" i="1" l="1"/>
  <c r="J12" i="1" s="1"/>
  <c r="I10" i="1"/>
  <c r="J7" i="1" s="1"/>
  <c r="J23" i="1" s="1"/>
  <c r="K1" i="1"/>
  <c r="G5" i="1"/>
  <c r="H2" i="1" s="1"/>
  <c r="H5" i="1" s="1"/>
  <c r="I2" i="1" s="1"/>
  <c r="E19" i="1"/>
  <c r="F18" i="1"/>
  <c r="K17" i="1"/>
  <c r="J10" i="1" l="1"/>
  <c r="K7" i="1" s="1"/>
  <c r="J15" i="1"/>
  <c r="K12" i="1" s="1"/>
  <c r="K15" i="1" s="1"/>
  <c r="L1" i="1"/>
  <c r="I5" i="1"/>
  <c r="J2" i="1" s="1"/>
  <c r="L17" i="1"/>
  <c r="G18" i="1"/>
  <c r="F19" i="1"/>
  <c r="K23" i="1" l="1"/>
  <c r="K10" i="1"/>
  <c r="L7" i="1" s="1"/>
  <c r="L23" i="1" s="1"/>
  <c r="M1" i="1"/>
  <c r="L12" i="1"/>
  <c r="L15" i="1" s="1"/>
  <c r="J5" i="1"/>
  <c r="K2" i="1" s="1"/>
  <c r="K5" i="1" s="1"/>
  <c r="L2" i="1" s="1"/>
  <c r="H18" i="1"/>
  <c r="G19" i="1"/>
  <c r="M17" i="1"/>
  <c r="M12" i="1" l="1"/>
  <c r="M15" i="1" s="1"/>
  <c r="L10" i="1"/>
  <c r="M7" i="1" s="1"/>
  <c r="M23" i="1" s="1"/>
  <c r="I18" i="1"/>
  <c r="H19" i="1"/>
  <c r="M10" i="1" l="1"/>
  <c r="L5" i="1"/>
  <c r="M2" i="1" s="1"/>
  <c r="J18" i="1"/>
  <c r="I19" i="1"/>
  <c r="M5" i="1" l="1"/>
  <c r="K18" i="1"/>
  <c r="J19" i="1"/>
  <c r="L18" i="1" l="1"/>
  <c r="K19" i="1"/>
  <c r="M18" i="1" l="1"/>
  <c r="M19" i="1" s="1"/>
  <c r="L19" i="1"/>
</calcChain>
</file>

<file path=xl/sharedStrings.xml><?xml version="1.0" encoding="utf-8"?>
<sst xmlns="http://schemas.openxmlformats.org/spreadsheetml/2006/main" count="76" uniqueCount="30">
  <si>
    <t>($ in millions)</t>
  </si>
  <si>
    <t>Buildings:</t>
  </si>
  <si>
    <t>Beginning Net Book Value</t>
  </si>
  <si>
    <t>(+) Additions</t>
  </si>
  <si>
    <t>(-) Depreciation</t>
  </si>
  <si>
    <t>Ending Net Book Value</t>
  </si>
  <si>
    <t>Machinery:</t>
  </si>
  <si>
    <t>Equipment:</t>
  </si>
  <si>
    <t>Memo: Depreciation Schedule</t>
  </si>
  <si>
    <t>Useful Life - Buildings</t>
  </si>
  <si>
    <t>Useful Life - Machinery</t>
  </si>
  <si>
    <t>Useful Life - Equipment</t>
  </si>
  <si>
    <t>Net PP&amp;E</t>
  </si>
  <si>
    <t>(-) Accumulated Depreciation</t>
  </si>
  <si>
    <t>Check</t>
  </si>
  <si>
    <t>Gross PP&amp;E</t>
  </si>
  <si>
    <t>Fiscal Year</t>
  </si>
  <si>
    <t>Depreciation - Buildings:</t>
  </si>
  <si>
    <t>Total Depreciation - Buildings</t>
  </si>
  <si>
    <t>Depreciation - Machinery:</t>
  </si>
  <si>
    <t>Total Depreciation - Machinery</t>
  </si>
  <si>
    <t>Depreciation - Equipment:</t>
  </si>
  <si>
    <t>Total Depreciation - Equipment</t>
  </si>
  <si>
    <t>Total Depreciation Expense</t>
  </si>
  <si>
    <t>Additions</t>
  </si>
  <si>
    <t>Buildings</t>
  </si>
  <si>
    <t>Machinery</t>
  </si>
  <si>
    <t>Equipment</t>
  </si>
  <si>
    <t>Depreciation</t>
  </si>
  <si>
    <t>Accumulated 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</si>
</sst>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_);\(&quot;$&quot;#,##0.0\)"/>
    <numFmt numFmtId="165" formatCode="#,##0.0_);\(#,##0.0\);&quot;--&quot;"/>
    <numFmt numFmtId="166" formatCode="0\ &quot;years&quot;"/>
    <numFmt numFmtId="167" formatCode="&quot;Year &quot;0"/>
    <numFmt numFmtId="168" formatCode="&quot;$&quot;#,##0.0_);\(&quot;$&quot;#,##0.0\);&quot;--&quot;"/>
    <numFmt numFmtId="169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1B4D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/>
    </xf>
    <xf numFmtId="164" fontId="4" fillId="0" borderId="0" xfId="0" applyNumberFormat="1" applyFont="1"/>
    <xf numFmtId="164" fontId="1" fillId="0" borderId="0" xfId="0" applyNumberFormat="1" applyFont="1"/>
    <xf numFmtId="165" fontId="4" fillId="0" borderId="0" xfId="0" applyNumberFormat="1" applyFont="1"/>
    <xf numFmtId="0" fontId="1" fillId="0" borderId="0" xfId="0" quotePrefix="1" applyFont="1" applyAlignment="1">
      <alignment horizontal="left" indent="1"/>
    </xf>
    <xf numFmtId="0" fontId="5" fillId="0" borderId="0" xfId="0" applyFont="1"/>
    <xf numFmtId="0" fontId="5" fillId="0" borderId="1" xfId="0" applyFont="1" applyBorder="1"/>
    <xf numFmtId="165" fontId="6" fillId="0" borderId="0" xfId="0" applyNumberFormat="1" applyFont="1"/>
    <xf numFmtId="164" fontId="5" fillId="0" borderId="1" xfId="0" applyNumberFormat="1" applyFont="1" applyBorder="1"/>
    <xf numFmtId="0" fontId="5" fillId="3" borderId="2" xfId="0" applyFont="1" applyFill="1" applyBorder="1"/>
    <xf numFmtId="165" fontId="1" fillId="0" borderId="0" xfId="0" applyNumberFormat="1" applyFont="1"/>
    <xf numFmtId="164" fontId="5" fillId="3" borderId="3" xfId="0" applyNumberFormat="1" applyFont="1" applyFill="1" applyBorder="1"/>
    <xf numFmtId="164" fontId="5" fillId="3" borderId="4" xfId="0" applyNumberFormat="1" applyFont="1" applyFill="1" applyBorder="1"/>
    <xf numFmtId="0" fontId="3" fillId="0" borderId="0" xfId="0" applyFont="1" applyAlignment="1">
      <alignment horizontal="left" indent="1"/>
    </xf>
    <xf numFmtId="165" fontId="3" fillId="0" borderId="0" xfId="0" applyNumberFormat="1" applyFont="1"/>
    <xf numFmtId="0" fontId="2" fillId="2" borderId="5" xfId="0" applyFont="1" applyFill="1" applyBorder="1" applyAlignment="1">
      <alignment horizontal="centerContinuous"/>
    </xf>
    <xf numFmtId="0" fontId="1" fillId="2" borderId="5" xfId="0" applyFont="1" applyFill="1" applyBorder="1" applyAlignment="1">
      <alignment horizontal="centerContinuous"/>
    </xf>
    <xf numFmtId="166" fontId="4" fillId="0" borderId="0" xfId="0" applyNumberFormat="1" applyFont="1"/>
    <xf numFmtId="0" fontId="7" fillId="0" borderId="0" xfId="0" applyFont="1"/>
    <xf numFmtId="164" fontId="5" fillId="0" borderId="0" xfId="0" applyNumberFormat="1" applyFont="1"/>
    <xf numFmtId="167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5" fillId="3" borderId="3" xfId="0" applyFont="1" applyFill="1" applyBorder="1"/>
    <xf numFmtId="167" fontId="5" fillId="0" borderId="0" xfId="0" applyNumberFormat="1" applyFont="1" applyAlignment="1">
      <alignment horizontal="left"/>
    </xf>
    <xf numFmtId="0" fontId="7" fillId="3" borderId="3" xfId="0" applyFont="1" applyFill="1" applyBorder="1"/>
    <xf numFmtId="168" fontId="1" fillId="0" borderId="0" xfId="0" applyNumberFormat="1" applyFont="1"/>
    <xf numFmtId="0" fontId="8" fillId="0" borderId="0" xfId="0" applyFont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6DB4-8514-466D-905B-906F32FDE9E1}">
  <sheetPr>
    <pageSetUpPr fitToPage="1"/>
  </sheetPr>
  <dimension ref="A1:M248"/>
  <sheetViews>
    <sheetView showGridLines="0" tabSelected="1" zoomScaleNormal="100" zoomScaleSheetLayoutView="100" workbookViewId="0"/>
  </sheetViews>
  <sheetFormatPr defaultColWidth="8.86328125" defaultRowHeight="13.5" x14ac:dyDescent="0.35"/>
  <cols>
    <col min="1" max="1" width="38.19921875" style="1" bestFit="1" customWidth="1"/>
    <col min="2" max="13" width="11.796875" style="1" customWidth="1"/>
    <col min="14" max="16384" width="8.86328125" style="1"/>
  </cols>
  <sheetData>
    <row r="1" spans="1:13" ht="15" customHeight="1" x14ac:dyDescent="0.45">
      <c r="A1"/>
      <c r="B1" s="29">
        <v>2021</v>
      </c>
      <c r="C1" s="29">
        <f>B1+1</f>
        <v>2022</v>
      </c>
      <c r="D1" s="29">
        <f t="shared" ref="D1:E1" si="0">C1+1</f>
        <v>2023</v>
      </c>
      <c r="E1" s="29">
        <f t="shared" si="0"/>
        <v>2024</v>
      </c>
      <c r="F1" s="29">
        <f t="shared" ref="F1" si="1">E1+1</f>
        <v>2025</v>
      </c>
      <c r="G1" s="29">
        <f t="shared" ref="G1" si="2">F1+1</f>
        <v>2026</v>
      </c>
      <c r="H1" s="29">
        <f t="shared" ref="H1" si="3">G1+1</f>
        <v>2027</v>
      </c>
      <c r="I1" s="29">
        <f t="shared" ref="I1" si="4">H1+1</f>
        <v>2028</v>
      </c>
      <c r="J1" s="29">
        <f t="shared" ref="J1" si="5">I1+1</f>
        <v>2029</v>
      </c>
      <c r="K1" s="29">
        <f t="shared" ref="K1" si="6">J1+1</f>
        <v>2030</v>
      </c>
      <c r="L1" s="29">
        <f t="shared" ref="L1" si="7">K1+1</f>
        <v>2031</v>
      </c>
      <c r="M1" s="29">
        <f t="shared" ref="M1" si="8">L1+1</f>
        <v>2032</v>
      </c>
    </row>
    <row r="2" spans="1:13" ht="15" customHeight="1" x14ac:dyDescent="0.45">
      <c r="A2" t="s">
        <v>2</v>
      </c>
      <c r="B2">
        <v>60.2</v>
      </c>
      <c r="C2">
        <f>B5</f>
        <v>65.28</v>
      </c>
      <c r="D2">
        <f t="shared" ref="D2:E2" si="9">C5</f>
        <v>70.72</v>
      </c>
      <c r="E2">
        <f t="shared" si="9"/>
        <v>76.875999999999991</v>
      </c>
      <c r="F2">
        <f t="shared" ref="F2" si="10">E5</f>
        <v>73.431999999999988</v>
      </c>
      <c r="G2">
        <f t="shared" ref="G2" si="11">F5</f>
        <v>69.987999999999985</v>
      </c>
      <c r="H2">
        <f t="shared" ref="H2" si="12">G5</f>
        <v>66.543999999999983</v>
      </c>
      <c r="I2">
        <f t="shared" ref="I2" si="13">H5</f>
        <v>63.09999999999998</v>
      </c>
      <c r="J2">
        <f t="shared" ref="J2" si="14">I5</f>
        <v>59.655999999999977</v>
      </c>
      <c r="K2">
        <f t="shared" ref="K2" si="15">J5</f>
        <v>56.211999999999975</v>
      </c>
      <c r="L2">
        <f t="shared" ref="L2" si="16">K5</f>
        <v>52.767999999999972</v>
      </c>
      <c r="M2">
        <f t="shared" ref="M2" si="17">L5</f>
        <v>49.32399999999997</v>
      </c>
    </row>
    <row r="3" spans="1:13" ht="15" customHeight="1" x14ac:dyDescent="0.45">
      <c r="A3" t="s">
        <v>24</v>
      </c>
      <c r="B3">
        <v>7.8</v>
      </c>
      <c r="C3">
        <v>8.5</v>
      </c>
      <c r="D3">
        <v>9.6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ht="15" customHeight="1" x14ac:dyDescent="0.45">
      <c r="A4" t="s">
        <v>28</v>
      </c>
      <c r="B4">
        <f>-(60.2+7.8)/25</f>
        <v>-2.72</v>
      </c>
      <c r="C4">
        <f>-(60.2+7.8+8.5)/25</f>
        <v>-3.06</v>
      </c>
      <c r="D4">
        <f>-(60.2+7.8+8.5+9.6)/25</f>
        <v>-3.444</v>
      </c>
      <c r="E4">
        <f t="shared" ref="E4:M4" si="18">-(60.2+7.8+8.5+9.6)/25</f>
        <v>-3.444</v>
      </c>
      <c r="F4">
        <f t="shared" si="18"/>
        <v>-3.444</v>
      </c>
      <c r="G4">
        <f t="shared" si="18"/>
        <v>-3.444</v>
      </c>
      <c r="H4">
        <f t="shared" si="18"/>
        <v>-3.444</v>
      </c>
      <c r="I4">
        <f t="shared" si="18"/>
        <v>-3.444</v>
      </c>
      <c r="J4">
        <f t="shared" si="18"/>
        <v>-3.444</v>
      </c>
      <c r="K4">
        <f t="shared" si="18"/>
        <v>-3.444</v>
      </c>
      <c r="L4">
        <f t="shared" si="18"/>
        <v>-3.444</v>
      </c>
      <c r="M4">
        <f t="shared" si="18"/>
        <v>-3.444</v>
      </c>
    </row>
    <row r="5" spans="1:13" ht="15" customHeight="1" x14ac:dyDescent="0.45">
      <c r="A5" t="s">
        <v>5</v>
      </c>
      <c r="B5">
        <f>SUM(B2:B4)</f>
        <v>65.28</v>
      </c>
      <c r="C5">
        <f t="shared" ref="C5:E5" si="19">SUM(C2:C4)</f>
        <v>70.72</v>
      </c>
      <c r="D5">
        <f t="shared" si="19"/>
        <v>76.875999999999991</v>
      </c>
      <c r="E5">
        <f t="shared" si="19"/>
        <v>73.431999999999988</v>
      </c>
      <c r="F5">
        <f t="shared" ref="F5:M5" si="20">SUM(F2:F4)</f>
        <v>69.987999999999985</v>
      </c>
      <c r="G5">
        <f t="shared" si="20"/>
        <v>66.543999999999983</v>
      </c>
      <c r="H5">
        <f t="shared" si="20"/>
        <v>63.09999999999998</v>
      </c>
      <c r="I5">
        <f t="shared" si="20"/>
        <v>59.655999999999977</v>
      </c>
      <c r="J5">
        <f t="shared" si="20"/>
        <v>56.211999999999975</v>
      </c>
      <c r="K5">
        <f t="shared" si="20"/>
        <v>52.767999999999972</v>
      </c>
      <c r="L5">
        <f t="shared" si="20"/>
        <v>49.32399999999997</v>
      </c>
      <c r="M5">
        <f t="shared" si="20"/>
        <v>45.879999999999967</v>
      </c>
    </row>
    <row r="6" spans="1:13" ht="15" customHeight="1" x14ac:dyDescent="0.45">
      <c r="A6"/>
      <c r="B6"/>
      <c r="C6"/>
      <c r="D6"/>
      <c r="E6"/>
      <c r="F6"/>
      <c r="G6"/>
      <c r="H6"/>
      <c r="I6"/>
      <c r="J6"/>
      <c r="K6"/>
      <c r="L6"/>
      <c r="M6"/>
    </row>
    <row r="7" spans="1:13" ht="15" customHeight="1" x14ac:dyDescent="0.45">
      <c r="A7" t="s">
        <v>2</v>
      </c>
      <c r="B7">
        <v>38.6</v>
      </c>
      <c r="C7">
        <f>B10</f>
        <v>38.61</v>
      </c>
      <c r="D7">
        <f t="shared" ref="D7:E7" si="21">C10</f>
        <v>42.51</v>
      </c>
      <c r="E7">
        <f t="shared" si="21"/>
        <v>46.489999999999995</v>
      </c>
      <c r="F7">
        <f t="shared" ref="F7" si="22">E10</f>
        <v>40.269999999999996</v>
      </c>
      <c r="G7">
        <f t="shared" ref="G7" si="23">F10</f>
        <v>34.049999999999997</v>
      </c>
      <c r="H7">
        <f t="shared" ref="H7" si="24">G10</f>
        <v>27.83</v>
      </c>
      <c r="I7">
        <f t="shared" ref="I7" si="25">H10</f>
        <v>21.61</v>
      </c>
      <c r="J7">
        <f t="shared" ref="J7" si="26">I10</f>
        <v>15.389999999999999</v>
      </c>
      <c r="K7">
        <f t="shared" ref="K7" si="27">J10</f>
        <v>9.1699999999999982</v>
      </c>
      <c r="L7">
        <f t="shared" ref="L7" si="28">K10</f>
        <v>2.9499999999999975</v>
      </c>
      <c r="M7">
        <f t="shared" ref="M7" si="29">L10</f>
        <v>1.0199999999999978</v>
      </c>
    </row>
    <row r="8" spans="1:13" ht="15" customHeight="1" x14ac:dyDescent="0.45">
      <c r="A8" t="s">
        <v>24</v>
      </c>
      <c r="B8">
        <v>4.3</v>
      </c>
      <c r="C8">
        <v>9.1</v>
      </c>
      <c r="D8">
        <v>10.199999999999999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ht="15" customHeight="1" x14ac:dyDescent="0.45">
      <c r="A9" t="s">
        <v>28</v>
      </c>
      <c r="B9">
        <f>-(38.6+4.3)/10</f>
        <v>-4.29</v>
      </c>
      <c r="C9">
        <f>-(38.6+4.3+9.1)/10</f>
        <v>-5.2</v>
      </c>
      <c r="D9">
        <f>-(38.6+4.3+9.1+10.2)/10</f>
        <v>-6.2200000000000006</v>
      </c>
      <c r="E9">
        <f t="shared" ref="E9:K9" si="30">-(38.6+4.3+9.1+10.2)/10</f>
        <v>-6.2200000000000006</v>
      </c>
      <c r="F9">
        <f t="shared" si="30"/>
        <v>-6.2200000000000006</v>
      </c>
      <c r="G9">
        <f t="shared" si="30"/>
        <v>-6.2200000000000006</v>
      </c>
      <c r="H9">
        <f t="shared" si="30"/>
        <v>-6.2200000000000006</v>
      </c>
      <c r="I9">
        <f t="shared" si="30"/>
        <v>-6.2200000000000006</v>
      </c>
      <c r="J9">
        <f t="shared" si="30"/>
        <v>-6.2200000000000006</v>
      </c>
      <c r="K9">
        <f t="shared" si="30"/>
        <v>-6.2200000000000006</v>
      </c>
      <c r="L9">
        <f>-(9.1+10.2)/10</f>
        <v>-1.9299999999999997</v>
      </c>
      <c r="M9">
        <f>-(10.2)/10</f>
        <v>-1.02</v>
      </c>
    </row>
    <row r="10" spans="1:13" ht="15" customHeight="1" x14ac:dyDescent="0.45">
      <c r="A10" t="s">
        <v>5</v>
      </c>
      <c r="B10">
        <f>SUM(B7:B9)</f>
        <v>38.61</v>
      </c>
      <c r="C10">
        <f t="shared" ref="C10" si="31">SUM(C7:C9)</f>
        <v>42.51</v>
      </c>
      <c r="D10">
        <f t="shared" ref="D10" si="32">SUM(D7:D9)</f>
        <v>46.489999999999995</v>
      </c>
      <c r="E10">
        <f t="shared" ref="E10:M10" si="33">SUM(E7:E9)</f>
        <v>40.269999999999996</v>
      </c>
      <c r="F10">
        <f t="shared" si="33"/>
        <v>34.049999999999997</v>
      </c>
      <c r="G10">
        <f t="shared" si="33"/>
        <v>27.83</v>
      </c>
      <c r="H10">
        <f t="shared" si="33"/>
        <v>21.61</v>
      </c>
      <c r="I10">
        <f t="shared" si="33"/>
        <v>15.389999999999999</v>
      </c>
      <c r="J10">
        <f t="shared" si="33"/>
        <v>9.1699999999999982</v>
      </c>
      <c r="K10">
        <f>SUM(K7:K9)</f>
        <v>2.9499999999999975</v>
      </c>
      <c r="L10">
        <f t="shared" si="33"/>
        <v>1.0199999999999978</v>
      </c>
      <c r="M10">
        <f t="shared" si="33"/>
        <v>-2.2204460492503131E-15</v>
      </c>
    </row>
    <row r="11" spans="1:13" ht="15" customHeight="1" x14ac:dyDescent="0.45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3" ht="15" customHeight="1" x14ac:dyDescent="0.45">
      <c r="A12" t="s">
        <v>2</v>
      </c>
      <c r="B12">
        <v>14.3</v>
      </c>
      <c r="C12">
        <f>B15</f>
        <v>14.4375</v>
      </c>
      <c r="D12">
        <f t="shared" ref="D12:E12" si="34">C15</f>
        <v>16.574999999999999</v>
      </c>
      <c r="E12">
        <f t="shared" si="34"/>
        <v>17.412499999999998</v>
      </c>
      <c r="F12">
        <f t="shared" ref="F12" si="35">E15</f>
        <v>14.249999999999998</v>
      </c>
      <c r="G12">
        <f t="shared" ref="G12" si="36">F15</f>
        <v>11.087499999999999</v>
      </c>
      <c r="H12">
        <f t="shared" ref="H12" si="37">G15</f>
        <v>7.9249999999999989</v>
      </c>
      <c r="I12">
        <f t="shared" ref="I12" si="38">H15</f>
        <v>4.7624999999999993</v>
      </c>
      <c r="J12">
        <f t="shared" ref="J12" si="39">I15</f>
        <v>1.5999999999999992</v>
      </c>
      <c r="K12">
        <f t="shared" ref="K12" si="40">J15</f>
        <v>0.49999999999999911</v>
      </c>
      <c r="L12">
        <f t="shared" ref="L12" si="41">K15</f>
        <v>-8.8817841970012523E-16</v>
      </c>
      <c r="M12">
        <f t="shared" ref="M12" si="42">L15</f>
        <v>-8.8817841970012523E-16</v>
      </c>
    </row>
    <row r="13" spans="1:13" ht="15" customHeight="1" x14ac:dyDescent="0.45">
      <c r="A13" t="s">
        <v>24</v>
      </c>
      <c r="B13">
        <v>2.2000000000000002</v>
      </c>
      <c r="C13">
        <v>4.8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ht="15" customHeight="1" x14ac:dyDescent="0.45">
      <c r="A14" t="s">
        <v>28</v>
      </c>
      <c r="B14">
        <f>-(14.3+2.2)/8</f>
        <v>-2.0625</v>
      </c>
      <c r="C14">
        <f>-(14.3+2.2+4.8)/8</f>
        <v>-2.6625000000000001</v>
      </c>
      <c r="D14">
        <f>-(14.3+2.2+4.8+4)/8</f>
        <v>-3.1625000000000001</v>
      </c>
      <c r="E14">
        <f t="shared" ref="E14:I14" si="43">-(14.3+2.2+4.8+4)/8</f>
        <v>-3.1625000000000001</v>
      </c>
      <c r="F14">
        <f t="shared" si="43"/>
        <v>-3.1625000000000001</v>
      </c>
      <c r="G14">
        <f t="shared" si="43"/>
        <v>-3.1625000000000001</v>
      </c>
      <c r="H14">
        <f t="shared" si="43"/>
        <v>-3.1625000000000001</v>
      </c>
      <c r="I14">
        <f t="shared" si="43"/>
        <v>-3.1625000000000001</v>
      </c>
      <c r="J14">
        <f>-(4.8+4)/8</f>
        <v>-1.1000000000000001</v>
      </c>
      <c r="K14">
        <f>-(4)/8</f>
        <v>-0.5</v>
      </c>
      <c r="L14">
        <v>0</v>
      </c>
      <c r="M14">
        <v>0</v>
      </c>
    </row>
    <row r="15" spans="1:13" ht="15" customHeight="1" x14ac:dyDescent="0.45">
      <c r="A15" t="s">
        <v>5</v>
      </c>
      <c r="B15">
        <f>SUM(B12:B14)</f>
        <v>14.4375</v>
      </c>
      <c r="C15">
        <f t="shared" ref="C15" si="44">SUM(C12:C14)</f>
        <v>16.574999999999999</v>
      </c>
      <c r="D15">
        <f t="shared" ref="D15" si="45">SUM(D12:D14)</f>
        <v>17.412499999999998</v>
      </c>
      <c r="E15">
        <f t="shared" ref="E15:J15" si="46">SUM(E12:E14)</f>
        <v>14.249999999999998</v>
      </c>
      <c r="F15">
        <f t="shared" si="46"/>
        <v>11.087499999999999</v>
      </c>
      <c r="G15">
        <f t="shared" si="46"/>
        <v>7.9249999999999989</v>
      </c>
      <c r="H15">
        <f t="shared" si="46"/>
        <v>4.7624999999999993</v>
      </c>
      <c r="I15">
        <f t="shared" si="46"/>
        <v>1.5999999999999992</v>
      </c>
      <c r="J15">
        <f t="shared" si="46"/>
        <v>0.49999999999999911</v>
      </c>
      <c r="K15">
        <f>SUM(K12:K14)</f>
        <v>-8.8817841970012523E-16</v>
      </c>
      <c r="L15">
        <f>SUM(L12:L14)</f>
        <v>-8.8817841970012523E-16</v>
      </c>
      <c r="M15">
        <f>SUM(M12:M14)</f>
        <v>-8.8817841970012523E-16</v>
      </c>
    </row>
    <row r="16" spans="1:13" ht="15" customHeight="1" x14ac:dyDescent="0.45">
      <c r="A16"/>
      <c r="B16"/>
      <c r="C16"/>
      <c r="D16"/>
      <c r="E16"/>
      <c r="F16"/>
      <c r="G16"/>
      <c r="H16"/>
      <c r="I16"/>
      <c r="J16"/>
      <c r="K16"/>
      <c r="L16"/>
      <c r="M16"/>
    </row>
    <row r="17" spans="1:13" ht="15" customHeight="1" x14ac:dyDescent="0.45">
      <c r="A17" t="s">
        <v>15</v>
      </c>
      <c r="B17">
        <f>SUM(B2:B3,B7:B8,B12:B13)</f>
        <v>127.39999999999999</v>
      </c>
      <c r="C17">
        <f t="shared" ref="C17:M17" si="47">B17+SUM(C3,C8,C13)</f>
        <v>149.79999999999998</v>
      </c>
      <c r="D17">
        <f t="shared" si="47"/>
        <v>173.59999999999997</v>
      </c>
      <c r="E17">
        <f t="shared" si="47"/>
        <v>173.59999999999997</v>
      </c>
      <c r="F17">
        <f t="shared" si="47"/>
        <v>173.59999999999997</v>
      </c>
      <c r="G17">
        <f t="shared" si="47"/>
        <v>173.59999999999997</v>
      </c>
      <c r="H17">
        <f t="shared" si="47"/>
        <v>173.59999999999997</v>
      </c>
      <c r="I17">
        <f t="shared" si="47"/>
        <v>173.59999999999997</v>
      </c>
      <c r="J17">
        <f t="shared" si="47"/>
        <v>173.59999999999997</v>
      </c>
      <c r="K17">
        <f t="shared" si="47"/>
        <v>173.59999999999997</v>
      </c>
      <c r="L17">
        <f t="shared" si="47"/>
        <v>173.59999999999997</v>
      </c>
      <c r="M17">
        <f t="shared" si="47"/>
        <v>173.59999999999997</v>
      </c>
    </row>
    <row r="18" spans="1:13" ht="15" customHeight="1" x14ac:dyDescent="0.45">
      <c r="A18" t="s">
        <v>29</v>
      </c>
      <c r="B18">
        <f>SUM(B4,B9,B14)</f>
        <v>-9.0724999999999998</v>
      </c>
      <c r="C18">
        <f t="shared" ref="C18:M18" si="48">B18+SUM(C4,C9,C14)</f>
        <v>-19.994999999999997</v>
      </c>
      <c r="D18">
        <f t="shared" si="48"/>
        <v>-32.8215</v>
      </c>
      <c r="E18">
        <f t="shared" si="48"/>
        <v>-45.648000000000003</v>
      </c>
      <c r="F18">
        <f t="shared" si="48"/>
        <v>-58.474500000000006</v>
      </c>
      <c r="G18">
        <f t="shared" si="48"/>
        <v>-71.301000000000002</v>
      </c>
      <c r="H18">
        <f t="shared" si="48"/>
        <v>-84.127499999999998</v>
      </c>
      <c r="I18">
        <f t="shared" si="48"/>
        <v>-96.953999999999994</v>
      </c>
      <c r="J18">
        <f t="shared" si="48"/>
        <v>-107.71799999999999</v>
      </c>
      <c r="K18">
        <f t="shared" si="48"/>
        <v>-117.88199999999999</v>
      </c>
      <c r="L18">
        <f t="shared" si="48"/>
        <v>-123.25599999999999</v>
      </c>
      <c r="M18">
        <f t="shared" si="48"/>
        <v>-127.71999999999998</v>
      </c>
    </row>
    <row r="19" spans="1:13" ht="15" customHeight="1" x14ac:dyDescent="0.45">
      <c r="A19" t="s">
        <v>12</v>
      </c>
      <c r="B19">
        <f>SUM(B17:B18)</f>
        <v>118.32749999999999</v>
      </c>
      <c r="C19">
        <f t="shared" ref="C19:E19" si="49">SUM(C17:C18)</f>
        <v>129.80499999999998</v>
      </c>
      <c r="D19">
        <f t="shared" si="49"/>
        <v>140.77849999999995</v>
      </c>
      <c r="E19">
        <f t="shared" si="49"/>
        <v>127.95199999999997</v>
      </c>
      <c r="F19">
        <f t="shared" ref="F19:M19" si="50">SUM(F17:F18)</f>
        <v>115.12549999999996</v>
      </c>
      <c r="G19">
        <f t="shared" si="50"/>
        <v>102.29899999999996</v>
      </c>
      <c r="H19">
        <f t="shared" si="50"/>
        <v>89.472499999999968</v>
      </c>
      <c r="I19">
        <f t="shared" si="50"/>
        <v>76.645999999999972</v>
      </c>
      <c r="J19">
        <f t="shared" si="50"/>
        <v>65.881999999999977</v>
      </c>
      <c r="K19">
        <f t="shared" si="50"/>
        <v>55.717999999999975</v>
      </c>
      <c r="L19">
        <f t="shared" si="50"/>
        <v>50.34399999999998</v>
      </c>
      <c r="M19">
        <f t="shared" si="50"/>
        <v>45.879999999999981</v>
      </c>
    </row>
    <row r="20" spans="1:13" ht="15" customHeight="1" x14ac:dyDescent="0.45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13" ht="15" customHeight="1" x14ac:dyDescent="0.45">
      <c r="A21" t="s">
        <v>8</v>
      </c>
      <c r="B21"/>
      <c r="C21"/>
      <c r="D21"/>
      <c r="E21"/>
      <c r="F21"/>
      <c r="G21"/>
      <c r="H21"/>
      <c r="I21"/>
      <c r="J21"/>
      <c r="K21"/>
      <c r="L21"/>
      <c r="M21"/>
    </row>
    <row r="22" spans="1:13" ht="15" customHeight="1" x14ac:dyDescent="0.45">
      <c r="A22" t="s">
        <v>25</v>
      </c>
      <c r="B22">
        <f t="shared" ref="B22:M22" si="51">B4</f>
        <v>-2.72</v>
      </c>
      <c r="C22">
        <f t="shared" si="51"/>
        <v>-3.06</v>
      </c>
      <c r="D22">
        <f t="shared" si="51"/>
        <v>-3.444</v>
      </c>
      <c r="E22">
        <f t="shared" si="51"/>
        <v>-3.444</v>
      </c>
      <c r="F22">
        <f t="shared" si="51"/>
        <v>-3.444</v>
      </c>
      <c r="G22">
        <f t="shared" si="51"/>
        <v>-3.444</v>
      </c>
      <c r="H22">
        <f t="shared" si="51"/>
        <v>-3.444</v>
      </c>
      <c r="I22">
        <f t="shared" si="51"/>
        <v>-3.444</v>
      </c>
      <c r="J22">
        <f t="shared" si="51"/>
        <v>-3.444</v>
      </c>
      <c r="K22">
        <f t="shared" si="51"/>
        <v>-3.444</v>
      </c>
      <c r="L22">
        <f t="shared" si="51"/>
        <v>-3.444</v>
      </c>
      <c r="M22">
        <f t="shared" si="51"/>
        <v>-3.444</v>
      </c>
    </row>
    <row r="23" spans="1:13" ht="15" customHeight="1" x14ac:dyDescent="0.45">
      <c r="A23" t="s">
        <v>26</v>
      </c>
      <c r="B23">
        <f t="shared" ref="B23:M23" si="52">B9</f>
        <v>-4.29</v>
      </c>
      <c r="C23">
        <f t="shared" si="52"/>
        <v>-5.2</v>
      </c>
      <c r="D23">
        <f t="shared" si="52"/>
        <v>-6.2200000000000006</v>
      </c>
      <c r="E23">
        <f t="shared" si="52"/>
        <v>-6.2200000000000006</v>
      </c>
      <c r="F23">
        <f t="shared" si="52"/>
        <v>-6.2200000000000006</v>
      </c>
      <c r="G23">
        <f t="shared" si="52"/>
        <v>-6.2200000000000006</v>
      </c>
      <c r="H23">
        <f t="shared" si="52"/>
        <v>-6.2200000000000006</v>
      </c>
      <c r="I23">
        <f t="shared" si="52"/>
        <v>-6.2200000000000006</v>
      </c>
      <c r="J23">
        <f t="shared" si="52"/>
        <v>-6.2200000000000006</v>
      </c>
      <c r="K23">
        <f t="shared" si="52"/>
        <v>-6.2200000000000006</v>
      </c>
      <c r="L23">
        <f t="shared" si="52"/>
        <v>-1.9299999999999997</v>
      </c>
      <c r="M23">
        <f t="shared" si="52"/>
        <v>-1.02</v>
      </c>
    </row>
    <row r="24" spans="1:13" ht="15" customHeight="1" x14ac:dyDescent="0.45">
      <c r="A24" t="s">
        <v>27</v>
      </c>
      <c r="B24">
        <f>B14</f>
        <v>-2.0625</v>
      </c>
      <c r="C24">
        <f t="shared" ref="C24:M24" si="53">C14</f>
        <v>-2.6625000000000001</v>
      </c>
      <c r="D24">
        <f t="shared" si="53"/>
        <v>-3.1625000000000001</v>
      </c>
      <c r="E24">
        <f t="shared" si="53"/>
        <v>-3.1625000000000001</v>
      </c>
      <c r="F24">
        <f t="shared" si="53"/>
        <v>-3.1625000000000001</v>
      </c>
      <c r="G24">
        <f t="shared" si="53"/>
        <v>-3.1625000000000001</v>
      </c>
      <c r="H24">
        <f t="shared" si="53"/>
        <v>-3.1625000000000001</v>
      </c>
      <c r="I24">
        <f t="shared" si="53"/>
        <v>-3.1625000000000001</v>
      </c>
      <c r="J24">
        <f t="shared" si="53"/>
        <v>-1.1000000000000001</v>
      </c>
      <c r="K24">
        <f t="shared" si="53"/>
        <v>-0.5</v>
      </c>
      <c r="L24">
        <f t="shared" si="53"/>
        <v>0</v>
      </c>
      <c r="M24">
        <f t="shared" si="53"/>
        <v>0</v>
      </c>
    </row>
    <row r="25" spans="1:13" ht="15" customHeight="1" x14ac:dyDescent="0.4">
      <c r="A25" s="8"/>
    </row>
    <row r="26" spans="1:13" ht="15" customHeight="1" x14ac:dyDescent="0.35"/>
    <row r="27" spans="1:13" ht="15" customHeight="1" x14ac:dyDescent="0.35"/>
    <row r="28" spans="1:13" ht="15" customHeight="1" x14ac:dyDescent="0.35"/>
    <row r="29" spans="1:13" ht="15" customHeight="1" x14ac:dyDescent="0.35"/>
    <row r="30" spans="1:13" ht="15" customHeight="1" x14ac:dyDescent="0.35"/>
    <row r="31" spans="1:13" ht="15" customHeight="1" x14ac:dyDescent="0.35"/>
    <row r="32" spans="1:13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</sheetData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383D-67C3-4E4D-99E8-4EFB94A99960}">
  <sheetPr>
    <pageSetUpPr fitToPage="1"/>
  </sheetPr>
  <dimension ref="B2:O256"/>
  <sheetViews>
    <sheetView showGridLines="0" zoomScaleNormal="100" zoomScaleSheetLayoutView="100" workbookViewId="0"/>
  </sheetViews>
  <sheetFormatPr defaultColWidth="8.86328125" defaultRowHeight="13.5" x14ac:dyDescent="0.35"/>
  <cols>
    <col min="1" max="1" width="3.6640625" style="1" customWidth="1"/>
    <col min="2" max="2" width="38.19921875" style="1" bestFit="1" customWidth="1"/>
    <col min="3" max="15" width="11.796875" style="1" customWidth="1"/>
    <col min="16" max="16384" width="8.86328125" style="1"/>
  </cols>
  <sheetData>
    <row r="2" spans="2:15" ht="15" customHeight="1" x14ac:dyDescent="0.4">
      <c r="D2" s="18" t="s">
        <v>16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2:15" ht="15" customHeight="1" x14ac:dyDescent="0.4">
      <c r="B3" s="2" t="s">
        <v>0</v>
      </c>
      <c r="C3" s="2"/>
      <c r="D3" s="3">
        <v>2021</v>
      </c>
      <c r="E3" s="3">
        <f>D3+1</f>
        <v>2022</v>
      </c>
      <c r="F3" s="3">
        <f t="shared" ref="F3:O3" si="0">E3+1</f>
        <v>2023</v>
      </c>
      <c r="G3" s="3">
        <f t="shared" si="0"/>
        <v>2024</v>
      </c>
      <c r="H3" s="3">
        <f t="shared" si="0"/>
        <v>2025</v>
      </c>
      <c r="I3" s="3">
        <f t="shared" si="0"/>
        <v>2026</v>
      </c>
      <c r="J3" s="3">
        <f t="shared" si="0"/>
        <v>2027</v>
      </c>
      <c r="K3" s="3">
        <f t="shared" si="0"/>
        <v>2028</v>
      </c>
      <c r="L3" s="3">
        <f t="shared" si="0"/>
        <v>2029</v>
      </c>
      <c r="M3" s="3">
        <f t="shared" si="0"/>
        <v>2030</v>
      </c>
      <c r="N3" s="3">
        <f t="shared" si="0"/>
        <v>2031</v>
      </c>
      <c r="O3" s="3">
        <f t="shared" si="0"/>
        <v>2032</v>
      </c>
    </row>
    <row r="4" spans="2:15" ht="10.050000000000001" customHeight="1" x14ac:dyDescent="0.35"/>
    <row r="5" spans="2:15" ht="15" customHeight="1" x14ac:dyDescent="0.4">
      <c r="B5" s="8" t="s">
        <v>1</v>
      </c>
      <c r="C5" s="8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customHeight="1" x14ac:dyDescent="0.35">
      <c r="B6" s="1" t="s">
        <v>2</v>
      </c>
      <c r="D6" s="4">
        <v>60.2</v>
      </c>
      <c r="E6" s="5">
        <f>D9</f>
        <v>65.28</v>
      </c>
      <c r="F6" s="5">
        <f t="shared" ref="F6:O6" si="1">E9</f>
        <v>70.72</v>
      </c>
      <c r="G6" s="5">
        <f t="shared" si="1"/>
        <v>76.875999999999991</v>
      </c>
      <c r="H6" s="5">
        <f t="shared" si="1"/>
        <v>73.431999999999988</v>
      </c>
      <c r="I6" s="5">
        <f t="shared" si="1"/>
        <v>69.987999999999985</v>
      </c>
      <c r="J6" s="5">
        <f t="shared" si="1"/>
        <v>66.543999999999983</v>
      </c>
      <c r="K6" s="5">
        <f t="shared" si="1"/>
        <v>63.09999999999998</v>
      </c>
      <c r="L6" s="5">
        <f t="shared" si="1"/>
        <v>59.655999999999977</v>
      </c>
      <c r="M6" s="5">
        <f t="shared" si="1"/>
        <v>56.211999999999975</v>
      </c>
      <c r="N6" s="5">
        <f t="shared" si="1"/>
        <v>52.767999999999972</v>
      </c>
      <c r="O6" s="5">
        <f t="shared" si="1"/>
        <v>49.32399999999997</v>
      </c>
    </row>
    <row r="7" spans="2:15" ht="15" customHeight="1" x14ac:dyDescent="0.35">
      <c r="B7" s="7" t="s">
        <v>3</v>
      </c>
      <c r="C7" s="7"/>
      <c r="D7" s="6">
        <v>7.8</v>
      </c>
      <c r="E7" s="6">
        <v>8.5</v>
      </c>
      <c r="F7" s="6">
        <v>9.6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</row>
    <row r="8" spans="2:15" ht="15" customHeight="1" x14ac:dyDescent="0.35">
      <c r="B8" s="7" t="s">
        <v>4</v>
      </c>
      <c r="C8" s="7"/>
      <c r="D8" s="10">
        <f>-(60.2+7.8)/25</f>
        <v>-2.72</v>
      </c>
      <c r="E8" s="10">
        <f>-(60.2+7.8+8.5)/25</f>
        <v>-3.06</v>
      </c>
      <c r="F8" s="10">
        <f>-(60.2+7.8+8.5+9.6)/25</f>
        <v>-3.444</v>
      </c>
      <c r="G8" s="10">
        <f t="shared" ref="G8:O8" si="2">-(60.2+7.8+8.5+9.6)/25</f>
        <v>-3.444</v>
      </c>
      <c r="H8" s="10">
        <f t="shared" si="2"/>
        <v>-3.444</v>
      </c>
      <c r="I8" s="10">
        <f t="shared" si="2"/>
        <v>-3.444</v>
      </c>
      <c r="J8" s="10">
        <f t="shared" si="2"/>
        <v>-3.444</v>
      </c>
      <c r="K8" s="10">
        <f t="shared" si="2"/>
        <v>-3.444</v>
      </c>
      <c r="L8" s="10">
        <f t="shared" si="2"/>
        <v>-3.444</v>
      </c>
      <c r="M8" s="10">
        <f t="shared" si="2"/>
        <v>-3.444</v>
      </c>
      <c r="N8" s="10">
        <f t="shared" si="2"/>
        <v>-3.444</v>
      </c>
      <c r="O8" s="10">
        <f t="shared" si="2"/>
        <v>-3.444</v>
      </c>
    </row>
    <row r="9" spans="2:15" ht="15" customHeight="1" x14ac:dyDescent="0.4">
      <c r="B9" s="9" t="s">
        <v>5</v>
      </c>
      <c r="C9" s="9"/>
      <c r="D9" s="11">
        <f>SUM(D6:D8)</f>
        <v>65.28</v>
      </c>
      <c r="E9" s="11">
        <f t="shared" ref="E9:O9" si="3">SUM(E6:E8)</f>
        <v>70.72</v>
      </c>
      <c r="F9" s="11">
        <f t="shared" si="3"/>
        <v>76.875999999999991</v>
      </c>
      <c r="G9" s="11">
        <f t="shared" si="3"/>
        <v>73.431999999999988</v>
      </c>
      <c r="H9" s="11">
        <f t="shared" si="3"/>
        <v>69.987999999999985</v>
      </c>
      <c r="I9" s="11">
        <f t="shared" si="3"/>
        <v>66.543999999999983</v>
      </c>
      <c r="J9" s="11">
        <f t="shared" si="3"/>
        <v>63.09999999999998</v>
      </c>
      <c r="K9" s="11">
        <f t="shared" si="3"/>
        <v>59.655999999999977</v>
      </c>
      <c r="L9" s="11">
        <f t="shared" si="3"/>
        <v>56.211999999999975</v>
      </c>
      <c r="M9" s="11">
        <f t="shared" si="3"/>
        <v>52.767999999999972</v>
      </c>
      <c r="N9" s="11">
        <f t="shared" si="3"/>
        <v>49.32399999999997</v>
      </c>
      <c r="O9" s="11">
        <f t="shared" si="3"/>
        <v>45.879999999999967</v>
      </c>
    </row>
    <row r="10" spans="2:15" ht="10.050000000000001" customHeight="1" x14ac:dyDescent="0.35"/>
    <row r="11" spans="2:15" ht="15" customHeight="1" x14ac:dyDescent="0.4">
      <c r="B11" s="8" t="s">
        <v>6</v>
      </c>
      <c r="C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2:15" ht="15" customHeight="1" x14ac:dyDescent="0.35">
      <c r="B12" s="1" t="s">
        <v>2</v>
      </c>
      <c r="D12" s="4">
        <v>38.6</v>
      </c>
      <c r="E12" s="5">
        <f>D15</f>
        <v>38.61</v>
      </c>
      <c r="F12" s="5">
        <f t="shared" ref="F12:O12" si="4">E15</f>
        <v>42.51</v>
      </c>
      <c r="G12" s="5">
        <f t="shared" si="4"/>
        <v>46.489999999999995</v>
      </c>
      <c r="H12" s="5">
        <f t="shared" si="4"/>
        <v>40.269999999999996</v>
      </c>
      <c r="I12" s="5">
        <f t="shared" si="4"/>
        <v>34.049999999999997</v>
      </c>
      <c r="J12" s="5">
        <f t="shared" si="4"/>
        <v>27.83</v>
      </c>
      <c r="K12" s="5">
        <f t="shared" si="4"/>
        <v>21.61</v>
      </c>
      <c r="L12" s="5">
        <f t="shared" si="4"/>
        <v>15.389999999999999</v>
      </c>
      <c r="M12" s="5">
        <f t="shared" si="4"/>
        <v>9.1699999999999982</v>
      </c>
      <c r="N12" s="5">
        <f t="shared" si="4"/>
        <v>2.9499999999999975</v>
      </c>
      <c r="O12" s="5">
        <f t="shared" si="4"/>
        <v>1.0199999999999978</v>
      </c>
    </row>
    <row r="13" spans="2:15" ht="15" customHeight="1" x14ac:dyDescent="0.35">
      <c r="B13" s="7" t="s">
        <v>3</v>
      </c>
      <c r="C13" s="7"/>
      <c r="D13" s="6">
        <v>4.3</v>
      </c>
      <c r="E13" s="6">
        <v>9.1</v>
      </c>
      <c r="F13" s="6">
        <v>10.199999999999999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</row>
    <row r="14" spans="2:15" ht="15" customHeight="1" x14ac:dyDescent="0.35">
      <c r="B14" s="7" t="s">
        <v>4</v>
      </c>
      <c r="C14" s="7"/>
      <c r="D14" s="10">
        <f>-(38.6+4.3)/10</f>
        <v>-4.29</v>
      </c>
      <c r="E14" s="10">
        <f>-(38.6+4.3+9.1)/10</f>
        <v>-5.2</v>
      </c>
      <c r="F14" s="10">
        <f>-(38.6+4.3+9.1+10.2)/10</f>
        <v>-6.2200000000000006</v>
      </c>
      <c r="G14" s="10">
        <f t="shared" ref="G14:M14" si="5">-(38.6+4.3+9.1+10.2)/10</f>
        <v>-6.2200000000000006</v>
      </c>
      <c r="H14" s="10">
        <f t="shared" si="5"/>
        <v>-6.2200000000000006</v>
      </c>
      <c r="I14" s="10">
        <f t="shared" si="5"/>
        <v>-6.2200000000000006</v>
      </c>
      <c r="J14" s="10">
        <f t="shared" si="5"/>
        <v>-6.2200000000000006</v>
      </c>
      <c r="K14" s="10">
        <f t="shared" si="5"/>
        <v>-6.2200000000000006</v>
      </c>
      <c r="L14" s="10">
        <f t="shared" si="5"/>
        <v>-6.2200000000000006</v>
      </c>
      <c r="M14" s="10">
        <f t="shared" si="5"/>
        <v>-6.2200000000000006</v>
      </c>
      <c r="N14" s="10">
        <f>-(9.1+10.2)/10</f>
        <v>-1.9299999999999997</v>
      </c>
      <c r="O14" s="10">
        <f>-(10.2)/10</f>
        <v>-1.02</v>
      </c>
    </row>
    <row r="15" spans="2:15" ht="15" customHeight="1" x14ac:dyDescent="0.4">
      <c r="B15" s="9" t="s">
        <v>5</v>
      </c>
      <c r="C15" s="9"/>
      <c r="D15" s="11">
        <f>SUM(D12:D14)</f>
        <v>38.61</v>
      </c>
      <c r="E15" s="11">
        <f t="shared" ref="E15:O15" si="6">SUM(E12:E14)</f>
        <v>42.51</v>
      </c>
      <c r="F15" s="11">
        <f t="shared" si="6"/>
        <v>46.489999999999995</v>
      </c>
      <c r="G15" s="11">
        <f t="shared" si="6"/>
        <v>40.269999999999996</v>
      </c>
      <c r="H15" s="11">
        <f t="shared" si="6"/>
        <v>34.049999999999997</v>
      </c>
      <c r="I15" s="11">
        <f t="shared" si="6"/>
        <v>27.83</v>
      </c>
      <c r="J15" s="11">
        <f t="shared" si="6"/>
        <v>21.61</v>
      </c>
      <c r="K15" s="11">
        <f t="shared" si="6"/>
        <v>15.389999999999999</v>
      </c>
      <c r="L15" s="11">
        <f t="shared" si="6"/>
        <v>9.1699999999999982</v>
      </c>
      <c r="M15" s="11">
        <f>SUM(M12:M14)</f>
        <v>2.9499999999999975</v>
      </c>
      <c r="N15" s="11">
        <f t="shared" si="6"/>
        <v>1.0199999999999978</v>
      </c>
      <c r="O15" s="11">
        <f t="shared" si="6"/>
        <v>-2.2204460492503131E-15</v>
      </c>
    </row>
    <row r="16" spans="2:15" ht="10.050000000000001" customHeight="1" x14ac:dyDescent="0.35"/>
    <row r="17" spans="2:15" ht="15" customHeight="1" x14ac:dyDescent="0.4">
      <c r="B17" s="8" t="s">
        <v>7</v>
      </c>
      <c r="C17" s="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5" ht="15" customHeight="1" x14ac:dyDescent="0.35">
      <c r="B18" s="1" t="s">
        <v>2</v>
      </c>
      <c r="D18" s="4">
        <v>14.3</v>
      </c>
      <c r="E18" s="5">
        <f>D21</f>
        <v>14.4375</v>
      </c>
      <c r="F18" s="5">
        <f t="shared" ref="F18:O18" si="7">E21</f>
        <v>16.574999999999999</v>
      </c>
      <c r="G18" s="5">
        <f t="shared" si="7"/>
        <v>17.412499999999998</v>
      </c>
      <c r="H18" s="5">
        <f t="shared" si="7"/>
        <v>14.249999999999998</v>
      </c>
      <c r="I18" s="5">
        <f t="shared" si="7"/>
        <v>11.087499999999999</v>
      </c>
      <c r="J18" s="5">
        <f t="shared" si="7"/>
        <v>7.9249999999999989</v>
      </c>
      <c r="K18" s="5">
        <f t="shared" si="7"/>
        <v>4.7624999999999993</v>
      </c>
      <c r="L18" s="5">
        <f t="shared" si="7"/>
        <v>1.5999999999999992</v>
      </c>
      <c r="M18" s="5">
        <f t="shared" si="7"/>
        <v>0.49999999999999911</v>
      </c>
      <c r="N18" s="5">
        <f t="shared" si="7"/>
        <v>-8.8817841970012523E-16</v>
      </c>
      <c r="O18" s="5">
        <f t="shared" si="7"/>
        <v>-8.8817841970012523E-16</v>
      </c>
    </row>
    <row r="19" spans="2:15" ht="15" customHeight="1" x14ac:dyDescent="0.35">
      <c r="B19" s="7" t="s">
        <v>3</v>
      </c>
      <c r="C19" s="7"/>
      <c r="D19" s="6">
        <v>2.2000000000000002</v>
      </c>
      <c r="E19" s="6">
        <v>4.8</v>
      </c>
      <c r="F19" s="6">
        <v>4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</row>
    <row r="20" spans="2:15" ht="15" customHeight="1" x14ac:dyDescent="0.35">
      <c r="B20" s="7" t="s">
        <v>4</v>
      </c>
      <c r="C20" s="7"/>
      <c r="D20" s="10">
        <f>-(14.3+2.2)/8</f>
        <v>-2.0625</v>
      </c>
      <c r="E20" s="10">
        <f>-(14.3+2.2+4.8)/8</f>
        <v>-2.6625000000000001</v>
      </c>
      <c r="F20" s="10">
        <f>-(14.3+2.2+4.8+4)/8</f>
        <v>-3.1625000000000001</v>
      </c>
      <c r="G20" s="10">
        <f t="shared" ref="G20:K20" si="8">-(14.3+2.2+4.8+4)/8</f>
        <v>-3.1625000000000001</v>
      </c>
      <c r="H20" s="10">
        <f t="shared" si="8"/>
        <v>-3.1625000000000001</v>
      </c>
      <c r="I20" s="10">
        <f t="shared" si="8"/>
        <v>-3.1625000000000001</v>
      </c>
      <c r="J20" s="10">
        <f t="shared" si="8"/>
        <v>-3.1625000000000001</v>
      </c>
      <c r="K20" s="10">
        <f t="shared" si="8"/>
        <v>-3.1625000000000001</v>
      </c>
      <c r="L20" s="10">
        <f>-(4.8+4)/8</f>
        <v>-1.1000000000000001</v>
      </c>
      <c r="M20" s="10">
        <f>-(4)/8</f>
        <v>-0.5</v>
      </c>
      <c r="N20" s="10">
        <v>0</v>
      </c>
      <c r="O20" s="10">
        <v>0</v>
      </c>
    </row>
    <row r="21" spans="2:15" ht="15" customHeight="1" x14ac:dyDescent="0.4">
      <c r="B21" s="9" t="s">
        <v>5</v>
      </c>
      <c r="C21" s="9"/>
      <c r="D21" s="11">
        <f>SUM(D18:D20)</f>
        <v>14.4375</v>
      </c>
      <c r="E21" s="11">
        <f t="shared" ref="E21:L21" si="9">SUM(E18:E20)</f>
        <v>16.574999999999999</v>
      </c>
      <c r="F21" s="11">
        <f t="shared" si="9"/>
        <v>17.412499999999998</v>
      </c>
      <c r="G21" s="11">
        <f t="shared" si="9"/>
        <v>14.249999999999998</v>
      </c>
      <c r="H21" s="11">
        <f t="shared" si="9"/>
        <v>11.087499999999999</v>
      </c>
      <c r="I21" s="11">
        <f t="shared" si="9"/>
        <v>7.9249999999999989</v>
      </c>
      <c r="J21" s="11">
        <f t="shared" si="9"/>
        <v>4.7624999999999993</v>
      </c>
      <c r="K21" s="11">
        <f t="shared" si="9"/>
        <v>1.5999999999999992</v>
      </c>
      <c r="L21" s="11">
        <f t="shared" si="9"/>
        <v>0.49999999999999911</v>
      </c>
      <c r="M21" s="11">
        <f>SUM(M18:M20)</f>
        <v>-8.8817841970012523E-16</v>
      </c>
      <c r="N21" s="11">
        <f>SUM(N18:N20)</f>
        <v>-8.8817841970012523E-16</v>
      </c>
      <c r="O21" s="11">
        <f>SUM(O18:O20)</f>
        <v>-8.8817841970012523E-16</v>
      </c>
    </row>
    <row r="22" spans="2:15" ht="10.050000000000001" customHeight="1" x14ac:dyDescent="0.4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2:15" ht="15" customHeight="1" x14ac:dyDescent="0.35">
      <c r="B23" s="1" t="s">
        <v>15</v>
      </c>
      <c r="D23" s="5">
        <f>SUM(D6:D7,D12:D13,D18:D19)</f>
        <v>127.39999999999999</v>
      </c>
      <c r="E23" s="5">
        <f t="shared" ref="E23:O23" si="10">SUM(E6:E7,E12:E13,E18:E19)</f>
        <v>140.72750000000002</v>
      </c>
      <c r="F23" s="5">
        <f t="shared" si="10"/>
        <v>153.60499999999996</v>
      </c>
      <c r="G23" s="5">
        <f t="shared" si="10"/>
        <v>140.77849999999998</v>
      </c>
      <c r="H23" s="5">
        <f t="shared" si="10"/>
        <v>127.95199999999998</v>
      </c>
      <c r="I23" s="5">
        <f t="shared" si="10"/>
        <v>115.12549999999999</v>
      </c>
      <c r="J23" s="5">
        <f t="shared" si="10"/>
        <v>102.29899999999998</v>
      </c>
      <c r="K23" s="5">
        <f t="shared" si="10"/>
        <v>89.472499999999982</v>
      </c>
      <c r="L23" s="5">
        <f t="shared" si="10"/>
        <v>76.645999999999972</v>
      </c>
      <c r="M23" s="5">
        <f t="shared" si="10"/>
        <v>65.881999999999977</v>
      </c>
      <c r="N23" s="5">
        <f t="shared" si="10"/>
        <v>55.717999999999968</v>
      </c>
      <c r="O23" s="5">
        <f t="shared" si="10"/>
        <v>50.343999999999966</v>
      </c>
    </row>
    <row r="24" spans="2:15" ht="15" customHeight="1" x14ac:dyDescent="0.35">
      <c r="B24" s="7" t="s">
        <v>13</v>
      </c>
      <c r="C24" s="7"/>
      <c r="D24" s="13">
        <f>SUM(D8,D14,D20)</f>
        <v>-9.0724999999999998</v>
      </c>
      <c r="E24" s="13">
        <f t="shared" ref="E24:O24" si="11">SUM(E8,E14,E20)</f>
        <v>-10.922499999999999</v>
      </c>
      <c r="F24" s="13">
        <f t="shared" si="11"/>
        <v>-12.826500000000001</v>
      </c>
      <c r="G24" s="13">
        <f t="shared" si="11"/>
        <v>-12.826500000000001</v>
      </c>
      <c r="H24" s="13">
        <f t="shared" si="11"/>
        <v>-12.826500000000001</v>
      </c>
      <c r="I24" s="13">
        <f t="shared" si="11"/>
        <v>-12.826500000000001</v>
      </c>
      <c r="J24" s="13">
        <f t="shared" si="11"/>
        <v>-12.826500000000001</v>
      </c>
      <c r="K24" s="13">
        <f t="shared" si="11"/>
        <v>-12.826500000000001</v>
      </c>
      <c r="L24" s="13">
        <f t="shared" si="11"/>
        <v>-10.764000000000001</v>
      </c>
      <c r="M24" s="13">
        <f t="shared" si="11"/>
        <v>-10.164000000000001</v>
      </c>
      <c r="N24" s="13">
        <f t="shared" si="11"/>
        <v>-5.3739999999999997</v>
      </c>
      <c r="O24" s="13">
        <f t="shared" si="11"/>
        <v>-4.4640000000000004</v>
      </c>
    </row>
    <row r="25" spans="2:15" ht="15" customHeight="1" x14ac:dyDescent="0.4">
      <c r="B25" s="12" t="s">
        <v>12</v>
      </c>
      <c r="C25" s="25"/>
      <c r="D25" s="14">
        <f>SUM(D23:D24)</f>
        <v>118.32749999999999</v>
      </c>
      <c r="E25" s="14">
        <f t="shared" ref="E25:O25" si="12">SUM(E23:E24)</f>
        <v>129.80500000000001</v>
      </c>
      <c r="F25" s="14">
        <f t="shared" si="12"/>
        <v>140.77849999999995</v>
      </c>
      <c r="G25" s="14">
        <f t="shared" si="12"/>
        <v>127.95199999999998</v>
      </c>
      <c r="H25" s="14">
        <f t="shared" si="12"/>
        <v>115.12549999999999</v>
      </c>
      <c r="I25" s="14">
        <f t="shared" si="12"/>
        <v>102.29899999999999</v>
      </c>
      <c r="J25" s="14">
        <f t="shared" si="12"/>
        <v>89.472499999999982</v>
      </c>
      <c r="K25" s="14">
        <f t="shared" si="12"/>
        <v>76.645999999999987</v>
      </c>
      <c r="L25" s="14">
        <f t="shared" si="12"/>
        <v>65.881999999999977</v>
      </c>
      <c r="M25" s="14">
        <f t="shared" si="12"/>
        <v>55.717999999999975</v>
      </c>
      <c r="N25" s="14">
        <f t="shared" si="12"/>
        <v>50.343999999999966</v>
      </c>
      <c r="O25" s="15">
        <f t="shared" si="12"/>
        <v>45.879999999999967</v>
      </c>
    </row>
    <row r="26" spans="2:15" ht="15" customHeight="1" x14ac:dyDescent="0.4">
      <c r="B26" s="16" t="s">
        <v>14</v>
      </c>
      <c r="C26" s="16"/>
      <c r="D26" s="17">
        <f>D25-SUM(D9,D15,D21)</f>
        <v>0</v>
      </c>
      <c r="E26" s="17">
        <f t="shared" ref="E26:O26" si="13">E25-SUM(E9,E15,E21)</f>
        <v>0</v>
      </c>
      <c r="F26" s="17">
        <f t="shared" si="13"/>
        <v>0</v>
      </c>
      <c r="G26" s="17">
        <f t="shared" si="13"/>
        <v>0</v>
      </c>
      <c r="H26" s="17">
        <f t="shared" si="13"/>
        <v>0</v>
      </c>
      <c r="I26" s="17">
        <f t="shared" si="13"/>
        <v>0</v>
      </c>
      <c r="J26" s="17">
        <f t="shared" si="13"/>
        <v>0</v>
      </c>
      <c r="K26" s="17">
        <f t="shared" si="13"/>
        <v>0</v>
      </c>
      <c r="L26" s="17">
        <f t="shared" si="13"/>
        <v>0</v>
      </c>
      <c r="M26" s="17">
        <f t="shared" si="13"/>
        <v>0</v>
      </c>
      <c r="N26" s="17">
        <f t="shared" si="13"/>
        <v>0</v>
      </c>
      <c r="O26" s="17">
        <f t="shared" si="13"/>
        <v>0</v>
      </c>
    </row>
    <row r="27" spans="2:15" ht="10.050000000000001" customHeight="1" x14ac:dyDescent="0.35"/>
    <row r="28" spans="2:15" ht="15" customHeight="1" x14ac:dyDescent="0.35">
      <c r="B28" s="1" t="s">
        <v>8</v>
      </c>
    </row>
    <row r="29" spans="2:15" ht="15" customHeight="1" x14ac:dyDescent="0.35">
      <c r="B29" s="1" t="s">
        <v>25</v>
      </c>
      <c r="D29" s="5">
        <f>D8</f>
        <v>-2.72</v>
      </c>
      <c r="E29" s="5">
        <f t="shared" ref="E29:O29" si="14">E8</f>
        <v>-3.06</v>
      </c>
      <c r="F29" s="5">
        <f t="shared" si="14"/>
        <v>-3.444</v>
      </c>
      <c r="G29" s="5">
        <f t="shared" si="14"/>
        <v>-3.444</v>
      </c>
      <c r="H29" s="5">
        <f t="shared" si="14"/>
        <v>-3.444</v>
      </c>
      <c r="I29" s="5">
        <f t="shared" si="14"/>
        <v>-3.444</v>
      </c>
      <c r="J29" s="5">
        <f t="shared" si="14"/>
        <v>-3.444</v>
      </c>
      <c r="K29" s="5">
        <f t="shared" si="14"/>
        <v>-3.444</v>
      </c>
      <c r="L29" s="5">
        <f t="shared" si="14"/>
        <v>-3.444</v>
      </c>
      <c r="M29" s="5">
        <f t="shared" si="14"/>
        <v>-3.444</v>
      </c>
      <c r="N29" s="5">
        <f t="shared" si="14"/>
        <v>-3.444</v>
      </c>
      <c r="O29" s="5">
        <f t="shared" si="14"/>
        <v>-3.444</v>
      </c>
    </row>
    <row r="30" spans="2:15" ht="15" customHeight="1" x14ac:dyDescent="0.35">
      <c r="B30" s="1" t="s">
        <v>26</v>
      </c>
      <c r="D30" s="30">
        <f>D14</f>
        <v>-4.29</v>
      </c>
      <c r="E30" s="30">
        <f t="shared" ref="E30:O30" si="15">E14</f>
        <v>-5.2</v>
      </c>
      <c r="F30" s="30">
        <f t="shared" si="15"/>
        <v>-6.2200000000000006</v>
      </c>
      <c r="G30" s="30">
        <f t="shared" si="15"/>
        <v>-6.2200000000000006</v>
      </c>
      <c r="H30" s="30">
        <f t="shared" si="15"/>
        <v>-6.2200000000000006</v>
      </c>
      <c r="I30" s="30">
        <f t="shared" si="15"/>
        <v>-6.2200000000000006</v>
      </c>
      <c r="J30" s="30">
        <f t="shared" si="15"/>
        <v>-6.2200000000000006</v>
      </c>
      <c r="K30" s="30">
        <f t="shared" si="15"/>
        <v>-6.2200000000000006</v>
      </c>
      <c r="L30" s="30">
        <f t="shared" si="15"/>
        <v>-6.2200000000000006</v>
      </c>
      <c r="M30" s="30">
        <f t="shared" si="15"/>
        <v>-6.2200000000000006</v>
      </c>
      <c r="N30" s="30">
        <f t="shared" si="15"/>
        <v>-1.9299999999999997</v>
      </c>
      <c r="O30" s="30">
        <f t="shared" si="15"/>
        <v>-1.02</v>
      </c>
    </row>
    <row r="31" spans="2:15" ht="15" customHeight="1" x14ac:dyDescent="0.35">
      <c r="B31" s="1" t="s">
        <v>27</v>
      </c>
      <c r="D31" s="30">
        <f>D19</f>
        <v>2.2000000000000002</v>
      </c>
      <c r="E31" s="30">
        <f t="shared" ref="E31:O31" si="16">E19</f>
        <v>4.8</v>
      </c>
      <c r="F31" s="30">
        <f t="shared" si="16"/>
        <v>4</v>
      </c>
      <c r="G31" s="30">
        <f t="shared" si="16"/>
        <v>0</v>
      </c>
      <c r="H31" s="30">
        <f t="shared" si="16"/>
        <v>0</v>
      </c>
      <c r="I31" s="30">
        <f t="shared" si="16"/>
        <v>0</v>
      </c>
      <c r="J31" s="30">
        <f t="shared" si="16"/>
        <v>0</v>
      </c>
      <c r="K31" s="30">
        <f t="shared" si="16"/>
        <v>0</v>
      </c>
      <c r="L31" s="30">
        <f t="shared" si="16"/>
        <v>0</v>
      </c>
      <c r="M31" s="30">
        <f t="shared" si="16"/>
        <v>0</v>
      </c>
      <c r="N31" s="30">
        <f t="shared" si="16"/>
        <v>0</v>
      </c>
      <c r="O31" s="30">
        <f t="shared" si="16"/>
        <v>0</v>
      </c>
    </row>
    <row r="32" spans="2:15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</sheetData>
  <pageMargins left="0.7" right="0.7" top="0.75" bottom="0.75" header="0.3" footer="0.3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7D61-1F43-470A-8E9D-B6A9D4CBD4D8}">
  <sheetPr>
    <pageSetUpPr fitToPage="1"/>
  </sheetPr>
  <dimension ref="B2:O278"/>
  <sheetViews>
    <sheetView showGridLines="0" zoomScaleNormal="100" zoomScaleSheetLayoutView="100" workbookViewId="0"/>
  </sheetViews>
  <sheetFormatPr defaultColWidth="8.86328125" defaultRowHeight="13.5" x14ac:dyDescent="0.35"/>
  <cols>
    <col min="1" max="1" width="3.6640625" style="1" customWidth="1"/>
    <col min="2" max="2" width="38.19921875" style="1" bestFit="1" customWidth="1"/>
    <col min="3" max="15" width="11.796875" style="1" customWidth="1"/>
    <col min="16" max="16384" width="8.86328125" style="1"/>
  </cols>
  <sheetData>
    <row r="2" spans="2:15" ht="15" customHeight="1" x14ac:dyDescent="0.4">
      <c r="D2" s="18" t="s">
        <v>16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2:15" ht="15" customHeight="1" x14ac:dyDescent="0.4">
      <c r="B3" s="2" t="s">
        <v>0</v>
      </c>
      <c r="C3" s="2"/>
      <c r="D3" s="3">
        <v>2021</v>
      </c>
      <c r="E3" s="3">
        <f>D3+1</f>
        <v>2022</v>
      </c>
      <c r="F3" s="3">
        <f t="shared" ref="F3:O3" si="0">E3+1</f>
        <v>2023</v>
      </c>
      <c r="G3" s="3">
        <f t="shared" si="0"/>
        <v>2024</v>
      </c>
      <c r="H3" s="3">
        <f t="shared" si="0"/>
        <v>2025</v>
      </c>
      <c r="I3" s="3">
        <f t="shared" si="0"/>
        <v>2026</v>
      </c>
      <c r="J3" s="3">
        <f t="shared" si="0"/>
        <v>2027</v>
      </c>
      <c r="K3" s="3">
        <f t="shared" si="0"/>
        <v>2028</v>
      </c>
      <c r="L3" s="3">
        <f t="shared" si="0"/>
        <v>2029</v>
      </c>
      <c r="M3" s="3">
        <f t="shared" si="0"/>
        <v>2030</v>
      </c>
      <c r="N3" s="3">
        <f t="shared" si="0"/>
        <v>2031</v>
      </c>
      <c r="O3" s="3">
        <f t="shared" si="0"/>
        <v>2032</v>
      </c>
    </row>
    <row r="4" spans="2:15" ht="10.050000000000001" customHeight="1" x14ac:dyDescent="0.35"/>
    <row r="5" spans="2:15" ht="15" customHeight="1" x14ac:dyDescent="0.4">
      <c r="B5" s="8" t="s">
        <v>1</v>
      </c>
      <c r="C5" s="8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customHeight="1" x14ac:dyDescent="0.35">
      <c r="B6" s="1" t="s">
        <v>2</v>
      </c>
      <c r="D6" s="4">
        <v>60.2</v>
      </c>
      <c r="E6" s="5">
        <f>D9</f>
        <v>65.28</v>
      </c>
      <c r="F6" s="5">
        <f t="shared" ref="F6:O6" si="1">E9</f>
        <v>70.72</v>
      </c>
      <c r="G6" s="5">
        <f t="shared" si="1"/>
        <v>76.875999999999991</v>
      </c>
      <c r="H6" s="5">
        <f t="shared" si="1"/>
        <v>73.431999999999988</v>
      </c>
      <c r="I6" s="5">
        <f t="shared" si="1"/>
        <v>69.987999999999985</v>
      </c>
      <c r="J6" s="5">
        <f t="shared" si="1"/>
        <v>66.543999999999983</v>
      </c>
      <c r="K6" s="5">
        <f t="shared" si="1"/>
        <v>63.09999999999998</v>
      </c>
      <c r="L6" s="5">
        <f t="shared" si="1"/>
        <v>59.655999999999977</v>
      </c>
      <c r="M6" s="5">
        <f t="shared" si="1"/>
        <v>56.211999999999975</v>
      </c>
      <c r="N6" s="5">
        <f t="shared" si="1"/>
        <v>52.767999999999972</v>
      </c>
      <c r="O6" s="5">
        <f t="shared" si="1"/>
        <v>49.32399999999997</v>
      </c>
    </row>
    <row r="7" spans="2:15" ht="15" customHeight="1" x14ac:dyDescent="0.35">
      <c r="B7" s="7" t="s">
        <v>3</v>
      </c>
      <c r="C7" s="7"/>
      <c r="D7" s="6">
        <v>7.8</v>
      </c>
      <c r="E7" s="6">
        <v>8.5</v>
      </c>
      <c r="F7" s="6">
        <v>9.6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</row>
    <row r="8" spans="2:15" ht="15" customHeight="1" x14ac:dyDescent="0.35">
      <c r="B8" s="7" t="s">
        <v>4</v>
      </c>
      <c r="C8" s="7"/>
      <c r="D8" s="10">
        <f>-D38</f>
        <v>-2.72</v>
      </c>
      <c r="E8" s="10">
        <f t="shared" ref="E8:O8" si="2">-E38</f>
        <v>-3.06</v>
      </c>
      <c r="F8" s="10">
        <f t="shared" si="2"/>
        <v>-3.444</v>
      </c>
      <c r="G8" s="10">
        <f t="shared" si="2"/>
        <v>-3.444</v>
      </c>
      <c r="H8" s="10">
        <f t="shared" si="2"/>
        <v>-3.444</v>
      </c>
      <c r="I8" s="10">
        <f t="shared" si="2"/>
        <v>-3.444</v>
      </c>
      <c r="J8" s="10">
        <f t="shared" si="2"/>
        <v>-3.444</v>
      </c>
      <c r="K8" s="10">
        <f t="shared" si="2"/>
        <v>-3.444</v>
      </c>
      <c r="L8" s="10">
        <f t="shared" si="2"/>
        <v>-3.444</v>
      </c>
      <c r="M8" s="10">
        <f t="shared" si="2"/>
        <v>-3.444</v>
      </c>
      <c r="N8" s="10">
        <f t="shared" si="2"/>
        <v>-3.444</v>
      </c>
      <c r="O8" s="10">
        <f t="shared" si="2"/>
        <v>-3.444</v>
      </c>
    </row>
    <row r="9" spans="2:15" ht="15" customHeight="1" x14ac:dyDescent="0.4">
      <c r="B9" s="9" t="s">
        <v>5</v>
      </c>
      <c r="C9" s="9"/>
      <c r="D9" s="11">
        <f>SUM(D6:D8)</f>
        <v>65.28</v>
      </c>
      <c r="E9" s="11">
        <f t="shared" ref="E9:O9" si="3">SUM(E6:E8)</f>
        <v>70.72</v>
      </c>
      <c r="F9" s="11">
        <f t="shared" si="3"/>
        <v>76.875999999999991</v>
      </c>
      <c r="G9" s="11">
        <f t="shared" si="3"/>
        <v>73.431999999999988</v>
      </c>
      <c r="H9" s="11">
        <f t="shared" si="3"/>
        <v>69.987999999999985</v>
      </c>
      <c r="I9" s="11">
        <f t="shared" si="3"/>
        <v>66.543999999999983</v>
      </c>
      <c r="J9" s="11">
        <f t="shared" si="3"/>
        <v>63.09999999999998</v>
      </c>
      <c r="K9" s="11">
        <f t="shared" si="3"/>
        <v>59.655999999999977</v>
      </c>
      <c r="L9" s="11">
        <f t="shared" si="3"/>
        <v>56.211999999999975</v>
      </c>
      <c r="M9" s="11">
        <f t="shared" si="3"/>
        <v>52.767999999999972</v>
      </c>
      <c r="N9" s="11">
        <f t="shared" si="3"/>
        <v>49.32399999999997</v>
      </c>
      <c r="O9" s="11">
        <f t="shared" si="3"/>
        <v>45.879999999999967</v>
      </c>
    </row>
    <row r="10" spans="2:15" ht="10.050000000000001" customHeight="1" x14ac:dyDescent="0.35"/>
    <row r="11" spans="2:15" ht="15" customHeight="1" x14ac:dyDescent="0.4">
      <c r="B11" s="8" t="s">
        <v>6</v>
      </c>
      <c r="C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2:15" ht="15" customHeight="1" x14ac:dyDescent="0.35">
      <c r="B12" s="1" t="s">
        <v>2</v>
      </c>
      <c r="D12" s="4">
        <v>38.6</v>
      </c>
      <c r="E12" s="5">
        <f>D15</f>
        <v>38.61</v>
      </c>
      <c r="F12" s="5">
        <f t="shared" ref="F12:O12" si="4">E15</f>
        <v>42.51</v>
      </c>
      <c r="G12" s="5">
        <f t="shared" si="4"/>
        <v>46.489999999999995</v>
      </c>
      <c r="H12" s="5">
        <f t="shared" si="4"/>
        <v>40.269999999999996</v>
      </c>
      <c r="I12" s="5">
        <f t="shared" si="4"/>
        <v>34.049999999999997</v>
      </c>
      <c r="J12" s="5">
        <f t="shared" si="4"/>
        <v>27.83</v>
      </c>
      <c r="K12" s="5">
        <f t="shared" si="4"/>
        <v>21.61</v>
      </c>
      <c r="L12" s="5">
        <f t="shared" si="4"/>
        <v>15.389999999999999</v>
      </c>
      <c r="M12" s="5">
        <f t="shared" si="4"/>
        <v>9.1699999999999982</v>
      </c>
      <c r="N12" s="5">
        <f t="shared" si="4"/>
        <v>2.9499999999999975</v>
      </c>
      <c r="O12" s="5">
        <f t="shared" si="4"/>
        <v>1.0199999999999976</v>
      </c>
    </row>
    <row r="13" spans="2:15" ht="15" customHeight="1" x14ac:dyDescent="0.35">
      <c r="B13" s="7" t="s">
        <v>3</v>
      </c>
      <c r="C13" s="7"/>
      <c r="D13" s="6">
        <v>4.3</v>
      </c>
      <c r="E13" s="6">
        <v>9.1</v>
      </c>
      <c r="F13" s="6">
        <v>10.199999999999999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</row>
    <row r="14" spans="2:15" ht="15" customHeight="1" x14ac:dyDescent="0.35">
      <c r="B14" s="7" t="s">
        <v>4</v>
      </c>
      <c r="C14" s="7"/>
      <c r="D14" s="10">
        <f>-D44</f>
        <v>-4.29</v>
      </c>
      <c r="E14" s="10">
        <f t="shared" ref="E14:O14" si="5">-E44</f>
        <v>-5.2</v>
      </c>
      <c r="F14" s="10">
        <f t="shared" si="5"/>
        <v>-6.2200000000000006</v>
      </c>
      <c r="G14" s="10">
        <f t="shared" si="5"/>
        <v>-6.2200000000000006</v>
      </c>
      <c r="H14" s="10">
        <f t="shared" si="5"/>
        <v>-6.2200000000000006</v>
      </c>
      <c r="I14" s="10">
        <f t="shared" si="5"/>
        <v>-6.2200000000000006</v>
      </c>
      <c r="J14" s="10">
        <f t="shared" si="5"/>
        <v>-6.2200000000000006</v>
      </c>
      <c r="K14" s="10">
        <f t="shared" si="5"/>
        <v>-6.2200000000000006</v>
      </c>
      <c r="L14" s="10">
        <f t="shared" si="5"/>
        <v>-6.2200000000000006</v>
      </c>
      <c r="M14" s="10">
        <f t="shared" si="5"/>
        <v>-6.2200000000000006</v>
      </c>
      <c r="N14" s="10">
        <f t="shared" si="5"/>
        <v>-1.93</v>
      </c>
      <c r="O14" s="10">
        <f t="shared" si="5"/>
        <v>-1.02</v>
      </c>
    </row>
    <row r="15" spans="2:15" ht="15" customHeight="1" x14ac:dyDescent="0.4">
      <c r="B15" s="9" t="s">
        <v>5</v>
      </c>
      <c r="C15" s="9"/>
      <c r="D15" s="11">
        <f>SUM(D12:D14)</f>
        <v>38.61</v>
      </c>
      <c r="E15" s="11">
        <f t="shared" ref="E15:O15" si="6">SUM(E12:E14)</f>
        <v>42.51</v>
      </c>
      <c r="F15" s="11">
        <f t="shared" si="6"/>
        <v>46.489999999999995</v>
      </c>
      <c r="G15" s="11">
        <f t="shared" si="6"/>
        <v>40.269999999999996</v>
      </c>
      <c r="H15" s="11">
        <f t="shared" si="6"/>
        <v>34.049999999999997</v>
      </c>
      <c r="I15" s="11">
        <f t="shared" si="6"/>
        <v>27.83</v>
      </c>
      <c r="J15" s="11">
        <f t="shared" si="6"/>
        <v>21.61</v>
      </c>
      <c r="K15" s="11">
        <f t="shared" si="6"/>
        <v>15.389999999999999</v>
      </c>
      <c r="L15" s="11">
        <f t="shared" si="6"/>
        <v>9.1699999999999982</v>
      </c>
      <c r="M15" s="11">
        <f t="shared" si="6"/>
        <v>2.9499999999999975</v>
      </c>
      <c r="N15" s="11">
        <f t="shared" si="6"/>
        <v>1.0199999999999976</v>
      </c>
      <c r="O15" s="11">
        <f t="shared" si="6"/>
        <v>-2.4424906541753444E-15</v>
      </c>
    </row>
    <row r="16" spans="2:15" ht="10.050000000000001" customHeight="1" x14ac:dyDescent="0.35"/>
    <row r="17" spans="2:15" ht="15" customHeight="1" x14ac:dyDescent="0.4">
      <c r="B17" s="8" t="s">
        <v>7</v>
      </c>
      <c r="C17" s="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5" ht="15" customHeight="1" x14ac:dyDescent="0.35">
      <c r="B18" s="1" t="s">
        <v>2</v>
      </c>
      <c r="D18" s="4">
        <v>14.3</v>
      </c>
      <c r="E18" s="5">
        <f>D21</f>
        <v>14.4375</v>
      </c>
      <c r="F18" s="5">
        <f t="shared" ref="F18:O18" si="7">E21</f>
        <v>16.574999999999999</v>
      </c>
      <c r="G18" s="5">
        <f t="shared" si="7"/>
        <v>17.412499999999998</v>
      </c>
      <c r="H18" s="5">
        <f t="shared" si="7"/>
        <v>14.249999999999998</v>
      </c>
      <c r="I18" s="5">
        <f t="shared" si="7"/>
        <v>11.087499999999999</v>
      </c>
      <c r="J18" s="5">
        <f t="shared" si="7"/>
        <v>7.9249999999999989</v>
      </c>
      <c r="K18" s="5">
        <f t="shared" si="7"/>
        <v>4.7624999999999993</v>
      </c>
      <c r="L18" s="5">
        <f t="shared" si="7"/>
        <v>1.5999999999999992</v>
      </c>
      <c r="M18" s="5">
        <f t="shared" si="7"/>
        <v>0.49999999999999911</v>
      </c>
      <c r="N18" s="5">
        <f t="shared" si="7"/>
        <v>-8.8817841970012523E-16</v>
      </c>
      <c r="O18" s="5">
        <f t="shared" si="7"/>
        <v>-8.8817841970012523E-16</v>
      </c>
    </row>
    <row r="19" spans="2:15" ht="15" customHeight="1" x14ac:dyDescent="0.35">
      <c r="B19" s="7" t="s">
        <v>3</v>
      </c>
      <c r="C19" s="7"/>
      <c r="D19" s="6">
        <v>2.2000000000000002</v>
      </c>
      <c r="E19" s="6">
        <v>4.8</v>
      </c>
      <c r="F19" s="6">
        <v>4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</row>
    <row r="20" spans="2:15" ht="15" customHeight="1" x14ac:dyDescent="0.35">
      <c r="B20" s="7" t="s">
        <v>4</v>
      </c>
      <c r="C20" s="7"/>
      <c r="D20" s="10">
        <f>-D50</f>
        <v>-2.0625</v>
      </c>
      <c r="E20" s="10">
        <f t="shared" ref="E20:O20" si="8">-E50</f>
        <v>-2.6625000000000001</v>
      </c>
      <c r="F20" s="10">
        <f t="shared" si="8"/>
        <v>-3.1625000000000001</v>
      </c>
      <c r="G20" s="10">
        <f t="shared" si="8"/>
        <v>-3.1625000000000001</v>
      </c>
      <c r="H20" s="10">
        <f t="shared" si="8"/>
        <v>-3.1625000000000001</v>
      </c>
      <c r="I20" s="10">
        <f t="shared" si="8"/>
        <v>-3.1625000000000001</v>
      </c>
      <c r="J20" s="10">
        <f t="shared" si="8"/>
        <v>-3.1625000000000001</v>
      </c>
      <c r="K20" s="10">
        <f t="shared" si="8"/>
        <v>-3.1625000000000001</v>
      </c>
      <c r="L20" s="10">
        <f t="shared" si="8"/>
        <v>-1.1000000000000001</v>
      </c>
      <c r="M20" s="10">
        <f t="shared" si="8"/>
        <v>-0.5</v>
      </c>
      <c r="N20" s="10">
        <f t="shared" si="8"/>
        <v>0</v>
      </c>
      <c r="O20" s="10">
        <f t="shared" si="8"/>
        <v>0</v>
      </c>
    </row>
    <row r="21" spans="2:15" ht="15" customHeight="1" x14ac:dyDescent="0.4">
      <c r="B21" s="9" t="s">
        <v>5</v>
      </c>
      <c r="C21" s="9"/>
      <c r="D21" s="11">
        <f>SUM(D18:D20)</f>
        <v>14.4375</v>
      </c>
      <c r="E21" s="11">
        <f t="shared" ref="E21:O21" si="9">SUM(E18:E20)</f>
        <v>16.574999999999999</v>
      </c>
      <c r="F21" s="11">
        <f t="shared" si="9"/>
        <v>17.412499999999998</v>
      </c>
      <c r="G21" s="11">
        <f t="shared" si="9"/>
        <v>14.249999999999998</v>
      </c>
      <c r="H21" s="11">
        <f t="shared" si="9"/>
        <v>11.087499999999999</v>
      </c>
      <c r="I21" s="11">
        <f t="shared" si="9"/>
        <v>7.9249999999999989</v>
      </c>
      <c r="J21" s="11">
        <f t="shared" si="9"/>
        <v>4.7624999999999993</v>
      </c>
      <c r="K21" s="11">
        <f t="shared" si="9"/>
        <v>1.5999999999999992</v>
      </c>
      <c r="L21" s="11">
        <f t="shared" si="9"/>
        <v>0.49999999999999911</v>
      </c>
      <c r="M21" s="11">
        <f t="shared" si="9"/>
        <v>-8.8817841970012523E-16</v>
      </c>
      <c r="N21" s="11">
        <f t="shared" si="9"/>
        <v>-8.8817841970012523E-16</v>
      </c>
      <c r="O21" s="11">
        <f t="shared" si="9"/>
        <v>-8.8817841970012523E-16</v>
      </c>
    </row>
    <row r="22" spans="2:15" ht="10.050000000000001" customHeight="1" x14ac:dyDescent="0.4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2:15" ht="15" customHeight="1" x14ac:dyDescent="0.35">
      <c r="B23" s="1" t="s">
        <v>15</v>
      </c>
      <c r="D23" s="5">
        <f>SUM(D6:D7,D12:D13,D18:D19)</f>
        <v>127.39999999999999</v>
      </c>
      <c r="E23" s="5">
        <f>D23+SUM(E7,E13,E19)</f>
        <v>149.79999999999998</v>
      </c>
      <c r="F23" s="5">
        <f t="shared" ref="F23:O24" si="10">E23+SUM(F7,F13,F19)</f>
        <v>173.59999999999997</v>
      </c>
      <c r="G23" s="5">
        <f t="shared" si="10"/>
        <v>173.59999999999997</v>
      </c>
      <c r="H23" s="5">
        <f t="shared" si="10"/>
        <v>173.59999999999997</v>
      </c>
      <c r="I23" s="5">
        <f t="shared" si="10"/>
        <v>173.59999999999997</v>
      </c>
      <c r="J23" s="5">
        <f t="shared" si="10"/>
        <v>173.59999999999997</v>
      </c>
      <c r="K23" s="5">
        <f t="shared" si="10"/>
        <v>173.59999999999997</v>
      </c>
      <c r="L23" s="5">
        <f t="shared" si="10"/>
        <v>173.59999999999997</v>
      </c>
      <c r="M23" s="5">
        <f t="shared" si="10"/>
        <v>173.59999999999997</v>
      </c>
      <c r="N23" s="5">
        <f t="shared" si="10"/>
        <v>173.59999999999997</v>
      </c>
      <c r="O23" s="5">
        <f t="shared" si="10"/>
        <v>173.59999999999997</v>
      </c>
    </row>
    <row r="24" spans="2:15" ht="15" customHeight="1" x14ac:dyDescent="0.35">
      <c r="B24" s="7" t="s">
        <v>13</v>
      </c>
      <c r="C24" s="7"/>
      <c r="D24" s="13">
        <f>SUM(D8,D14,D20)</f>
        <v>-9.0724999999999998</v>
      </c>
      <c r="E24" s="13">
        <f>D24+SUM(E8,E14,E20)</f>
        <v>-19.994999999999997</v>
      </c>
      <c r="F24" s="13">
        <f t="shared" si="10"/>
        <v>-32.8215</v>
      </c>
      <c r="G24" s="13">
        <f t="shared" si="10"/>
        <v>-45.648000000000003</v>
      </c>
      <c r="H24" s="13">
        <f t="shared" si="10"/>
        <v>-58.474500000000006</v>
      </c>
      <c r="I24" s="13">
        <f t="shared" si="10"/>
        <v>-71.301000000000002</v>
      </c>
      <c r="J24" s="13">
        <f t="shared" si="10"/>
        <v>-84.127499999999998</v>
      </c>
      <c r="K24" s="13">
        <f t="shared" si="10"/>
        <v>-96.953999999999994</v>
      </c>
      <c r="L24" s="13">
        <f t="shared" si="10"/>
        <v>-107.71799999999999</v>
      </c>
      <c r="M24" s="13">
        <f t="shared" si="10"/>
        <v>-117.88199999999999</v>
      </c>
      <c r="N24" s="13">
        <f t="shared" si="10"/>
        <v>-123.25599999999999</v>
      </c>
      <c r="O24" s="13">
        <f t="shared" si="10"/>
        <v>-127.71999999999998</v>
      </c>
    </row>
    <row r="25" spans="2:15" ht="15" customHeight="1" x14ac:dyDescent="0.4">
      <c r="B25" s="12" t="s">
        <v>12</v>
      </c>
      <c r="C25" s="25"/>
      <c r="D25" s="14">
        <f>SUM(D23:D24)</f>
        <v>118.32749999999999</v>
      </c>
      <c r="E25" s="14">
        <f t="shared" ref="E25:O25" si="11">SUM(E23:E24)</f>
        <v>129.80499999999998</v>
      </c>
      <c r="F25" s="14">
        <f t="shared" si="11"/>
        <v>140.77849999999995</v>
      </c>
      <c r="G25" s="14">
        <f t="shared" si="11"/>
        <v>127.95199999999997</v>
      </c>
      <c r="H25" s="14">
        <f t="shared" si="11"/>
        <v>115.12549999999996</v>
      </c>
      <c r="I25" s="14">
        <f t="shared" si="11"/>
        <v>102.29899999999996</v>
      </c>
      <c r="J25" s="14">
        <f t="shared" si="11"/>
        <v>89.472499999999968</v>
      </c>
      <c r="K25" s="14">
        <f t="shared" si="11"/>
        <v>76.645999999999972</v>
      </c>
      <c r="L25" s="14">
        <f t="shared" si="11"/>
        <v>65.881999999999977</v>
      </c>
      <c r="M25" s="14">
        <f t="shared" si="11"/>
        <v>55.717999999999975</v>
      </c>
      <c r="N25" s="14">
        <f t="shared" si="11"/>
        <v>50.34399999999998</v>
      </c>
      <c r="O25" s="15">
        <f t="shared" si="11"/>
        <v>45.879999999999981</v>
      </c>
    </row>
    <row r="26" spans="2:15" ht="15" customHeight="1" x14ac:dyDescent="0.4">
      <c r="B26" s="16" t="s">
        <v>14</v>
      </c>
      <c r="C26" s="16"/>
      <c r="D26" s="17">
        <f>D25-SUM(D9,D15,D21)</f>
        <v>0</v>
      </c>
      <c r="E26" s="17">
        <f t="shared" ref="E26:O26" si="12">E25-SUM(E9,E15,E21)</f>
        <v>0</v>
      </c>
      <c r="F26" s="17">
        <f t="shared" si="12"/>
        <v>0</v>
      </c>
      <c r="G26" s="17">
        <f t="shared" si="12"/>
        <v>0</v>
      </c>
      <c r="H26" s="17">
        <f t="shared" si="12"/>
        <v>0</v>
      </c>
      <c r="I26" s="17">
        <f t="shared" si="12"/>
        <v>0</v>
      </c>
      <c r="J26" s="17">
        <f t="shared" si="12"/>
        <v>0</v>
      </c>
      <c r="K26" s="17">
        <f t="shared" si="12"/>
        <v>0</v>
      </c>
      <c r="L26" s="17">
        <f t="shared" si="12"/>
        <v>0</v>
      </c>
      <c r="M26" s="17">
        <f t="shared" si="12"/>
        <v>0</v>
      </c>
      <c r="N26" s="17">
        <f t="shared" si="12"/>
        <v>0</v>
      </c>
      <c r="O26" s="17">
        <f t="shared" si="12"/>
        <v>0</v>
      </c>
    </row>
    <row r="27" spans="2:15" ht="10.050000000000001" customHeight="1" x14ac:dyDescent="0.35"/>
    <row r="28" spans="2:15" ht="15" customHeight="1" x14ac:dyDescent="0.4">
      <c r="B28" s="8" t="s">
        <v>8</v>
      </c>
      <c r="C28" s="8"/>
    </row>
    <row r="29" spans="2:15" ht="15" customHeight="1" x14ac:dyDescent="0.4">
      <c r="B29" s="8"/>
      <c r="C29" s="8"/>
    </row>
    <row r="30" spans="2:15" ht="15" customHeight="1" x14ac:dyDescent="0.35">
      <c r="B30" s="1" t="s">
        <v>9</v>
      </c>
      <c r="C30" s="20">
        <v>25</v>
      </c>
    </row>
    <row r="31" spans="2:15" ht="15" customHeight="1" x14ac:dyDescent="0.35">
      <c r="B31" s="1" t="s">
        <v>10</v>
      </c>
      <c r="C31" s="20">
        <v>10</v>
      </c>
    </row>
    <row r="32" spans="2:15" ht="15" customHeight="1" x14ac:dyDescent="0.35">
      <c r="B32" s="1" t="s">
        <v>11</v>
      </c>
      <c r="C32" s="20">
        <v>8</v>
      </c>
    </row>
    <row r="33" spans="2:15" ht="15" customHeight="1" x14ac:dyDescent="0.4">
      <c r="B33" s="8"/>
      <c r="C33" s="8"/>
    </row>
    <row r="34" spans="2:15" ht="15" customHeight="1" x14ac:dyDescent="0.4">
      <c r="B34" s="21" t="s">
        <v>17</v>
      </c>
      <c r="C34" s="21"/>
    </row>
    <row r="35" spans="2:15" ht="15" customHeight="1" x14ac:dyDescent="0.35">
      <c r="B35" s="23">
        <v>1</v>
      </c>
      <c r="C35" s="5">
        <f>D6+D7</f>
        <v>68</v>
      </c>
      <c r="D35" s="28">
        <f>IF(D$3-$D$3&lt;$C$30,$C35/$C$30,0)</f>
        <v>2.72</v>
      </c>
      <c r="E35" s="28">
        <f t="shared" ref="E35:O35" si="13">IF(E$3-$D$3&lt;$C$30,$C35/$C$30,0)</f>
        <v>2.72</v>
      </c>
      <c r="F35" s="28">
        <f t="shared" si="13"/>
        <v>2.72</v>
      </c>
      <c r="G35" s="28">
        <f t="shared" si="13"/>
        <v>2.72</v>
      </c>
      <c r="H35" s="28">
        <f t="shared" si="13"/>
        <v>2.72</v>
      </c>
      <c r="I35" s="28">
        <f t="shared" si="13"/>
        <v>2.72</v>
      </c>
      <c r="J35" s="28">
        <f t="shared" si="13"/>
        <v>2.72</v>
      </c>
      <c r="K35" s="28">
        <f t="shared" si="13"/>
        <v>2.72</v>
      </c>
      <c r="L35" s="28">
        <f t="shared" si="13"/>
        <v>2.72</v>
      </c>
      <c r="M35" s="28">
        <f t="shared" si="13"/>
        <v>2.72</v>
      </c>
      <c r="N35" s="28">
        <f t="shared" si="13"/>
        <v>2.72</v>
      </c>
      <c r="O35" s="28">
        <f t="shared" si="13"/>
        <v>2.72</v>
      </c>
    </row>
    <row r="36" spans="2:15" ht="15" customHeight="1" x14ac:dyDescent="0.35">
      <c r="B36" s="23">
        <f>B35+1</f>
        <v>2</v>
      </c>
      <c r="C36" s="13">
        <f>E7</f>
        <v>8.5</v>
      </c>
      <c r="E36" s="13">
        <f>IF(E$3-$E$3&lt;$C$30,$C36/$C$30,0)</f>
        <v>0.34</v>
      </c>
      <c r="F36" s="13">
        <f t="shared" ref="F36:O36" si="14">IF(F$3-$E$3&lt;$C$30,$C36/$C$30,0)</f>
        <v>0.34</v>
      </c>
      <c r="G36" s="13">
        <f t="shared" si="14"/>
        <v>0.34</v>
      </c>
      <c r="H36" s="13">
        <f t="shared" si="14"/>
        <v>0.34</v>
      </c>
      <c r="I36" s="13">
        <f t="shared" si="14"/>
        <v>0.34</v>
      </c>
      <c r="J36" s="13">
        <f t="shared" si="14"/>
        <v>0.34</v>
      </c>
      <c r="K36" s="13">
        <f t="shared" si="14"/>
        <v>0.34</v>
      </c>
      <c r="L36" s="13">
        <f t="shared" si="14"/>
        <v>0.34</v>
      </c>
      <c r="M36" s="13">
        <f t="shared" si="14"/>
        <v>0.34</v>
      </c>
      <c r="N36" s="13">
        <f t="shared" si="14"/>
        <v>0.34</v>
      </c>
      <c r="O36" s="13">
        <f t="shared" si="14"/>
        <v>0.34</v>
      </c>
    </row>
    <row r="37" spans="2:15" ht="15" customHeight="1" x14ac:dyDescent="0.35">
      <c r="B37" s="23">
        <f t="shared" ref="B37" si="15">B36+1</f>
        <v>3</v>
      </c>
      <c r="C37" s="13">
        <f>F7</f>
        <v>9.6</v>
      </c>
      <c r="E37" s="13"/>
      <c r="F37" s="13">
        <f>IF(F$3-$F$3&lt;$C$30,$C37/$C$30,0)</f>
        <v>0.38400000000000001</v>
      </c>
      <c r="G37" s="13">
        <f t="shared" ref="G37:O37" si="16">IF(G$3-$F$3&lt;$C$30,$C37/$C$30,0)</f>
        <v>0.38400000000000001</v>
      </c>
      <c r="H37" s="13">
        <f t="shared" si="16"/>
        <v>0.38400000000000001</v>
      </c>
      <c r="I37" s="13">
        <f t="shared" si="16"/>
        <v>0.38400000000000001</v>
      </c>
      <c r="J37" s="13">
        <f t="shared" si="16"/>
        <v>0.38400000000000001</v>
      </c>
      <c r="K37" s="13">
        <f t="shared" si="16"/>
        <v>0.38400000000000001</v>
      </c>
      <c r="L37" s="13">
        <f t="shared" si="16"/>
        <v>0.38400000000000001</v>
      </c>
      <c r="M37" s="13">
        <f t="shared" si="16"/>
        <v>0.38400000000000001</v>
      </c>
      <c r="N37" s="13">
        <f t="shared" si="16"/>
        <v>0.38400000000000001</v>
      </c>
      <c r="O37" s="13">
        <f t="shared" si="16"/>
        <v>0.38400000000000001</v>
      </c>
    </row>
    <row r="38" spans="2:15" ht="15" customHeight="1" x14ac:dyDescent="0.4">
      <c r="B38" s="26" t="s">
        <v>18</v>
      </c>
      <c r="C38" s="26"/>
      <c r="D38" s="22">
        <f t="shared" ref="D38:O38" si="17">SUM(D35:D37)</f>
        <v>2.72</v>
      </c>
      <c r="E38" s="22">
        <f t="shared" si="17"/>
        <v>3.06</v>
      </c>
      <c r="F38" s="22">
        <f t="shared" si="17"/>
        <v>3.444</v>
      </c>
      <c r="G38" s="22">
        <f t="shared" si="17"/>
        <v>3.444</v>
      </c>
      <c r="H38" s="22">
        <f t="shared" si="17"/>
        <v>3.444</v>
      </c>
      <c r="I38" s="22">
        <f t="shared" si="17"/>
        <v>3.444</v>
      </c>
      <c r="J38" s="22">
        <f t="shared" si="17"/>
        <v>3.444</v>
      </c>
      <c r="K38" s="22">
        <f t="shared" si="17"/>
        <v>3.444</v>
      </c>
      <c r="L38" s="22">
        <f t="shared" si="17"/>
        <v>3.444</v>
      </c>
      <c r="M38" s="22">
        <f t="shared" si="17"/>
        <v>3.444</v>
      </c>
      <c r="N38" s="22">
        <f t="shared" si="17"/>
        <v>3.444</v>
      </c>
      <c r="O38" s="22">
        <f t="shared" si="17"/>
        <v>3.444</v>
      </c>
    </row>
    <row r="39" spans="2:15" ht="15" customHeight="1" x14ac:dyDescent="0.35">
      <c r="B39" s="24"/>
      <c r="C39" s="24"/>
    </row>
    <row r="40" spans="2:15" ht="15" customHeight="1" x14ac:dyDescent="0.4">
      <c r="B40" s="21" t="s">
        <v>19</v>
      </c>
      <c r="C40" s="21"/>
    </row>
    <row r="41" spans="2:15" ht="15" customHeight="1" x14ac:dyDescent="0.35">
      <c r="B41" s="23">
        <v>1</v>
      </c>
      <c r="C41" s="5">
        <f>D12+D13</f>
        <v>42.9</v>
      </c>
      <c r="D41" s="28">
        <f>IF(D$3-$D$3&lt;$C$31,$C41/$C$31,0)</f>
        <v>4.29</v>
      </c>
      <c r="E41" s="28">
        <f t="shared" ref="E41:O41" si="18">IF(E$3-$D$3&lt;$C$31,$C41/$C$31,0)</f>
        <v>4.29</v>
      </c>
      <c r="F41" s="28">
        <f t="shared" si="18"/>
        <v>4.29</v>
      </c>
      <c r="G41" s="28">
        <f t="shared" si="18"/>
        <v>4.29</v>
      </c>
      <c r="H41" s="28">
        <f t="shared" si="18"/>
        <v>4.29</v>
      </c>
      <c r="I41" s="28">
        <f t="shared" si="18"/>
        <v>4.29</v>
      </c>
      <c r="J41" s="28">
        <f t="shared" si="18"/>
        <v>4.29</v>
      </c>
      <c r="K41" s="28">
        <f t="shared" si="18"/>
        <v>4.29</v>
      </c>
      <c r="L41" s="28">
        <f t="shared" si="18"/>
        <v>4.29</v>
      </c>
      <c r="M41" s="28">
        <f t="shared" si="18"/>
        <v>4.29</v>
      </c>
      <c r="N41" s="28">
        <f t="shared" si="18"/>
        <v>0</v>
      </c>
      <c r="O41" s="28">
        <f t="shared" si="18"/>
        <v>0</v>
      </c>
    </row>
    <row r="42" spans="2:15" ht="15" customHeight="1" x14ac:dyDescent="0.35">
      <c r="B42" s="23">
        <f>B41+1</f>
        <v>2</v>
      </c>
      <c r="C42" s="13">
        <f>E13</f>
        <v>9.1</v>
      </c>
      <c r="E42" s="13">
        <f>IF(E$3-$E$3&lt;$C$31,$C42/$C$31,0)</f>
        <v>0.90999999999999992</v>
      </c>
      <c r="F42" s="13">
        <f>IF(F$3-$E$3&lt;$C$31,$C42/$C$31,0)</f>
        <v>0.90999999999999992</v>
      </c>
      <c r="G42" s="13">
        <f t="shared" ref="G42:O42" si="19">IF(G$3-$E$3&lt;$C$31,$C42/$C$31,0)</f>
        <v>0.90999999999999992</v>
      </c>
      <c r="H42" s="13">
        <f t="shared" si="19"/>
        <v>0.90999999999999992</v>
      </c>
      <c r="I42" s="13">
        <f t="shared" si="19"/>
        <v>0.90999999999999992</v>
      </c>
      <c r="J42" s="13">
        <f t="shared" si="19"/>
        <v>0.90999999999999992</v>
      </c>
      <c r="K42" s="13">
        <f t="shared" si="19"/>
        <v>0.90999999999999992</v>
      </c>
      <c r="L42" s="13">
        <f t="shared" si="19"/>
        <v>0.90999999999999992</v>
      </c>
      <c r="M42" s="13">
        <f t="shared" si="19"/>
        <v>0.90999999999999992</v>
      </c>
      <c r="N42" s="13">
        <f t="shared" si="19"/>
        <v>0.90999999999999992</v>
      </c>
      <c r="O42" s="13">
        <f t="shared" si="19"/>
        <v>0</v>
      </c>
    </row>
    <row r="43" spans="2:15" ht="15" customHeight="1" x14ac:dyDescent="0.35">
      <c r="B43" s="23">
        <f t="shared" ref="B43" si="20">B42+1</f>
        <v>3</v>
      </c>
      <c r="C43" s="13">
        <f>F13</f>
        <v>10.199999999999999</v>
      </c>
      <c r="E43" s="13"/>
      <c r="F43" s="13">
        <f>IF(F$3-$F$3&lt;$C$31,$C43/$C$31,0)</f>
        <v>1.02</v>
      </c>
      <c r="G43" s="13">
        <f t="shared" ref="G43:O43" si="21">IF(G$3-$F$3&lt;$C$31,$C43/$C$31,0)</f>
        <v>1.02</v>
      </c>
      <c r="H43" s="13">
        <f t="shared" si="21"/>
        <v>1.02</v>
      </c>
      <c r="I43" s="13">
        <f t="shared" si="21"/>
        <v>1.02</v>
      </c>
      <c r="J43" s="13">
        <f t="shared" si="21"/>
        <v>1.02</v>
      </c>
      <c r="K43" s="13">
        <f t="shared" si="21"/>
        <v>1.02</v>
      </c>
      <c r="L43" s="13">
        <f t="shared" si="21"/>
        <v>1.02</v>
      </c>
      <c r="M43" s="13">
        <f t="shared" si="21"/>
        <v>1.02</v>
      </c>
      <c r="N43" s="13">
        <f t="shared" si="21"/>
        <v>1.02</v>
      </c>
      <c r="O43" s="13">
        <f t="shared" si="21"/>
        <v>1.02</v>
      </c>
    </row>
    <row r="44" spans="2:15" ht="15" customHeight="1" x14ac:dyDescent="0.4">
      <c r="B44" s="26" t="s">
        <v>20</v>
      </c>
      <c r="C44" s="26"/>
      <c r="D44" s="22">
        <f t="shared" ref="D44:O44" si="22">SUM(D41:D43)</f>
        <v>4.29</v>
      </c>
      <c r="E44" s="22">
        <f t="shared" si="22"/>
        <v>5.2</v>
      </c>
      <c r="F44" s="22">
        <f t="shared" si="22"/>
        <v>6.2200000000000006</v>
      </c>
      <c r="G44" s="22">
        <f t="shared" si="22"/>
        <v>6.2200000000000006</v>
      </c>
      <c r="H44" s="22">
        <f t="shared" si="22"/>
        <v>6.2200000000000006</v>
      </c>
      <c r="I44" s="22">
        <f t="shared" si="22"/>
        <v>6.2200000000000006</v>
      </c>
      <c r="J44" s="22">
        <f t="shared" si="22"/>
        <v>6.2200000000000006</v>
      </c>
      <c r="K44" s="22">
        <f t="shared" si="22"/>
        <v>6.2200000000000006</v>
      </c>
      <c r="L44" s="22">
        <f t="shared" si="22"/>
        <v>6.2200000000000006</v>
      </c>
      <c r="M44" s="22">
        <f t="shared" si="22"/>
        <v>6.2200000000000006</v>
      </c>
      <c r="N44" s="22">
        <f t="shared" si="22"/>
        <v>1.93</v>
      </c>
      <c r="O44" s="22">
        <f t="shared" si="22"/>
        <v>1.02</v>
      </c>
    </row>
    <row r="45" spans="2:15" ht="15" customHeight="1" x14ac:dyDescent="0.4">
      <c r="B45" s="21"/>
      <c r="C45" s="21"/>
    </row>
    <row r="46" spans="2:15" ht="15" customHeight="1" x14ac:dyDescent="0.4">
      <c r="B46" s="21" t="s">
        <v>21</v>
      </c>
      <c r="C46" s="21"/>
    </row>
    <row r="47" spans="2:15" ht="15" customHeight="1" x14ac:dyDescent="0.35">
      <c r="B47" s="23">
        <v>1</v>
      </c>
      <c r="C47" s="5">
        <f>D18+D19</f>
        <v>16.5</v>
      </c>
      <c r="D47" s="28">
        <f>IF(D$3-$D$3&lt;$C$32,$C47/$C$32,0)</f>
        <v>2.0625</v>
      </c>
      <c r="E47" s="28">
        <f t="shared" ref="E47:O47" si="23">IF(E$3-$D$3&lt;$C$32,$C47/$C$32,0)</f>
        <v>2.0625</v>
      </c>
      <c r="F47" s="28">
        <f t="shared" si="23"/>
        <v>2.0625</v>
      </c>
      <c r="G47" s="28">
        <f t="shared" si="23"/>
        <v>2.0625</v>
      </c>
      <c r="H47" s="28">
        <f>IF(H$3-$D$3&lt;$C$32,$C47/$C$32,0)</f>
        <v>2.0625</v>
      </c>
      <c r="I47" s="28">
        <f t="shared" si="23"/>
        <v>2.0625</v>
      </c>
      <c r="J47" s="28">
        <f t="shared" si="23"/>
        <v>2.0625</v>
      </c>
      <c r="K47" s="28">
        <f t="shared" si="23"/>
        <v>2.0625</v>
      </c>
      <c r="L47" s="28">
        <f t="shared" si="23"/>
        <v>0</v>
      </c>
      <c r="M47" s="28">
        <f t="shared" si="23"/>
        <v>0</v>
      </c>
      <c r="N47" s="28">
        <f t="shared" si="23"/>
        <v>0</v>
      </c>
      <c r="O47" s="28">
        <f t="shared" si="23"/>
        <v>0</v>
      </c>
    </row>
    <row r="48" spans="2:15" ht="15" customHeight="1" x14ac:dyDescent="0.35">
      <c r="B48" s="23">
        <f>B47+1</f>
        <v>2</v>
      </c>
      <c r="C48" s="13">
        <f>E19</f>
        <v>4.8</v>
      </c>
      <c r="E48" s="13">
        <f>IF(E$3-$E$3&lt;$C$32,$C48/$C$32,0)</f>
        <v>0.6</v>
      </c>
      <c r="F48" s="13">
        <f t="shared" ref="F48:O48" si="24">IF(F$3-$E$3&lt;$C$32,$C48/$C$32,0)</f>
        <v>0.6</v>
      </c>
      <c r="G48" s="13">
        <f t="shared" si="24"/>
        <v>0.6</v>
      </c>
      <c r="H48" s="13">
        <f t="shared" si="24"/>
        <v>0.6</v>
      </c>
      <c r="I48" s="13">
        <f t="shared" si="24"/>
        <v>0.6</v>
      </c>
      <c r="J48" s="13">
        <f t="shared" si="24"/>
        <v>0.6</v>
      </c>
      <c r="K48" s="13">
        <f t="shared" si="24"/>
        <v>0.6</v>
      </c>
      <c r="L48" s="13">
        <f t="shared" si="24"/>
        <v>0.6</v>
      </c>
      <c r="M48" s="13">
        <f t="shared" si="24"/>
        <v>0</v>
      </c>
      <c r="N48" s="13">
        <f t="shared" si="24"/>
        <v>0</v>
      </c>
      <c r="O48" s="13">
        <f t="shared" si="24"/>
        <v>0</v>
      </c>
    </row>
    <row r="49" spans="2:15" ht="15" customHeight="1" x14ac:dyDescent="0.35">
      <c r="B49" s="23">
        <f t="shared" ref="B49" si="25">B48+1</f>
        <v>3</v>
      </c>
      <c r="C49" s="13">
        <f>F19</f>
        <v>4</v>
      </c>
      <c r="E49" s="13"/>
      <c r="F49" s="13">
        <f>IF(F$3-$F$3&lt;$C$32,$C49/$C$32,0)</f>
        <v>0.5</v>
      </c>
      <c r="G49" s="13">
        <f t="shared" ref="G49:O49" si="26">IF(G$3-$F$3&lt;$C$32,$C49/$C$32,0)</f>
        <v>0.5</v>
      </c>
      <c r="H49" s="13">
        <f t="shared" si="26"/>
        <v>0.5</v>
      </c>
      <c r="I49" s="13">
        <f t="shared" si="26"/>
        <v>0.5</v>
      </c>
      <c r="J49" s="13">
        <f t="shared" si="26"/>
        <v>0.5</v>
      </c>
      <c r="K49" s="13">
        <f t="shared" si="26"/>
        <v>0.5</v>
      </c>
      <c r="L49" s="13">
        <f t="shared" si="26"/>
        <v>0.5</v>
      </c>
      <c r="M49" s="13">
        <f t="shared" si="26"/>
        <v>0.5</v>
      </c>
      <c r="N49" s="13">
        <f t="shared" si="26"/>
        <v>0</v>
      </c>
      <c r="O49" s="13">
        <f t="shared" si="26"/>
        <v>0</v>
      </c>
    </row>
    <row r="50" spans="2:15" ht="15" customHeight="1" x14ac:dyDescent="0.4">
      <c r="B50" s="26" t="s">
        <v>22</v>
      </c>
      <c r="C50" s="26"/>
      <c r="D50" s="22">
        <f t="shared" ref="D50:O50" si="27">SUM(D47:D49)</f>
        <v>2.0625</v>
      </c>
      <c r="E50" s="22">
        <f t="shared" si="27"/>
        <v>2.6625000000000001</v>
      </c>
      <c r="F50" s="22">
        <f t="shared" si="27"/>
        <v>3.1625000000000001</v>
      </c>
      <c r="G50" s="22">
        <f t="shared" si="27"/>
        <v>3.1625000000000001</v>
      </c>
      <c r="H50" s="22">
        <f t="shared" si="27"/>
        <v>3.1625000000000001</v>
      </c>
      <c r="I50" s="22">
        <f t="shared" si="27"/>
        <v>3.1625000000000001</v>
      </c>
      <c r="J50" s="22">
        <f t="shared" si="27"/>
        <v>3.1625000000000001</v>
      </c>
      <c r="K50" s="22">
        <f t="shared" si="27"/>
        <v>3.1625000000000001</v>
      </c>
      <c r="L50" s="22">
        <f t="shared" si="27"/>
        <v>1.1000000000000001</v>
      </c>
      <c r="M50" s="22">
        <f t="shared" si="27"/>
        <v>0.5</v>
      </c>
      <c r="N50" s="22">
        <f t="shared" si="27"/>
        <v>0</v>
      </c>
      <c r="O50" s="22">
        <f t="shared" si="27"/>
        <v>0</v>
      </c>
    </row>
    <row r="51" spans="2:15" ht="15" customHeight="1" x14ac:dyDescent="0.4">
      <c r="B51" s="21"/>
      <c r="C51" s="21"/>
    </row>
    <row r="52" spans="2:15" ht="15" customHeight="1" x14ac:dyDescent="0.4">
      <c r="B52" s="12" t="s">
        <v>23</v>
      </c>
      <c r="C52" s="27"/>
      <c r="D52" s="14">
        <f t="shared" ref="D52:O52" si="28">D38+D44+D50</f>
        <v>9.0724999999999998</v>
      </c>
      <c r="E52" s="14">
        <f t="shared" si="28"/>
        <v>10.922499999999999</v>
      </c>
      <c r="F52" s="14">
        <f t="shared" si="28"/>
        <v>12.826500000000001</v>
      </c>
      <c r="G52" s="14">
        <f t="shared" si="28"/>
        <v>12.826500000000001</v>
      </c>
      <c r="H52" s="14">
        <f t="shared" si="28"/>
        <v>12.826500000000001</v>
      </c>
      <c r="I52" s="14">
        <f t="shared" si="28"/>
        <v>12.826500000000001</v>
      </c>
      <c r="J52" s="14">
        <f t="shared" si="28"/>
        <v>12.826500000000001</v>
      </c>
      <c r="K52" s="14">
        <f t="shared" si="28"/>
        <v>12.826500000000001</v>
      </c>
      <c r="L52" s="14">
        <f t="shared" si="28"/>
        <v>10.764000000000001</v>
      </c>
      <c r="M52" s="14">
        <f t="shared" si="28"/>
        <v>10.164000000000001</v>
      </c>
      <c r="N52" s="14">
        <f t="shared" si="28"/>
        <v>5.3739999999999997</v>
      </c>
      <c r="O52" s="15">
        <f t="shared" si="28"/>
        <v>4.4640000000000004</v>
      </c>
    </row>
    <row r="53" spans="2:15" ht="15" customHeight="1" x14ac:dyDescent="0.4">
      <c r="B53" s="21"/>
      <c r="C53" s="21"/>
    </row>
    <row r="54" spans="2:15" ht="15" customHeight="1" x14ac:dyDescent="0.35"/>
    <row r="55" spans="2:15" ht="15" customHeight="1" x14ac:dyDescent="0.35"/>
    <row r="56" spans="2:15" ht="15" customHeight="1" x14ac:dyDescent="0.35"/>
    <row r="57" spans="2:15" ht="15" customHeight="1" x14ac:dyDescent="0.35"/>
    <row r="58" spans="2:15" ht="15" customHeight="1" x14ac:dyDescent="0.35"/>
    <row r="59" spans="2:15" ht="15" customHeight="1" x14ac:dyDescent="0.35"/>
    <row r="60" spans="2:15" ht="15" customHeight="1" x14ac:dyDescent="0.35"/>
    <row r="61" spans="2:15" ht="15" customHeight="1" x14ac:dyDescent="0.35"/>
    <row r="62" spans="2:15" ht="15" customHeight="1" x14ac:dyDescent="0.35"/>
    <row r="63" spans="2:15" ht="15" customHeight="1" x14ac:dyDescent="0.35"/>
    <row r="64" spans="2:15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</sheetData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1 - PPE Build</vt:lpstr>
      <vt:lpstr>2 - PPE Build</vt:lpstr>
      <vt:lpstr>3 - PPE Build</vt:lpstr>
      <vt:lpstr>'1 - PPE Build'!Print_Area</vt:lpstr>
      <vt:lpstr>'2 - PPE Build'!Print_Area</vt:lpstr>
      <vt:lpstr>'3 - PPE Build'!Print_Area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Colton Moraine</dc:creator>
  <cp:lastModifiedBy>Colton Moraine</cp:lastModifiedBy>
  <dcterms:created xsi:type="dcterms:W3CDTF">2025-10-14T18:34:51Z</dcterms:created>
  <dcterms:modified xsi:type="dcterms:W3CDTF">2025-12-16T14:58:44Z</dcterms:modified>
</cp:coreProperties>
</file>