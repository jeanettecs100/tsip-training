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db7ffec446cb864/Desktop/Meridian/19th Workbook (Operating Model)/"/>
    </mc:Choice>
  </mc:AlternateContent>
  <xr:revisionPtr revIDLastSave="0" documentId="8_{B4DFFFE9-61CC-4865-80E8-B784967187FD}" xr6:coauthVersionLast="47" xr6:coauthVersionMax="47" xr10:uidLastSave="{00000000-0000-0000-0000-000000000000}"/>
  <bookViews>
    <workbookView xWindow="-90" yWindow="0" windowWidth="11460" windowHeight="14410" activeTab="4" xr2:uid="{00000000-000D-0000-FFFF-FFFF00000000}"/>
  </bookViews>
  <sheets>
    <sheet name="Cover" sheetId="1" r:id="rId1"/>
    <sheet name="Historical Financials" sheetId="2" r:id="rId2"/>
    <sheet name="Capex &amp; NWC Drivers" sheetId="3" r:id="rId3"/>
    <sheet name="P&amp;L Drivers" sheetId="4" r:id="rId4"/>
    <sheet name="Returns Model" sheetId="5" r:id="rId5"/>
  </sheets>
  <definedNames>
    <definedName name="\0">#REF!</definedName>
    <definedName name="\i">#REF!</definedName>
    <definedName name="\L">#REF!</definedName>
    <definedName name="\m">#REF!</definedName>
    <definedName name="\R">#REF!</definedName>
    <definedName name="\t">#REF!</definedName>
    <definedName name="__FDS_HYPERLINK_TOGGLE_STATE__">"ON"</definedName>
    <definedName name="__FDS_UNIQUE_RANGE_ID_GENERATOR_COUNTER">1</definedName>
    <definedName name="_1">#REF!</definedName>
    <definedName name="_1__FDSAUDITLINK__" localSheetId="0">{"fdsup://IBCentral/FAT Viewer?action=UPDATE&amp;creator=factset&amp;DOC_NAME=fat:reuters_ytd_source_window.fat&amp;display_string=Audit&amp;DYN_ARGS=TRUE&amp;VAR:ID1=26000310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__FDSAUDITLINK__">{"fdsup://IBCentral/FAT Viewer?action=UPDATE&amp;creator=factset&amp;DOC_NAME=fat:reuters_ytd_source_window.fat&amp;display_string=Audit&amp;DYN_ARGS=TRUE&amp;VAR:ID1=26000310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__FDSAUDITLINK__" localSheetId="0">{"fdsup://IBCentral/FAT Viewer?action=UPDATE&amp;creator=factset&amp;DOC_NAME=fat:reuters_qtrly_source_window.fat&amp;display_string=Audit&amp;DYN_ARGS=TRUE&amp;VAR:ID1=38410910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">{"fdsup://IBCentral/FAT Viewer?action=UPDATE&amp;creator=factset&amp;DOC_NAME=fat:reuters_qtrly_source_window.fat&amp;display_string=Audit&amp;DYN_ARGS=TRUE&amp;VAR:ID1=38410910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" localSheetId="0">{"fdsup://IBCentral/FAT Viewer?action=UPDATE&amp;creator=factset&amp;DOC_NAME=fat:reuters_semi_source_window.fat&amp;display_string=Audit&amp;DYN_ARGS=TRUE&amp;VAR:ID1=GGG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__FDSAUDITLINK__">{"fdsup://IBCentral/FAT Viewer?action=UPDATE&amp;creator=factset&amp;DOC_NAME=fat:reuters_semi_source_window.fat&amp;display_string=Audit&amp;DYN_ARGS=TRUE&amp;VAR:ID1=GGG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11_19th_Street">#REF!</definedName>
    <definedName name="_12__FDSAUDITLINK__" localSheetId="0">{"fdsup://IBCentral/FAT Viewer?action=UPDATE&amp;creator=factset&amp;DOC_NAME=fat:reuters_qtrly_source_window.fat&amp;display_string=Audit&amp;DYN_ARGS=TRUE&amp;VAR:ID1=26000310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">{"fdsup://IBCentral/FAT Viewer?action=UPDATE&amp;creator=factset&amp;DOC_NAME=fat:reuters_qtrly_source_window.fat&amp;display_string=Audit&amp;DYN_ARGS=TRUE&amp;VAR:ID1=26000310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" localSheetId="0">{"fdsup://IBCentral/FAT Viewer?action=UPDATE&amp;creator=factset&amp;DOC_NAME=fat:reuters_semi_source_window.fat&amp;display_string=Audit&amp;DYN_ARGS=TRUE&amp;VAR:ID1=DOV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3__FDSAUDITLINK__">{"fdsup://IBCentral/FAT Viewer?action=UPDATE&amp;creator=factset&amp;DOC_NAME=fat:reuters_semi_source_window.fat&amp;display_string=Audit&amp;DYN_ARGS=TRUE&amp;VAR:ID1=DOV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4__FDSAUDITLINK__" localSheetId="0">{"fdsup://IBCentral/FAT Viewer?action=UPDATE&amp;creator=factset&amp;DOC_NAME=fat:reuters_qtrly_shs_src_window.fat&amp;display_string=Audit&amp;DYN_ARGS=TRUE&amp;VAR:ID1=77669610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__FDSAUDITLINK__">{"fdsup://IBCentral/FAT Viewer?action=UPDATE&amp;creator=factset&amp;DOC_NAME=fat:reuters_qtrly_shs_src_window.fat&amp;display_string=Audit&amp;DYN_ARGS=TRUE&amp;VAR:ID1=77669610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180_Accumulated_Depreciation___Equipment________________Courtyard___Plano__TX______0000">#REF!</definedName>
    <definedName name="_14182_Accumulated_Depreciation___Equipment___Capital_Leas_Courtyard___Philadelphia___0000">#REF!</definedName>
    <definedName name="_15__FDSAUDITLINK__" localSheetId="0">{"fdsup://IBCentral/FAT Viewer?action=UPDATE&amp;creator=factset&amp;DOC_NAME=fat:reuters_ytd_source_window.fat&amp;display_string=Audit&amp;DYN_ARGS=TRUE&amp;VAR:ID1=45167R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__FDSAUDITLINK__">{"fdsup://IBCentral/FAT Viewer?action=UPDATE&amp;creator=factset&amp;DOC_NAME=fat:reuters_ytd_source_window.fat&amp;display_string=Audit&amp;DYN_ARGS=TRUE&amp;VAR:ID1=45167R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__FDSAUDITLINK__" localSheetId="0">{"fdsup://IBCentral/FAT Viewer?action=UPDATE&amp;creator=factset&amp;DOC_NAME=fat:reuters_ytd_source_window.fat&amp;display_string=Audit&amp;DYN_ARGS=TRUE&amp;VAR:ID1=46625H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__FDSAUDITLINK__">{"fdsup://IBCentral/FAT Viewer?action=UPDATE&amp;creator=factset&amp;DOC_NAME=fat:reuters_ytd_source_window.fat&amp;display_string=Audit&amp;DYN_ARGS=TRUE&amp;VAR:ID1=46625H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_FDSAUDITLINK__" localSheetId="0">{"fdsup://IBCentral/FAT Viewer?action=UPDATE&amp;creator=factset&amp;DOC_NAME=fat:reuters_ytd_source_window.fat&amp;display_string=Audit&amp;DYN_ARGS=TRUE&amp;VAR:ID1=46625H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_FDSAUDITLINK__">{"fdsup://IBCentral/FAT Viewer?action=UPDATE&amp;creator=factset&amp;DOC_NAME=fat:reuters_ytd_source_window.fat&amp;display_string=Audit&amp;DYN_ARGS=TRUE&amp;VAR:ID1=46625H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__FDSAUDITLINK__" localSheetId="0">{"fdsup://IBCentral/FAT Viewer?action=UPDATE&amp;creator=factset&amp;DOC_NAME=fat:reuters_ytd_source_window.fat&amp;display_string=Audit&amp;DYN_ARGS=TRUE&amp;VAR:ID1=45167R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__FDSAUDITLINK__">{"fdsup://IBCentral/FAT Viewer?action=UPDATE&amp;creator=factset&amp;DOC_NAME=fat:reuters_ytd_source_window.fat&amp;display_string=Audit&amp;DYN_ARGS=TRUE&amp;VAR:ID1=45167R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__FDSAUDITLINK__" localSheetId="0">{"fdsup://IBCentral/FAT Viewer?action=UPDATE&amp;creator=factset&amp;DOC_NAME=fat:reuters_ytd_source_window.fat&amp;display_string=Audit&amp;DYN_ARGS=TRUE&amp;VAR:ID1=77669610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__FDSAUDITLINK__">{"fdsup://IBCentral/FAT Viewer?action=UPDATE&amp;creator=factset&amp;DOC_NAME=fat:reuters_ytd_source_window.fat&amp;display_string=Audit&amp;DYN_ARGS=TRUE&amp;VAR:ID1=77669610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__FDSAUDITLINK__" localSheetId="0">{"fdsup://IBCentral/FAT Viewer?action=UPDATE&amp;creator=factset&amp;DOC_NAME=fat:reuters_ytd_source_window.fat&amp;display_string=Audit&amp;DYN_ARGS=TRUE&amp;VAR:ID1=65566310&amp;VAR:RCODE=VRXP&amp;VAR:SDATE=20081099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__FDSAUDITLINK__">{"fdsup://IBCentral/FAT Viewer?action=UPDATE&amp;creator=factset&amp;DOC_NAME=fat:reuters_ytd_source_window.fat&amp;display_string=Audit&amp;DYN_ARGS=TRUE&amp;VAR:ID1=65566310&amp;VAR:RCODE=VRXP&amp;VAR:SDATE=20081099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__FDSAUDITLINK__" localSheetId="0">{"fdsup://IBCentral/FAT Viewer?action=UPDATE&amp;creator=factset&amp;DOC_NAME=fat:reuters_ytd_source_window.fat&amp;display_string=Audit&amp;DYN_ARGS=TRUE&amp;VAR:ID1=77669610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__FDSAUDITLINK__">{"fdsup://IBCentral/FAT Viewer?action=UPDATE&amp;creator=factset&amp;DOC_NAME=fat:reuters_ytd_source_window.fat&amp;display_string=Audit&amp;DYN_ARGS=TRUE&amp;VAR:ID1=77669610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1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2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3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4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4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5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5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5_0">#REF!</definedName>
    <definedName name="_26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6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7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8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9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9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__FDSAUDITLINK__" localSheetId="0">{"fdsup://IBCentral/FAT Viewer?action=UPDATE&amp;creator=factset&amp;DOC_NAME=fat:reuters_ytd_source_window.fat&amp;display_string=Audit&amp;DYN_ARGS=TRUE&amp;VAR:ID1=38410910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">{"fdsup://IBCentral/FAT Viewer?action=UPDATE&amp;creator=factset&amp;DOC_NAME=fat:reuters_ytd_source_window.fat&amp;display_string=Audit&amp;DYN_ARGS=TRUE&amp;VAR:ID1=38410910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0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0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1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2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3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4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5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6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7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8__FDSAUDITLINK__" localSheetId="0">{"fdsup://IBCentral/FAT Viewer?action=UPDATE&amp;creator=factset&amp;DOC_NAME=fat:reuters_semi_source_window.fat&amp;display_string=Audit&amp;DYN_ARGS=TRUE&amp;VAR:ID1=NUE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38__FDSAUDITLINK__">{"fdsup://IBCentral/FAT Viewer?action=UPDATE&amp;creator=factset&amp;DOC_NAME=fat:reuters_semi_source_window.fat&amp;display_string=Audit&amp;DYN_ARGS=TRUE&amp;VAR:ID1=NUE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39__FDSAUDITLINK__" localSheetId="0">{"fdsup://IBCentral/FAT Viewer?action=UPDATE&amp;creator=factset&amp;DOC_NAME=fat:reuters_qtrly_source_window.fat&amp;display_string=Audit&amp;DYN_ARGS=TRUE&amp;VAR:ID1=67034610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__FDSAUDITLINK__">{"fdsup://IBCentral/FAT Viewer?action=UPDATE&amp;creator=factset&amp;DOC_NAME=fat:reuters_qtrly_source_window.fat&amp;display_string=Audit&amp;DYN_ARGS=TRUE&amp;VAR:ID1=67034610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" localSheetId="0">{"fdsup://IBCentral/FAT Viewer?action=UPDATE&amp;creator=factset&amp;DOC_NAME=fat:reuters_ytd_source_window.fat&amp;display_string=Audit&amp;DYN_ARGS=TRUE&amp;VAR:ID1=38410910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__FDSAUDITLINK__">{"fdsup://IBCentral/FAT Viewer?action=UPDATE&amp;creator=factset&amp;DOC_NAME=fat:reuters_ytd_source_window.fat&amp;display_string=Audit&amp;DYN_ARGS=TRUE&amp;VAR:ID1=38410910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0__FDSAUDITLINK__" localSheetId="0">{"fdsup://IBCentral/FAT Viewer?action=UPDATE&amp;creator=factset&amp;DOC_NAME=fat:reuters_qtrly_source_window.fat&amp;display_string=Audit&amp;DYN_ARGS=TRUE&amp;VAR:ID1=00154710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_FDSAUDITLINK__">{"fdsup://IBCentral/FAT Viewer?action=UPDATE&amp;creator=factset&amp;DOC_NAME=fat:reuters_qtrly_source_window.fat&amp;display_string=Audit&amp;DYN_ARGS=TRUE&amp;VAR:ID1=00154710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1__FDSAUDITLINK__" localSheetId="0">{"fdsup://IBCentral/FAT Viewer?action=UPDATE&amp;creator=factset&amp;DOC_NAME=fat:reuters_semi_source_window.fat&amp;display_string=Audit&amp;DYN_ARGS=TRUE&amp;VAR:ID1=T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41__FDSAUDITLINK__">{"fdsup://IBCentral/FAT Viewer?action=UPDATE&amp;creator=factset&amp;DOC_NAME=fat:reuters_semi_source_window.fat&amp;display_string=Audit&amp;DYN_ARGS=TRUE&amp;VAR:ID1=T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43__FDSAUDITLINK__" localSheetId="0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3__FDSAUDITLINK__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__FDSAUDITLINK__" localSheetId="0">{"fdsup://IBCentral/FAT Viewer?action=UPDATE&amp;creator=factset&amp;DOC_NAME=fat:reuters_qtrly_shs_src_window.fat&amp;display_string=Audit&amp;DYN_ARGS=TRUE&amp;VAR:ID1=67034610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__FDSAUDITLINK__">{"fdsup://IBCentral/FAT Viewer?action=UPDATE&amp;creator=factset&amp;DOC_NAME=fat:reuters_qtrly_shs_src_window.fat&amp;display_string=Audit&amp;DYN_ARGS=TRUE&amp;VAR:ID1=67034610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STEP_UP">#REF!</definedName>
    <definedName name="_46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6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7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7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8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8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9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9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__FDSAUDITLINK__" localSheetId="0">{"fdsup://IBCentral/FAT Viewer?action=UPDATE&amp;creator=factset&amp;DOC_NAME=fat:reuters_ytd_source_window.fat&amp;display_string=Audit&amp;DYN_ARGS=TRUE&amp;VAR:ID1=26000310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__FDSAUDITLINK__">{"fdsup://IBCentral/FAT Viewer?action=UPDATE&amp;creator=factset&amp;DOC_NAME=fat:reuters_ytd_source_window.fat&amp;display_string=Audit&amp;DYN_ARGS=TRUE&amp;VAR:ID1=26000310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0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00_Marquette">#REF!</definedName>
    <definedName name="_51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1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2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2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3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3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4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4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5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5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6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6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7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7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8__FDSAUDITLINK__" localSheetId="0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8__FDSAUDITLINK__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__FDSAUDITLINK__" localSheetId="0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" localSheetId="0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0__FDSAUDITLINK__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0_Spear">#REF!</definedName>
    <definedName name="_61__FDSAUDITLINK__" localSheetId="0">{"fdsup://IBCentral/FAT Viewer?action=UPDATE&amp;creator=factset&amp;DOC_NAME=fat:reuters_semi_source_window.fat&amp;display_string=Audit&amp;DYN_ARGS=TRUE&amp;VAR:ID1=AK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1__FDSAUDITLINK__">{"fdsup://IBCentral/FAT Viewer?action=UPDATE&amp;creator=factset&amp;DOC_NAME=fat:reuters_semi_source_window.fat&amp;display_string=Audit&amp;DYN_ARGS=TRUE&amp;VAR:ID1=AK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2__FDSAUDITLINK__" localSheetId="0">{"fdsup://IBCentral/FAT Viewer?action=UPDATE&amp;creator=factset&amp;DOC_NAME=fat:reuters_qtrly_source_window.fat&amp;display_string=Audit&amp;DYN_ARGS=TRUE&amp;VAR:ID1=Y8564W10&amp;VAR:RCODE=STLD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">{"fdsup://IBCentral/FAT Viewer?action=UPDATE&amp;creator=factset&amp;DOC_NAME=fat:reuters_qtrly_source_window.fat&amp;display_string=Audit&amp;DYN_ARGS=TRUE&amp;VAR:ID1=Y8564W10&amp;VAR:RCODE=STLD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4__FDSAUDITLINK__" localSheetId="0">{"fdsup://IBCentral/FAT Viewer?action=UPDATE&amp;creator=factset&amp;DOC_NAME=fat:reuters_qtrly_source_window.fat&amp;display_string=Audit&amp;DYN_ARGS=TRUE&amp;VAR:ID1=85206110&amp;VAR:RCODE=STLD&amp;VAR:SDATE=20090399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4__FDSAUDITLINK__">{"fdsup://IBCentral/FAT Viewer?action=UPDATE&amp;creator=factset&amp;DOC_NAME=fat:reuters_qtrly_source_window.fat&amp;display_string=Audit&amp;DYN_ARGS=TRUE&amp;VAR:ID1=85206110&amp;VAR:RCODE=STLD&amp;VAR:SDATE=20090399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5__FDSAUDITLINK__" localSheetId="0">{"fdsup://IBCentral/FAT Viewer?action=UPDATE&amp;creator=factset&amp;DOC_NAME=fat:reuters_semi_source_window.fat&amp;display_string=Audit&amp;DYN_ARGS=TRUE&amp;VAR:ID1=S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65__FDSAUDITLINK__">{"fdsup://IBCentral/FAT Viewer?action=UPDATE&amp;creator=factset&amp;DOC_NAME=fat:reuters_semi_source_window.fat&amp;display_string=Audit&amp;DYN_ARGS=TRUE&amp;VAR:ID1=S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66__FDSAUDITLINK__" localSheetId="0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66__FDSAUDITLINK__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67__FDSAUDITLINK__" localSheetId="0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7__FDSAUDITLINK__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8__FDSAUDITLINK__" localSheetId="0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8__FDSAUDITLINK__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9__FDSAUDITLINK__" localSheetId="0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9__FDSAUDITLINK__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7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70__FDSAUDITLINK__" localSheetId="0">{"fdsup://IBCentral/FAT Viewer?action=UPDATE&amp;creator=factset&amp;DOC_NAME=fat:reuters_semi_shs_src_window.fat&amp;display_string=Audit&amp;DYN_ARGS=TRUE&amp;VAR:ID1=332520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0__FDSAUDITLINK__">{"fdsup://IBCentral/FAT Viewer?action=UPDATE&amp;creator=factset&amp;DOC_NAME=fat:reuters_semi_shs_src_window.fat&amp;display_string=Audit&amp;DYN_ARGS=TRUE&amp;VAR:ID1=332520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4__FDSAUDITLINK__" localSheetId="0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74__FDSAUDITLINK__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76__FDSAUDITLINK__" localSheetId="0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6__FDSAUDITLINK__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__FDSAUDITLINK__" localSheetId="0">{"fdsup://IBCentral/FAT Viewer?action=UPDATE&amp;creator=factset&amp;DOC_NAME=fat:reuters_qtrly_source_window.fat&amp;display_string=Audit&amp;DYN_ARGS=TRUE&amp;VAR:ID1=45167R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">{"fdsup://IBCentral/FAT Viewer?action=UPDATE&amp;creator=factset&amp;DOC_NAME=fat:reuters_qtrly_source_window.fat&amp;display_string=Audit&amp;DYN_ARGS=TRUE&amp;VAR:ID1=45167R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" localSheetId="0">{"fdsup://IBCentral/FAT Viewer?action=UPDATE&amp;creator=factset&amp;DOC_NAME=fat:reuters_semi_source_window.fat&amp;display_string=Audit&amp;DYN_ARGS=TRUE&amp;VAR:ID1=IEX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9__FDSAUDITLINK__">{"fdsup://IBCentral/FAT Viewer?action=UPDATE&amp;creator=factset&amp;DOC_NAME=fat:reuters_semi_source_window.fat&amp;display_string=Audit&amp;DYN_ARGS=TRUE&amp;VAR:ID1=IEX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93__FDSAUDITLINK__" localSheetId="0">{"fdsup://IBCentral/FAT Viewer?action=UPDATE&amp;creator=factset&amp;DOC_NAME=fat:reuters_qtrly_shs_src_window.fat&amp;display_string=Audit&amp;DYN_ARGS=TRUE&amp;VAR:ID1=91290910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3__FDSAUDITLINK__">{"fdsup://IBCentral/FAT Viewer?action=UPDATE&amp;creator=factset&amp;DOC_NAME=fat:reuters_qtrly_shs_src_window.fat&amp;display_string=Audit&amp;DYN_ARGS=TRUE&amp;VAR:ID1=91290910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4__FDSAUDITLINK__" localSheetId="0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4__FDSAUDITLINK__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5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95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bdm.028285451B4742929125DFB41D546413.edm">#REF!</definedName>
    <definedName name="_bdm.16AA9A3EFC28404BA85B049587C880C8.edm">#REF!</definedName>
    <definedName name="_bdm.1D26AA9B3391447F9A7D401C2A2957EC.edm">#REF!</definedName>
    <definedName name="_bdm.1F34719A23B34845A4C25E45C3DDF83D.edm">#REF!</definedName>
    <definedName name="_bdm.22432391224B438D8EFBF7683098DD3E.edm">#REF!</definedName>
    <definedName name="_bdm.23D8DF48031241CBB016C38B4F807196.edm">#REF!</definedName>
    <definedName name="_bdm.450AC11AD54948929B5DFCF6E68CAEE5.edm">#REF!</definedName>
    <definedName name="_bdm.5A8BDDFBFD3842C2ABEA35DD2CA102C7.edm">#REF!</definedName>
    <definedName name="_bdm.619D0A075BCE49F3AE2DFCAB7922D2FB.edm">#REF!</definedName>
    <definedName name="_bdm.6698C999A3DB4955B72A8DE986E8E059.edm">#REF!</definedName>
    <definedName name="_bdm.716E8AC41D7F44889A91B9561AB5E54A.edm">#REF!</definedName>
    <definedName name="_bdm.8664FDAB4C71436BBE09980F3B0196AB.edm">#REF!</definedName>
    <definedName name="_bdm.8AB906D8C9734F2286D5C9AF62741447.edm">#REF!</definedName>
    <definedName name="_bdm.9A173BE4CFF34FAE89F3FA5B0BC17717.edm">#REF!</definedName>
    <definedName name="_bdm.A5D1906AC03742F2A1DCEBD455574B86.edm">#REF!</definedName>
    <definedName name="_bdm.A9DB6556387A48C986268CFFA66D14C5.edm">#REF!</definedName>
    <definedName name="_bdm.B1CD14597A1448FBBAD91ADC116AA817.edm">#REF!</definedName>
    <definedName name="_bdm.BD200F3830E14C118FAEF247DA56A648.edm">#REF!</definedName>
    <definedName name="_bdm.BE01C6A9B87D4520B2B9A588797491FA.edm">#REF!</definedName>
    <definedName name="_bdm.CAF081D66FB74576B10C513AD7F2BD14.edm">#REF!</definedName>
    <definedName name="_bdm.CD342BFF8027460E98352C7B8C9343A6.edm">#REF!</definedName>
    <definedName name="_bdm.D84D0266F6A548778138E8EDADA2A502.edm">#REF!</definedName>
    <definedName name="_bdm.DC24C60BD8804AD3B3B483F23A282A8E.edm">#REF!</definedName>
    <definedName name="_bdm.DC5CF1FCF3F649CC85B6C35F227B6EE3.edm">#REF!</definedName>
    <definedName name="_bdm.ED95D5371F0B4032AE81D39228F05494.edm">#REF!</definedName>
    <definedName name="_bdm.F05EE0B050FD40D196B178505BC36B9D.edm">#REF!</definedName>
    <definedName name="_bdm.ToolkitBookmark.1_24_2004_11_15_31_PM.edm">#REF!</definedName>
    <definedName name="_bdm.ToolkitBookmark.1_24_2004_8_24_02_PM.edm">#REF!</definedName>
    <definedName name="_bdm.ToolkitBookmark.1_24_2004_8_54_41_PM.edm">#REF!</definedName>
    <definedName name="_bdm.ToolkitBookmark.1_25_2004_9_47_15_PM.edm">#REF!</definedName>
    <definedName name="_bdm.ToolkitBookmark.1_25_2004_9_47_23_PM.edm">#REF!</definedName>
    <definedName name="_DCF2">#REF!</definedName>
    <definedName name="_DCF22">#REF!</definedName>
    <definedName name="_Dev2000">#REF!,#REF!,#REF!,#REF!,#REF!,#REF!</definedName>
    <definedName name="_Dev98">#REF!,#REF!,#REF!,#REF!,#REF!,#REF!</definedName>
    <definedName name="_FAC05">#REF!</definedName>
    <definedName name="_FAC11">#REF!</definedName>
    <definedName name="_FAC12">#REF!</definedName>
    <definedName name="_FAC14">#REF!</definedName>
    <definedName name="_FAC16">#REF!</definedName>
    <definedName name="_FAC18">#REF!</definedName>
    <definedName name="_FFO1">#REF!</definedName>
    <definedName name="_FFO2">#REF!</definedName>
    <definedName name="_FFO3">#REF!</definedName>
    <definedName name="_FFO4">#REF!</definedName>
    <definedName name="_FG1" localSheetId="0">{"schedule1",#N/A,FALSE,"Sheet1";"schedule2",#N/A,FALSE,"Sheet1";"schedule3",#N/A,FALSE,"Sheet1";"schedule4",#N/A,FALSE,"Sheet1";"schedule5",#N/A,FALSE,"Sheet1";"schedule6",#N/A,FALSE,"Sheet1"}</definedName>
    <definedName name="_FG1">{"schedule1",#N/A,FALSE,"Sheet1";"schedule2",#N/A,FALSE,"Sheet1";"schedule3",#N/A,FALSE,"Sheet1";"schedule4",#N/A,FALSE,"Sheet1";"schedule5",#N/A,FALSE,"Sheet1";"schedule6",#N/A,FALSE,"Sheet1"}</definedName>
    <definedName name="_Fill">#REF!</definedName>
    <definedName name="_xlnm._FilterDatabase" localSheetId="0">Cover!$F$55:$F$57</definedName>
    <definedName name="_xlnm._FilterDatabase">#REF!</definedName>
    <definedName name="_FYE1">#REF!</definedName>
    <definedName name="_FYE2">#REF!</definedName>
    <definedName name="_FYE22">#REF!</definedName>
    <definedName name="_gas2" localSheetId="0">{#N/A,#N/A,FALSE,"Aging Summary";#N/A,#N/A,FALSE,"Ratio Analysis";#N/A,#N/A,FALSE,"Test 120 Day Accts";#N/A,#N/A,FALSE,"Tickmarks"}</definedName>
    <definedName name="_gas2">{#N/A,#N/A,FALSE,"Aging Summary";#N/A,#N/A,FALSE,"Ratio Analysis";#N/A,#N/A,FALSE,"Test 120 Day Accts";#N/A,#N/A,FALSE,"Tickmarks"}</definedName>
    <definedName name="_gas3" localSheetId="0">{#N/A,#N/A,FALSE,"Aging Summary";#N/A,#N/A,FALSE,"Ratio Analysis";#N/A,#N/A,FALSE,"Test 120 Day Accts";#N/A,#N/A,FALSE,"Tickmarks"}</definedName>
    <definedName name="_gas3">{#N/A,#N/A,FALSE,"Aging Summary";#N/A,#N/A,FALSE,"Ratio Analysis";#N/A,#N/A,FALSE,"Test 120 Day Accts";#N/A,#N/A,FALSE,"Tickmarks"}</definedName>
    <definedName name="_gla1">#REF!</definedName>
    <definedName name="_gla2">#REF!</definedName>
    <definedName name="_Key2">#REF!</definedName>
    <definedName name="_LTM2">#REF!</definedName>
    <definedName name="_MGM1997">#REF!</definedName>
    <definedName name="_MGM1998">#REF!</definedName>
    <definedName name="_MGM99">#REF!</definedName>
    <definedName name="_NAV_Selection">#REF!</definedName>
    <definedName name="_OLD2">#REF!</definedName>
    <definedName name="_OP1">#REF!</definedName>
    <definedName name="_OP2">#REF!</definedName>
    <definedName name="_OP3">#REF!</definedName>
    <definedName name="_OP4">#REF!</definedName>
    <definedName name="_Order1">255</definedName>
    <definedName name="_Order2">0</definedName>
    <definedName name="_pel1">#N/A</definedName>
    <definedName name="_pel2">#N/A</definedName>
    <definedName name="_pg1">#N/A</definedName>
    <definedName name="_pg2">#N/A</definedName>
    <definedName name="_pg3">#N/A</definedName>
    <definedName name="_pr1">#N/A</definedName>
    <definedName name="_pr2">#N/A</definedName>
    <definedName name="_s2" localSheetId="0">{"'Expirations'!$A$1:$L$65"}</definedName>
    <definedName name="_s2">{"'Expirations'!$A$1:$L$65"}</definedName>
    <definedName name="_Sort">#REF!</definedName>
    <definedName name="_SYN1">#REF!</definedName>
    <definedName name="_SYN2">#REF!</definedName>
    <definedName name="_SYN3">#REF!</definedName>
    <definedName name="_SYN4">#REF!</definedName>
    <definedName name="_SYN5">#REF!</definedName>
    <definedName name="_Table2_In1">#REF!</definedName>
    <definedName name="_Table2_In2">#REF!</definedName>
    <definedName name="_Table2_Out">#REF!</definedName>
    <definedName name="_Table3_In2">#REF!</definedName>
    <definedName name="_urs2">#REF!</definedName>
    <definedName name="_usr2">#REF!</definedName>
    <definedName name="_ust10">#REF!</definedName>
    <definedName name="_ust2">#REF!</definedName>
    <definedName name="_ust3">#REF!</definedName>
    <definedName name="_ust5">#REF!</definedName>
    <definedName name="_wrn1" localSheetId="0">{"schedule1",#N/A,FALSE,"Sheet1";"schedule2",#N/A,FALSE,"Sheet1";"schedule3",#N/A,FALSE,"Sheet1";"schedule4",#N/A,FALSE,"Sheet1";"schedule5",#N/A,FALSE,"Sheet1";"schedule6",#N/A,FALSE,"Sheet1"}</definedName>
    <definedName name="_wrn1">{"schedule1",#N/A,FALSE,"Sheet1";"schedule2",#N/A,FALSE,"Sheet1";"schedule3",#N/A,FALSE,"Sheet1";"schedule4",#N/A,FALSE,"Sheet1";"schedule5",#N/A,FALSE,"Sheet1";"schedule6",#N/A,FALSE,"Sheet1"}</definedName>
    <definedName name="_YE2000">#REF!</definedName>
    <definedName name="A" localSheetId="0">{"FOschedule1",#N/A,FALSE,"Sheet1";"FOschedule2",#N/A,FALSE,"Sheet1";"FOschedule3",#N/A,FALSE,"Sheet1"}</definedName>
    <definedName name="A">{"FOschedule1",#N/A,FALSE,"Sheet1";"FOschedule2",#N/A,FALSE,"Sheet1";"FOschedule3",#N/A,FALSE,"Sheet1"}</definedName>
    <definedName name="a_123_error_1">#REF!</definedName>
    <definedName name="a_123_error_10">#REF!</definedName>
    <definedName name="a_123_error_11">#REF!</definedName>
    <definedName name="a_123_error_12">#REF!</definedName>
    <definedName name="a_123_error_13">#REF!</definedName>
    <definedName name="a_123_error_14">#REF!,#REF!,#REF!,#REF!,#REF!,#REF!</definedName>
    <definedName name="a_123_error_2">#REF!</definedName>
    <definedName name="a_123_error_3">#REF!,#REF!,#REF!</definedName>
    <definedName name="a_123_error_4">#REF!,#REF!</definedName>
    <definedName name="a_123_error_5">#REF!,#REF!</definedName>
    <definedName name="a_123_error_6">#REF!</definedName>
    <definedName name="a_123_error_7">#REF!,#REF!</definedName>
    <definedName name="a_123_error_8">#REF!</definedName>
    <definedName name="a_123_error_9">#REF!</definedName>
    <definedName name="A_BS">#N/A</definedName>
    <definedName name="A_CF">#N/A</definedName>
    <definedName name="A_is">#N/A</definedName>
    <definedName name="a_ticker">#REF!</definedName>
    <definedName name="a_z_error_1">#REF!,#REF!,#REF!,#REF!,#REF!,#REF!,#REF!,#REF!</definedName>
    <definedName name="a_z_error_10">#REF!,#REF!,#REF!,#REF!,#REF!,#REF!,#REF!,#REF!,#REF!,#REF!,#REF!,#REF!</definedName>
    <definedName name="a_z_error_11">#REF!,#REF!,#REF!,#REF!,#REF!,#REF!</definedName>
    <definedName name="a_z_error_12">#REF!,#REF!,#REF!,#REF!,#REF!,#REF!,#REF!,#REF!,#REF!,#REF!,#REF!,#REF!,#REF!,#REF!,#REF!,#REF!,#REF!,#REF!,#REF!,#REF!,#REF!,#REF!,#REF!,#REF!,#REF!,#REF!,#REF!,#REF!,#REF!</definedName>
    <definedName name="a_z_error_13">#REF!,#REF!,#REF!,#REF!,#REF!,#REF!,#REF!,#REF!,#REF!,#REF!,#REF!,#REF!,#REF!,#REF!</definedName>
    <definedName name="a_z_error_14">#REF!,#REF!,#REF!,#REF!,#REF!,#REF!,#REF!,#REF!,#REF!,#REF!</definedName>
    <definedName name="a_z_error_2">#REF!</definedName>
    <definedName name="a_z_error_3">#REF!,#REF!,#REF!,#REF!,#REF!,#REF!</definedName>
    <definedName name="a_z_error_4">#REF!,#REF!,#REF!</definedName>
    <definedName name="a_z_error_5">#REF!,#REF!,#REF!</definedName>
    <definedName name="a_z_error_6">#REF!,#REF!,#REF!,#REF!,#REF!,#REF!,#REF!,#REF!,#REF!,#REF!,#REF!,#REF!,#REF!,#REF!,#REF!</definedName>
    <definedName name="a_z_error_7">#REF!,#REF!,#REF!,#REF!,#REF!,#REF!,#REF!,#REF!,#REF!,#REF!,#REF!,#REF!,#REF!,#REF!,#REF!,#REF!,#REF!,#REF!,#REF!,#REF!,#REF!,#REF!,#REF!,#REF!,#REF!,#REF!,#REF!,#REF!,#REF!,#REF!</definedName>
    <definedName name="a_z_error_8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_z_error_9">#REF!,#REF!,#REF!,#REF!,#REF!,#REF!,#REF!,#REF!,#REF!,#REF!,#REF!,#REF!,#REF!,#REF!,#REF!</definedName>
    <definedName name="AA">#REF!</definedName>
    <definedName name="aaa">#REF!</definedName>
    <definedName name="AAA_DOCTOPS">"AAA_SET"</definedName>
    <definedName name="AAA_duser">"OFF"</definedName>
    <definedName name="AAB_Addin5">"AAB_Description for addin 5,Description for addin 5,Description for addin 5,Description for addin 5,Description for addin 5,Description for addin 5"</definedName>
    <definedName name="aamountfo05">#REF!</definedName>
    <definedName name="AbbrevQtr">#REF!</definedName>
    <definedName name="ABRIL">#REF!</definedName>
    <definedName name="accdil2" localSheetId="0">[0]!accdil2</definedName>
    <definedName name="accdil2">Cover!accdil2</definedName>
    <definedName name="account">#N/A</definedName>
    <definedName name="accum_dep_build">#REF!</definedName>
    <definedName name="accum_dep_caplease">#REF!</definedName>
    <definedName name="accum_dep_equip">#REF!</definedName>
    <definedName name="accum_dep_landimp">#REF!</definedName>
    <definedName name="acdil2" localSheetId="0">[0]!acdil2</definedName>
    <definedName name="acdil2">Cover!acdil2</definedName>
    <definedName name="acdil3" localSheetId="0">[0]!acdil3</definedName>
    <definedName name="acdil3">Cover!acdil3</definedName>
    <definedName name="acdil4" localSheetId="0">[0]!acdil4</definedName>
    <definedName name="acdil4">Cover!acdil4</definedName>
    <definedName name="acdl" localSheetId="0">[0]!acdl</definedName>
    <definedName name="acdl">Cover!acdl</definedName>
    <definedName name="acdl5" localSheetId="0">[0]!acdl5</definedName>
    <definedName name="acdl5">Cover!acdl5</definedName>
    <definedName name="ACEECY">#REF!</definedName>
    <definedName name="ACEENY">#REF!</definedName>
    <definedName name="ACNICY">#REF!</definedName>
    <definedName name="ACNINY">#REF!</definedName>
    <definedName name="Acq.LTM.EBITDA">#REF!</definedName>
    <definedName name="acq.price">#REF!</definedName>
    <definedName name="acq.synergies">#REF!</definedName>
    <definedName name="acq_cap">#REF!</definedName>
    <definedName name="acq_cap1">#REF!</definedName>
    <definedName name="acq_cap2">#REF!</definedName>
    <definedName name="acq_cap95">#REF!</definedName>
    <definedName name="Acq_Currency">#REF!</definedName>
    <definedName name="ACQ_SHPRICE">#REF!</definedName>
    <definedName name="acqltmebitda">#REF!</definedName>
    <definedName name="AcqPrice2">#REF!</definedName>
    <definedName name="acquirer">#REF!</definedName>
    <definedName name="ACQUIROR_NAME">#REF!</definedName>
    <definedName name="ACQUIROR_SHARES">#REF!</definedName>
    <definedName name="ACQUIROR_SUM">#REF!</definedName>
    <definedName name="AcquirorQuarters">#REF!</definedName>
    <definedName name="Acres">#REF!</definedName>
    <definedName name="ACYDilutedShares">#REF!</definedName>
    <definedName name="ad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_growth">#REF!</definedName>
    <definedName name="ADD_FWD">#REF!</definedName>
    <definedName name="adfa" localSheetId="0">{"cap_structure",#N/A,FALSE,"Graph-Mkt Cap";"price",#N/A,FALSE,"Graph-Price";"ebit",#N/A,FALSE,"Graph-EBITDA";"ebitda",#N/A,FALSE,"Graph-EBITDA"}</definedName>
    <definedName name="adfa">{"cap_structure",#N/A,FALSE,"Graph-Mkt Cap";"price",#N/A,FALSE,"Graph-Price";"ebit",#N/A,FALSE,"Graph-EBITDA";"ebitda",#N/A,FALSE,"Graph-EBITDA"}</definedName>
    <definedName name="ADFWAE" localSheetId="0">{"summary1",#N/A,TRUE,"Comps";"summary2",#N/A,TRUE,"Comps";"summary3",#N/A,TRUE,"Comps"}</definedName>
    <definedName name="ADFWAE">{"summary1",#N/A,TRUE,"Comps";"summary2",#N/A,TRUE,"Comps";"summary3",#N/A,TRUE,"Comps"}</definedName>
    <definedName name="adgad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justedCost">#REF!</definedName>
    <definedName name="ads" localSheetId="0">{"inputs raw data",#N/A,TRUE,"INPUT"}</definedName>
    <definedName name="ads">{"inputs raw data",#N/A,TRUE,"INPUT"}</definedName>
    <definedName name="ADSFA" localSheetId="0">{"inputs raw data",#N/A,TRUE,"INPUT"}</definedName>
    <definedName name="ADSFA">{"inputs raw data",#N/A,TRUE,"INPUT"}</definedName>
    <definedName name="AEECY">#REF!</definedName>
    <definedName name="AEENY">#REF!</definedName>
    <definedName name="AeroScen">#REF!</definedName>
    <definedName name="AEWEW" localSheetId="0">{"inputs raw data",#N/A,TRUE,"INPUT"}</definedName>
    <definedName name="AEWEW">{"inputs raw data",#N/A,TRUE,"INPUT"}</definedName>
    <definedName name="affo">#REF!</definedName>
    <definedName name="AFFO_2004">#REF!</definedName>
    <definedName name="AFFO_2005">#REF!</definedName>
    <definedName name="AFFO_2006">#REF!</definedName>
    <definedName name="Agcy_Assump_PurchAmt">#REF!</definedName>
    <definedName name="Agcy_Assump_PurchFreq">#REF!</definedName>
    <definedName name="Agcy_Assump_PurchNum">#REF!</definedName>
    <definedName name="Agcy_Assump_ReinvHorizon">#REF!</definedName>
    <definedName name="Agcy_Model_IssuanceMo">#REF!</definedName>
    <definedName name="Agcy_Model_PurchType">#REF!</definedName>
    <definedName name="agin" localSheetId="0">{#N/A,#N/A,FALSE,"Aging Summary";#N/A,#N/A,FALSE,"Ratio Analysis";#N/A,#N/A,FALSE,"Test 120 Day Accts";#N/A,#N/A,FALSE,"Tickmarks"}</definedName>
    <definedName name="agin">{#N/A,#N/A,FALSE,"Aging Summary";#N/A,#N/A,FALSE,"Ratio Analysis";#N/A,#N/A,FALSE,"Test 120 Day Accts";#N/A,#N/A,FALSE,"Tickmarks"}</definedName>
    <definedName name="AGOSTO">#REF!</definedName>
    <definedName name="AInterestRate">#REF!</definedName>
    <definedName name="All_Assump_RatesLookup">#REF!</definedName>
    <definedName name="All_tables" localSheetId="0">{4}</definedName>
    <definedName name="All_tables">{4}</definedName>
    <definedName name="allinfo04">#REF!</definedName>
    <definedName name="AllTables" localSheetId="0">{4}</definedName>
    <definedName name="AllTables">{4}</definedName>
    <definedName name="Alltabless" localSheetId="0">{4}</definedName>
    <definedName name="Alltabless">{4}</definedName>
    <definedName name="ALM_monthly2">#REF!</definedName>
    <definedName name="ALTMEBITDA">#REF!</definedName>
    <definedName name="AMC">#REF!</definedName>
    <definedName name="amort">#REF!</definedName>
    <definedName name="AmortPeriod">#REF!</definedName>
    <definedName name="amount">#REF!</definedName>
    <definedName name="amountfo04">#REF!</definedName>
    <definedName name="amountfo05">#REF!</definedName>
    <definedName name="AMVE">#REF!</definedName>
    <definedName name="aname">#REF!</definedName>
    <definedName name="anchora2">#REF!</definedName>
    <definedName name="anchorat">#REF!</definedName>
    <definedName name="anchorb2">#REF!</definedName>
    <definedName name="anchorbt">#REF!</definedName>
    <definedName name="ANetDebt">#REF!</definedName>
    <definedName name="ANICY">#REF!</definedName>
    <definedName name="ANINY">#REF!</definedName>
    <definedName name="Annual_Earnings_Model">#REF!</definedName>
    <definedName name="Annual_interest_rate">#REF!</definedName>
    <definedName name="anscount">1</definedName>
    <definedName name="ANYDilutedShares">#REF!</definedName>
    <definedName name="APrice">#REF!</definedName>
    <definedName name="arew" localSheetId="0">{"cap_structure",#N/A,FALSE,"Graph-Mkt Cap";"price",#N/A,FALSE,"Graph-Price";"ebit",#N/A,FALSE,"Graph-EBITDA";"ebitda",#N/A,FALSE,"Graph-EBITDA"}</definedName>
    <definedName name="arew">{"cap_structure",#N/A,FALSE,"Graph-Mkt Cap";"price",#N/A,FALSE,"Graph-Price";"ebit",#N/A,FALSE,"Graph-EBITDA";"ebitda",#N/A,FALSE,"Graph-EBITDA"}</definedName>
    <definedName name="arg" localSheetId="0">{"inputs raw data",#N/A,TRUE,"INPUT"}</definedName>
    <definedName name="arg">{"inputs raw data",#N/A,TRUE,"INPUT"}</definedName>
    <definedName name="Argentina">#REF!</definedName>
    <definedName name="as" localSheetId="0">{"FCB_ALL",#N/A,FALSE,"FCB"}</definedName>
    <definedName name="as">{"FCB_ALL",#N/A,FALSE,"FCB"}</definedName>
    <definedName name="AS2DocOpenMode">"AS2DocumentEdit"</definedName>
    <definedName name="AS2NamedRange">3</definedName>
    <definedName name="asdf" localSheetId="0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df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DFSAD">#REF!</definedName>
    <definedName name="asdfwqscv" localSheetId="0">[0]!asdfwqscv</definedName>
    <definedName name="asdfwqscv">Cover!asdfwqscv</definedName>
    <definedName name="AShares">#REF!</definedName>
    <definedName name="ASHE">#REF!</definedName>
    <definedName name="ASSET1">#REF!</definedName>
    <definedName name="ASSETS">#REF!</definedName>
    <definedName name="Assum_Titles">#REF!,#REF!</definedName>
    <definedName name="Assumptions">#REF!</definedName>
    <definedName name="ATaxRate">#REF!</definedName>
    <definedName name="Atrium_Towers">#REF!</definedName>
    <definedName name="AUM_monthly">#REF!</definedName>
    <definedName name="AUM1Y">#REF!</definedName>
    <definedName name="AUM2Y">#REF!</definedName>
    <definedName name="AUM3Y">#REF!</definedName>
    <definedName name="AUM4Y">#REF!</definedName>
    <definedName name="AUM5Y">#REF!</definedName>
    <definedName name="AvgSF">#REF!</definedName>
    <definedName name="AxesFormat" localSheetId="0">[0]!AxesFormat</definedName>
    <definedName name="AxesFormat">Cover!AxesFormat</definedName>
    <definedName name="b" localSheetId="0">[0]!b</definedName>
    <definedName name="b">Cover!b</definedName>
    <definedName name="BACKUP">#REF!</definedName>
    <definedName name="BadLink">#REF!</definedName>
    <definedName name="BAL">#REF!</definedName>
    <definedName name="BALANCE_SHEET">#REF!</definedName>
    <definedName name="balance_type">1</definedName>
    <definedName name="BANQUET">#REF!</definedName>
    <definedName name="Barton_Oaks">#REF!</definedName>
    <definedName name="BASE_YEAR">#REF!</definedName>
    <definedName name="basefee">#REF!</definedName>
    <definedName name="Beg.Bal">IF(#REF!&lt;&gt;"",#REF!,"")</definedName>
    <definedName name="bIsCircular">#REF!</definedName>
    <definedName name="bIsLBOCircular">#REF!</definedName>
    <definedName name="blah" localSheetId="0">{#N/A,#N/A,TRUE,"10 Yr Hold";#N/A,#N/A,TRUE,"7 Yr Hold";#N/A,#N/A,TRUE,"5 Yr Hold";#N/A,#N/A,TRUE,"3 Yr Hold"}</definedName>
    <definedName name="blah">{#N/A,#N/A,TRUE,"10 Yr Hold";#N/A,#N/A,TRUE,"7 Yr Hold";#N/A,#N/A,TRUE,"5 Yr Hold";#N/A,#N/A,TRUE,"3 Yr Hold"}</definedName>
    <definedName name="blah1" localSheetId="0">{"schedule1",#N/A,FALSE,"Sheet1";"schedule2",#N/A,FALSE,"Sheet1";"schedule3",#N/A,FALSE,"Sheet1";"schedule4",#N/A,FALSE,"Sheet1";"schedule5",#N/A,FALSE,"Sheet1";"schedule6",#N/A,FALSE,"Sheet1"}</definedName>
    <definedName name="blah1">{"schedule1",#N/A,FALSE,"Sheet1";"schedule2",#N/A,FALSE,"Sheet1";"schedule3",#N/A,FALSE,"Sheet1";"schedule4",#N/A,FALSE,"Sheet1";"schedule5",#N/A,FALSE,"Sheet1";"schedule6",#N/A,FALSE,"Sheet1"}</definedName>
    <definedName name="bldg">#REF!</definedName>
    <definedName name="blnHideRow" localSheetId="0">IF(SUM(ABS(IF(ISERROR(HistForc),0,IF(ISTEXT(HistForc),0,HistForc))))&gt;0.00001,1,TRUE)</definedName>
    <definedName name="blnHideRow">IF(SUM(ABS(IF(ISERROR(HistForc),0,IF(ISTEXT(HistForc),0,HistForc))))&gt;0.00001,1,TRUE)</definedName>
    <definedName name="bname">#REF!</definedName>
    <definedName name="Book_Value_Land">#REF!</definedName>
    <definedName name="BOR">#REF!</definedName>
    <definedName name="BREAK">#REF!</definedName>
    <definedName name="BS_A">#REF!</definedName>
    <definedName name="BS_ALE">#REF!</definedName>
    <definedName name="BS_LE">#REF!</definedName>
    <definedName name="budget1">#REF!</definedName>
    <definedName name="budget5">#REF!</definedName>
    <definedName name="Bullish">#REF!</definedName>
    <definedName name="buyback">#REF!</definedName>
    <definedName name="C_BS">#N/A</definedName>
    <definedName name="C_CF">#N/A</definedName>
    <definedName name="C_IS">#N/A</definedName>
    <definedName name="CAGR">#REF!</definedName>
    <definedName name="calc">1</definedName>
    <definedName name="Calculated_payment">#REF!</definedName>
    <definedName name="CALCULATIONS">#REF!</definedName>
    <definedName name="calendar">#REF!</definedName>
    <definedName name="CandF">#REF!</definedName>
    <definedName name="Cap">#REF!</definedName>
    <definedName name="cap_dev">#REF!</definedName>
    <definedName name="cap_lease">#REF!</definedName>
    <definedName name="cap_rate_assumptions">#REF!</definedName>
    <definedName name="CAPEX">#N/A</definedName>
    <definedName name="Capex_PSF">#REF!</definedName>
    <definedName name="capid">#REF!</definedName>
    <definedName name="CapitalStructure">#REF!</definedName>
    <definedName name="CASE">#REF!</definedName>
    <definedName name="CASE1">#REF!</definedName>
    <definedName name="cash">#REF!</definedName>
    <definedName name="Cash_Pivot">#REF!</definedName>
    <definedName name="CASH1">#REF!</definedName>
    <definedName name="Cash2">#REF!</definedName>
    <definedName name="Cashflow">#REF!</definedName>
    <definedName name="cashrate">#REF!</definedName>
    <definedName name="category">#REF!</definedName>
    <definedName name="cb_sChart41E9A35_opts">"1, 9, 1, False, 2, False, False, , 0, False, True, 1, 1"</definedName>
    <definedName name="CCIF" localSheetId="0">{#N/A,#N/A,FALSE,"Aging Summary";#N/A,#N/A,FALSE,"Ratio Analysis";#N/A,#N/A,FALSE,"Test 120 Day Accts";#N/A,#N/A,FALSE,"Tickmarks"}</definedName>
    <definedName name="CCIF">{#N/A,#N/A,FALSE,"Aging Summary";#N/A,#N/A,FALSE,"Ratio Analysis";#N/A,#N/A,FALSE,"Test 120 Day Accts";#N/A,#N/A,FALSE,"Tickmarks"}</definedName>
    <definedName name="Central">#REF!</definedName>
    <definedName name="chart">"Chart 1"</definedName>
    <definedName name="ChartDates">#REF!</definedName>
    <definedName name="ChartPrice">#REF!</definedName>
    <definedName name="charts_tnx_and_spread">#REF!</definedName>
    <definedName name="Charts1">#REF!</definedName>
    <definedName name="Charts2">#REF!</definedName>
    <definedName name="chg_nwc">#REF!</definedName>
    <definedName name="Chile1">#REF!</definedName>
    <definedName name="Chile2">#REF!</definedName>
    <definedName name="CIGNA_Center">#REF!</definedName>
    <definedName name="cir" localSheetId="0">[0]!cir</definedName>
    <definedName name="cir">Cover!cir</definedName>
    <definedName name="CIRC">#REF!</definedName>
    <definedName name="Closed_End">#REF!</definedName>
    <definedName name="ClosePrint" localSheetId="0">[0]!ClosePrint</definedName>
    <definedName name="ClosePrint">Cover!ClosePrint</definedName>
    <definedName name="ClosingCost">#REF!</definedName>
    <definedName name="co">100</definedName>
    <definedName name="COL1STYR">7</definedName>
    <definedName name="ColDiff" localSheetId="0">COLUMN()-COL1STYR</definedName>
    <definedName name="ColDiff">COLUMN()-COL1STYR</definedName>
    <definedName name="COLLAR_CENTER">#REF!</definedName>
    <definedName name="COLLAR_LEFT">#REF!</definedName>
    <definedName name="COLLAR_RIGHT">#REF!</definedName>
    <definedName name="COMB">#REF!</definedName>
    <definedName name="COMMON">#REF!</definedName>
    <definedName name="COMMON_PAID">#REF!</definedName>
    <definedName name="COMP">#REF!</definedName>
    <definedName name="Comp_Analysis">#REF!</definedName>
    <definedName name="COMP_TAXES">#REF!</definedName>
    <definedName name="COMPANIES">#REF!</definedName>
    <definedName name="COMPANY2">#REF!</definedName>
    <definedName name="CompanyDirectoryNames">#REF!</definedName>
    <definedName name="CompanyFileNames">#REF!</definedName>
    <definedName name="COMPS">#REF!</definedName>
    <definedName name="compsetdata">#REF!</definedName>
    <definedName name="CONCBAL">#REF!</definedName>
    <definedName name="confin">#REF!</definedName>
    <definedName name="confin2">#REF!</definedName>
    <definedName name="Consideration">#REF!</definedName>
    <definedName name="consolidate?">#REF!</definedName>
    <definedName name="ConsolidatedBS">#REF!</definedName>
    <definedName name="ConsolidatedCF">#REF!</definedName>
    <definedName name="ConsolidatedDS">#REF!</definedName>
    <definedName name="ConsolidatedIS">#REF!</definedName>
    <definedName name="ConsolidatedNOL">#REF!</definedName>
    <definedName name="CONTRACT_PD">#REF!</definedName>
    <definedName name="ContributionInputs">#REF!</definedName>
    <definedName name="control">#N/A</definedName>
    <definedName name="CONV_RATE">#REF!</definedName>
    <definedName name="conv_raterise">#REF!</definedName>
    <definedName name="CONV_RISE">#REF!</definedName>
    <definedName name="convert1">#REF!</definedName>
    <definedName name="convert2">#REF!</definedName>
    <definedName name="convp">#REF!</definedName>
    <definedName name="Copy_Data" localSheetId="0">[0]!Copy_Data</definedName>
    <definedName name="Copy_Data">Cover!Copy_Data</definedName>
    <definedName name="corp" localSheetId="0">{#N/A,#N/A,FALSE,"ZellLurieFinSummary";#N/A,#N/A,FALSE,"FirstCapFinSummary";#N/A,#N/A,FALSE,"ZM I-III Consol FinSummary"}</definedName>
    <definedName name="corp">{#N/A,#N/A,FALSE,"ZellLurieFinSummary";#N/A,#N/A,FALSE,"FirstCapFinSummary";#N/A,#N/A,FALSE,"ZM I-III Consol FinSummary"}</definedName>
    <definedName name="cost">#REF!</definedName>
    <definedName name="COUNTER">#REF!</definedName>
    <definedName name="Coupon">#REF!</definedName>
    <definedName name="COVER">#N/A</definedName>
    <definedName name="coverpage">#REF!</definedName>
    <definedName name="cp" localSheetId="0">[0]!cp</definedName>
    <definedName name="cp">Cover!cp</definedName>
    <definedName name="cpi">#REF!</definedName>
    <definedName name="cpi_index">#REF!</definedName>
    <definedName name="cpiindex">#REF!</definedName>
    <definedName name="create_pay" localSheetId="0">[0]!create_pay</definedName>
    <definedName name="create_pay">Cover!create_pay</definedName>
    <definedName name="Create_Pays" localSheetId="0">[0]!Create_Pays</definedName>
    <definedName name="Create_Pays">Cover!Create_Pays</definedName>
    <definedName name="creditdata">#REF!</definedName>
    <definedName name="_xlnm.Criteria">#REF!</definedName>
    <definedName name="Criteria2">#REF!</definedName>
    <definedName name="csDesignMode">1</definedName>
    <definedName name="cSum">9</definedName>
    <definedName name="Cum.Interest">IF(#REF!&lt;&gt;"",#REF!+#REF!,"")</definedName>
    <definedName name="Cwvu.GREY_ALL.">#REF!</definedName>
    <definedName name="d" localSheetId="0">{"summary1",#N/A,TRUE,"Comps";"summary2",#N/A,TRUE,"Comps";"summary3",#N/A,TRUE,"Comps"}</definedName>
    <definedName name="d">{"summary1",#N/A,TRUE,"Comps";"summary2",#N/A,TRUE,"Comps";"summary3",#N/A,TRUE,"Comps"}</definedName>
    <definedName name="d_a">#REF!</definedName>
    <definedName name="DAFAD" localSheetId="0">{"cap_structure",#N/A,FALSE,"Graph-Mkt Cap";"price",#N/A,FALSE,"Graph-Price";"ebit",#N/A,FALSE,"Graph-EBITDA";"ebitda",#N/A,FALSE,"Graph-EBITDA"}</definedName>
    <definedName name="DAFAD">{"cap_structure",#N/A,FALSE,"Graph-Mkt Cap";"price",#N/A,FALSE,"Graph-Price";"ebit",#N/A,FALSE,"Graph-EBITDA";"ebitda",#N/A,FALSE,"Graph-EBITDA"}</definedName>
    <definedName name="DailyWin">#REF!</definedName>
    <definedName name="DailyWinGraph">#REF!</definedName>
    <definedName name="Data_Table">#REF!</definedName>
    <definedName name="database2">#REF!</definedName>
    <definedName name="Date" localSheetId="0">#N/A</definedName>
    <definedName name="Date">#REF!</definedName>
    <definedName name="Date1">#REF!</definedName>
    <definedName name="Date10">#REF!</definedName>
    <definedName name="Date2">#REF!</definedName>
    <definedName name="Date3">#REF!</definedName>
    <definedName name="Date4">#REF!</definedName>
    <definedName name="Date5">#REF!</definedName>
    <definedName name="Date6">#REF!</definedName>
    <definedName name="Date7">#REF!</definedName>
    <definedName name="Date8">#REF!</definedName>
    <definedName name="Date9">#REF!</definedName>
    <definedName name="datefo04">#REF!</definedName>
    <definedName name="daysfo04">#REF!</definedName>
    <definedName name="db_2002NOIRange">#REF!</definedName>
    <definedName name="db_2003NOIRange">#REF!</definedName>
    <definedName name="db_2004NOIRange">#REF!</definedName>
    <definedName name="db_2005NOIRange">#REF!</definedName>
    <definedName name="db_marketrange">#REF!</definedName>
    <definedName name="db_propertytype">#REF!</definedName>
    <definedName name="DCF_A">#REF!</definedName>
    <definedName name="DCF_L">#REF!</definedName>
    <definedName name="dcfyear">#REF!</definedName>
    <definedName name="DCR2_L">#REF!</definedName>
    <definedName name="dddd">#REF!</definedName>
    <definedName name="ddsd" localSheetId="0">{#N/A,#N/A,FALSE,"Aging Summary";#N/A,#N/A,FALSE,"Ratio Analysis";#N/A,#N/A,FALSE,"Test 120 Day Accts";#N/A,#N/A,FALSE,"Tickmarks"}</definedName>
    <definedName name="ddsd">{#N/A,#N/A,FALSE,"Aging Summary";#N/A,#N/A,FALSE,"Ratio Analysis";#N/A,#N/A,FALSE,"Test 120 Day Accts";#N/A,#N/A,FALSE,"Tickmarks"}</definedName>
    <definedName name="deal" localSheetId="0">[0]!deal</definedName>
    <definedName name="deal">Cover!deal</definedName>
    <definedName name="debt">#REF!</definedName>
    <definedName name="debt_98">#REF!</definedName>
    <definedName name="debt_rate2">#REF!</definedName>
    <definedName name="DEBT_REFIN">#REF!</definedName>
    <definedName name="Debt2" localSheetId="0">{"'Expirations'!$A$1:$L$65"}</definedName>
    <definedName name="Debt2">{"'Expirations'!$A$1:$L$65"}</definedName>
    <definedName name="debt98">#REF!</definedName>
    <definedName name="debtamort">#REF!</definedName>
    <definedName name="DEDUCTIBLE_GW">#REF!</definedName>
    <definedName name="defeas_date">#REF!</definedName>
    <definedName name="DelExpYr">#REF!</definedName>
    <definedName name="DelOccupYr">#REF!</definedName>
    <definedName name="dem">#REF!</definedName>
    <definedName name="dep">#REF!</definedName>
    <definedName name="Depr_Amort_Lookup">#REF!</definedName>
    <definedName name="Depr_Amort_NonDebt_Lookup">#REF!</definedName>
    <definedName name="Depr_and_Amort_Nondebt_Pivot">#REF!</definedName>
    <definedName name="Depr_Subs_Pivot">#REF!</definedName>
    <definedName name="DEPTS">#REF!</definedName>
    <definedName name="detail">#REF!</definedName>
    <definedName name="detail1">#REF!</definedName>
    <definedName name="dev_cap">#REF!</definedName>
    <definedName name="Development_NOI_Yield">#REF!</definedName>
    <definedName name="dexcase">#REF!</definedName>
    <definedName name="df">#REF!</definedName>
    <definedName name="dfd" localSheetId="0">{"FCB_ALL",#N/A,FALSE,"FCB";"GREY_ALL",#N/A,FALSE,"GREY"}</definedName>
    <definedName name="dfd">{"FCB_ALL",#N/A,FALSE,"FCB";"GREY_ALL",#N/A,FALSE,"GREY"}</definedName>
    <definedName name="dfdas" localSheetId="0">{"FCB_ALL",#N/A,FALSE,"FCB";"GREY_ALL",#N/A,FALSE,"GREY"}</definedName>
    <definedName name="dfdas">{"FCB_ALL",#N/A,FALSE,"FCB";"GREY_ALL",#N/A,FALSE,"GREY"}</definedName>
    <definedName name="dfdfd" localSheetId="0">{"FCB_ALL",#N/A,FALSE,"FCB";"GREY_ALL",#N/A,FALSE,"GREY"}</definedName>
    <definedName name="dfdfd">{"FCB_ALL",#N/A,FALSE,"FCB";"GREY_ALL",#N/A,FALSE,"GREY"}</definedName>
    <definedName name="dfdfdfd" localSheetId="0">{"FCB_ALL",#N/A,FALSE,"FCB"}</definedName>
    <definedName name="dfdfdfd">{"FCB_ALL",#N/A,FALSE,"FCB"}</definedName>
    <definedName name="dfgh4tt" localSheetId="0">[0]!dfgh4tt</definedName>
    <definedName name="dfgh4tt">Cover!dfgh4tt</definedName>
    <definedName name="DHG" localSheetId="0">{"cap_structure",#N/A,FALSE,"Graph-Mkt Cap";"price",#N/A,FALSE,"Graph-Price";"ebit",#N/A,FALSE,"Graph-EBITDA";"ebitda",#N/A,FALSE,"Graph-EBITDA"}</definedName>
    <definedName name="DHG">{"cap_structure",#N/A,FALSE,"Graph-Mkt Cap";"price",#N/A,FALSE,"Graph-Price";"ebit",#N/A,FALSE,"Graph-EBITDA";"ebitda",#N/A,FALSE,"Graph-EBITDA"}</definedName>
    <definedName name="DICIEMBRE">#REF!</definedName>
    <definedName name="dics" localSheetId="0">{#N/A,#N/A,FALSE,"Aging Summary";#N/A,#N/A,FALSE,"Ratio Analysis";#N/A,#N/A,FALSE,"Test 120 Day Accts";#N/A,#N/A,FALSE,"Tickmarks"}</definedName>
    <definedName name="dics">{#N/A,#N/A,FALSE,"Aging Summary";#N/A,#N/A,FALSE,"Ratio Analysis";#N/A,#N/A,FALSE,"Test 120 Day Accts";#N/A,#N/A,FALSE,"Tickmarks"}</definedName>
    <definedName name="Dil_Titles">#REF!,#REF!</definedName>
    <definedName name="diluted.shares">#REF!</definedName>
    <definedName name="Dilution">#REF!</definedName>
    <definedName name="DIR">#REF!</definedName>
    <definedName name="Discount_Rate">#REF!</definedName>
    <definedName name="DisE1M2">#REF!</definedName>
    <definedName name="DisplaySelectedSheetsMacroButton">#REF!</definedName>
    <definedName name="dispositions">#REF!</definedName>
    <definedName name="Division">#REF!</definedName>
    <definedName name="DocType" localSheetId="0">Word</definedName>
    <definedName name="DocType">Word</definedName>
    <definedName name="documenttype">#REF!</definedName>
    <definedName name="Domestic_REITS_Lead_Arranger_LT">#REF!</definedName>
    <definedName name="Domestic_REITS_Lead_Arranger_Underliers">#REF!</definedName>
    <definedName name="Dominion_Tower">#REF!</definedName>
    <definedName name="drumm">#REF!</definedName>
    <definedName name="drumq">#REF!</definedName>
    <definedName name="dsa">#REF!</definedName>
    <definedName name="dshares">#REF!</definedName>
    <definedName name="dues_growth">#REF!</definedName>
    <definedName name="E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BIT95">#REF!</definedName>
    <definedName name="ebitda">#REF!</definedName>
    <definedName name="EBITDA1">#REF!</definedName>
    <definedName name="EBITSENS">#REF!</definedName>
    <definedName name="EDO">#REF!</definedName>
    <definedName name="end">#REF!</definedName>
    <definedName name="Ending.Balance">IF(#REF!&lt;&gt;"",#REF!-#REF!,"")</definedName>
    <definedName name="ENERO">#REF!</definedName>
    <definedName name="Entered_payment">#REF!</definedName>
    <definedName name="EPS">#N/A</definedName>
    <definedName name="EPS_RECONCILE">#REF!</definedName>
    <definedName name="Equip">#REF!</definedName>
    <definedName name="EQUITY">#REF!</definedName>
    <definedName name="equity_1">#REF!</definedName>
    <definedName name="equity_old">#REF!</definedName>
    <definedName name="Equity_Pivot">#REF!</definedName>
    <definedName name="equity2">#REF!</definedName>
    <definedName name="equity3">#REF!</definedName>
    <definedName name="equityA">#REF!</definedName>
    <definedName name="EquityB">#REF!</definedName>
    <definedName name="equityc">#REF!</definedName>
    <definedName name="er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scl_fac">#REF!</definedName>
    <definedName name="ev.Calculation">-4135</definedName>
    <definedName name="ev.Initialized">FALSE</definedName>
    <definedName name="EX_INCREMENT">#REF!</definedName>
    <definedName name="exc">#REF!</definedName>
    <definedName name="exchange.rate">#REF!</definedName>
    <definedName name="EXCHANGE_RATIO">#REF!</definedName>
    <definedName name="Exp1stYr">#REF!</definedName>
    <definedName name="ExpandOutputs" localSheetId="0">[0]!ExpandOutputs</definedName>
    <definedName name="ExpandOutputs">Cover!ExpandOutputs</definedName>
    <definedName name="ExpandVPeriods" localSheetId="0">[0]!ExpandVPeriods</definedName>
    <definedName name="ExpandVPeriods">Cover!ExpandVPeriods</definedName>
    <definedName name="Expense_Lookup">#REF!</definedName>
    <definedName name="ExportFile" localSheetId="0">[0]!ExportFile</definedName>
    <definedName name="ExportFile">Cover!ExportFile</definedName>
    <definedName name="ExportFile2" localSheetId="0">[0]!ExportFile2</definedName>
    <definedName name="ExportFile2">Cover!ExportFile2</definedName>
    <definedName name="ExpRowDiff">ROW()-7</definedName>
    <definedName name="EXTRACASH">#REF!</definedName>
    <definedName name="f" localSheetId="0">{"inputs raw data",#N/A,TRUE,"INPUT"}</definedName>
    <definedName name="f">{"inputs raw data",#N/A,TRUE,"INPUT"}</definedName>
    <definedName name="FAC06B">#REF!</definedName>
    <definedName name="FAC09A">#REF!</definedName>
    <definedName name="FAC09B">#REF!</definedName>
    <definedName name="fadsf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cst_1999Format">#REF!</definedName>
    <definedName name="fdgad" localSheetId="0">{"inputs raw data",#N/A,TRUE,"INPUT"}</definedName>
    <definedName name="fdgad">{"inputs raw data",#N/A,TRUE,"INPUT"}</definedName>
    <definedName name="feb" localSheetId="0">{#N/A,#N/A,FALSE,"Aging Summary";#N/A,#N/A,FALSE,"Ratio Analysis";#N/A,#N/A,FALSE,"Test 120 Day Accts";#N/A,#N/A,FALSE,"Tickmarks"}</definedName>
    <definedName name="feb">{#N/A,#N/A,FALSE,"Aging Summary";#N/A,#N/A,FALSE,"Ratio Analysis";#N/A,#N/A,FALSE,"Test 120 Day Accts";#N/A,#N/A,FALSE,"Tickmarks"}</definedName>
    <definedName name="FEBRERO">#REF!</definedName>
    <definedName name="Fee">#REF!</definedName>
    <definedName name="ffe">#REF!</definedName>
    <definedName name="ffffffffff" localSheetId="0">[0]!ffffffffff</definedName>
    <definedName name="ffffffffff">Cover!ffffffffff</definedName>
    <definedName name="ffo">#REF!</definedName>
    <definedName name="FFO_2004">#REF!</definedName>
    <definedName name="FFO_2005">#REF!</definedName>
    <definedName name="FFO_2006">#REF!</definedName>
    <definedName name="ffo_est">#REF!</definedName>
    <definedName name="fg" localSheetId="0">{"schedule1",#N/A,FALSE,"Sheet1";"schedule2",#N/A,FALSE,"Sheet1";"schedule3",#N/A,FALSE,"Sheet1";"schedule4",#N/A,FALSE,"Sheet1";"schedule5",#N/A,FALSE,"Sheet1";"schedule6",#N/A,FALSE,"Sheet1"}</definedName>
    <definedName name="fg">{"schedule1",#N/A,FALSE,"Sheet1";"schedule2",#N/A,FALSE,"Sheet1";"schedule3",#N/A,FALSE,"Sheet1";"schedule4",#N/A,FALSE,"Sheet1";"schedule5",#N/A,FALSE,"Sheet1";"schedule6",#N/A,FALSE,"Sheet1"}</definedName>
    <definedName name="fgh34tgdfgbsdrfg" localSheetId="0">[0]!fgh34tgdfgbsdrfg</definedName>
    <definedName name="fgh34tgdfgbsdrfg">Cover!fgh34tgdfgbsdrfg</definedName>
    <definedName name="fhg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LE_TYPE">#N/A</definedName>
    <definedName name="Fill">#REF!</definedName>
    <definedName name="finance">#REF!</definedName>
    <definedName name="Financing">#REF!</definedName>
    <definedName name="FinancingStructure1">#REF!</definedName>
    <definedName name="FinancingStructure2">#REF!</definedName>
    <definedName name="FinancingStructure3">#REF!</definedName>
    <definedName name="FINANS">#REF!</definedName>
    <definedName name="First_payment_due">#REF!</definedName>
    <definedName name="First_payment_no">#REF!</definedName>
    <definedName name="First_Union">#REF!</definedName>
    <definedName name="FISCAL">#REF!</definedName>
    <definedName name="five">#REF!</definedName>
    <definedName name="FIVE_YEAR">#REF!</definedName>
    <definedName name="FIXED">#REF!</definedName>
    <definedName name="FIXED_COLLAR">#REF!</definedName>
    <definedName name="FIXED_EX_RATIO">#REF!</definedName>
    <definedName name="Fixed_Floating_Setting">#REF!</definedName>
    <definedName name="FIXED_ISSUE">#REF!</definedName>
    <definedName name="flag1">#REF!</definedName>
    <definedName name="flag2">#REF!</definedName>
    <definedName name="FLOAT_OFFER">#REF!</definedName>
    <definedName name="floatfo04">#REF!</definedName>
    <definedName name="FLOATING_COLLAR">#REF!</definedName>
    <definedName name="FLU">#REF!</definedName>
    <definedName name="fm" localSheetId="0">{"summary1",#N/A,TRUE,"Comps";"summary2",#N/A,TRUE,"Comps";"summary3",#N/A,TRUE,"Comps"}</definedName>
    <definedName name="fm">{"summary1",#N/A,TRUE,"Comps";"summary2",#N/A,TRUE,"Comps";"summary3",#N/A,TRUE,"Comps"}</definedName>
    <definedName name="FNAME">#REF!</definedName>
    <definedName name="FOLT05">#REF!</definedName>
    <definedName name="foot">#REF!</definedName>
    <definedName name="FORM">#REF!</definedName>
    <definedName name="Format3">#REF!</definedName>
    <definedName name="forwardMonth">#REF!</definedName>
    <definedName name="forwardRates">#REF!</definedName>
    <definedName name="Four_Forest">#REF!</definedName>
    <definedName name="fourQacq">#REF!</definedName>
    <definedName name="FROM_MERGER">#REF!</definedName>
    <definedName name="FXVAR_TOP">#REF!</definedName>
    <definedName name="FY">2000</definedName>
    <definedName name="GAAPIS">#REF!</definedName>
    <definedName name="gamidx">#REF!</definedName>
    <definedName name="gd">#REF!</definedName>
    <definedName name="GenVacancy">#REF!</definedName>
    <definedName name="gfhs" localSheetId="0">{"summary1",#N/A,TRUE,"Comps";"summary2",#N/A,TRUE,"Comps";"summary3",#N/A,TRUE,"Comps"}</definedName>
    <definedName name="gfhs">{"summary1",#N/A,TRUE,"Comps";"summary2",#N/A,TRUE,"Comps";"summary3",#N/A,TRUE,"Comps"}</definedName>
    <definedName name="GGG">#REF!</definedName>
    <definedName name="gggggggggggggg" localSheetId="0">[0]!gggggggggggggg</definedName>
    <definedName name="gggggggggggggg">Cover!gggggggggggggg</definedName>
    <definedName name="GKUY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t">#REF!</definedName>
    <definedName name="glat2">#REF!</definedName>
    <definedName name="gold">#REF!</definedName>
    <definedName name="gold_print" localSheetId="0">operating,multiples,elvis,graceland,balance,pro_income,dcf_comb,valuation</definedName>
    <definedName name="gold_print">operating,multiples,elvis,graceland,balance,pro_income,dcf_comb,valuation</definedName>
    <definedName name="gold_print2" localSheetId="0">operating,multiples,elvis,graceland,balance,pro_income,dcf_comb,valuation</definedName>
    <definedName name="gold_print2">operating,multiples,elvis,graceland,balance,pro_income,dcf_comb,valuation</definedName>
    <definedName name="Goodwill">#REF!</definedName>
    <definedName name="google">#REF!</definedName>
    <definedName name="GRAPH">#REF!</definedName>
    <definedName name="Green">#REF!</definedName>
    <definedName name="GreenStreet">#REF!</definedName>
    <definedName name="gross">#REF!</definedName>
    <definedName name="growth.rate">#REF!</definedName>
    <definedName name="GW_AMORT_BOOK">#REF!</definedName>
    <definedName name="GW_AMORT_TAX">#REF!</definedName>
    <definedName name="gwamort">#REF!</definedName>
    <definedName name="gwdeduct">#REF!</definedName>
    <definedName name="h">#REF!</definedName>
    <definedName name="HD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p" localSheetId="0">{#N/A,#N/A,FALSE,"ZLDebtMaturity";#N/A,#N/A,FALSE,"FCDebtMaturity";#N/A,#N/A,FALSE,"ZM3DebtMaturity";#N/A,#N/A,FALSE,"ZM2DebtMaturity";#N/A,#N/A,FALSE,"zm1DebtMaturity";#N/A,#N/A,FALSE,"ConsZM123DebtMaturity"}</definedName>
    <definedName name="help">{#N/A,#N/A,FALSE,"ZLDebtMaturity";#N/A,#N/A,FALSE,"FCDebtMaturity";#N/A,#N/A,FALSE,"ZM3DebtMaturity";#N/A,#N/A,FALSE,"ZM2DebtMaturity";#N/A,#N/A,FALSE,"zm1DebtMaturity";#N/A,#N/A,FALSE,"ConsZM123DebtMaturity"}</definedName>
    <definedName name="help1" localSheetId="0">{#N/A,#N/A,FALSE,"ZLDebtMaturity";#N/A,#N/A,FALSE,"FCDebtMaturity";#N/A,#N/A,FALSE,"ZM3DebtMaturity";#N/A,#N/A,FALSE,"ZM2DebtMaturity";#N/A,#N/A,FALSE,"zm1DebtMaturity";#N/A,#N/A,FALSE,"ConsZM123DebtMaturity"}</definedName>
    <definedName name="help1">{#N/A,#N/A,FALSE,"ZLDebtMaturity";#N/A,#N/A,FALSE,"FCDebtMaturity";#N/A,#N/A,FALSE,"ZM3DebtMaturity";#N/A,#N/A,FALSE,"ZM2DebtMaturity";#N/A,#N/A,FALSE,"zm1DebtMaturity";#N/A,#N/A,FALSE,"ConsZM123DebtMaturity"}</definedName>
    <definedName name="High">#N/A</definedName>
    <definedName name="HIST_TAX_RATE">#REF!</definedName>
    <definedName name="hjf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LT_97CasinoEBITDA">#REF!</definedName>
    <definedName name="HLT_97CasinoRev">#REF!</definedName>
    <definedName name="HLT_97Combined">#REF!</definedName>
    <definedName name="HLT_97Hotel_Rev_EBITDA">#REF!</definedName>
    <definedName name="hn.ExtDb">FALSE</definedName>
    <definedName name="hn.ModelType">"DEAL"</definedName>
    <definedName name="hn.ModelVersion">1</definedName>
    <definedName name="hn.NoUpload">0</definedName>
    <definedName name="hn.Version">"Version 2.14"</definedName>
    <definedName name="hn.YearLabel">#REF!</definedName>
    <definedName name="HOJA1">#REF!</definedName>
    <definedName name="HOJA2">#REF!</definedName>
    <definedName name="HOJA3">#REF!</definedName>
    <definedName name="hold">#REF!</definedName>
    <definedName name="hold_cap">#REF!</definedName>
    <definedName name="hotel">#REF!</definedName>
    <definedName name="hotel_acq">#REF!</definedName>
    <definedName name="HotelFFEAR">#REF!</definedName>
    <definedName name="HotelNOI">#REF!</definedName>
    <definedName name="htg">#REF!</definedName>
    <definedName name="HTML_CodePage">1252</definedName>
    <definedName name="HTML_Control" localSheetId="0">{"'Expirations'!$A$1:$L$65"}</definedName>
    <definedName name="HTML_Control">{"'Expirations'!$A$1:$L$65"}</definedName>
    <definedName name="HTML_Control2" localSheetId="0">{"'Expirations'!$A$1:$L$65"}</definedName>
    <definedName name="HTML_Control2">{"'Expirations'!$A$1:$L$65"}</definedName>
    <definedName name="HTML_Description">""</definedName>
    <definedName name="HTML_Email">""</definedName>
    <definedName name="HTML_Header">""</definedName>
    <definedName name="HTML_LastUpdate">"9/21/98"</definedName>
    <definedName name="HTML_LineAfter">FALSE</definedName>
    <definedName name="HTML_LineBefore">FALSE</definedName>
    <definedName name="HTML_Name">"Hugh Esleeck"</definedName>
    <definedName name="HTML_OBDlg2">TRUE</definedName>
    <definedName name="HTML_OBDlg3">TRUE</definedName>
    <definedName name="HTML_OBDlg4">TRUE</definedName>
    <definedName name="HTML_OS">0</definedName>
    <definedName name="HTML_PathFile">"D:\zsupl\HTML.htm"</definedName>
    <definedName name="HTML_PathTemplate">"J:\REIT\Dec 00\html\Bs09-00.htm"</definedName>
    <definedName name="HTML_Title">""</definedName>
    <definedName name="Hunter1A_Bottom">#REF!</definedName>
    <definedName name="Hunter1A_Top">#REF!</definedName>
    <definedName name="Hunter1B_Bottom">#REF!</definedName>
    <definedName name="Hunter1B_Top">#REF!</definedName>
    <definedName name="hus">#REF!</definedName>
    <definedName name="i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i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i_copycount">#REF!</definedName>
    <definedName name="i_currentcount">#REF!</definedName>
    <definedName name="I_JVPropertyTypeSelector">#REF!</definedName>
    <definedName name="IDENTIFIER">#REF!</definedName>
    <definedName name="III" localSheetId="0">{#N/A,#N/A,FALSE,"Sheet1"}</definedName>
    <definedName name="III">{#N/A,#N/A,FALSE,"Sheet1"}</definedName>
    <definedName name="imf">#REF!</definedName>
    <definedName name="ImportFile" localSheetId="0">[0]!ImportFile</definedName>
    <definedName name="ImportFile">Cover!ImportFile</definedName>
    <definedName name="ImportFile2" localSheetId="0">[0]!ImportFile2</definedName>
    <definedName name="ImportFile2">Cover!ImportFile2</definedName>
    <definedName name="in_cap">#REF!</definedName>
    <definedName name="IncludeSweepInInterest">#REF!</definedName>
    <definedName name="Income_97">#REF!</definedName>
    <definedName name="income93_94quarter">#REF!</definedName>
    <definedName name="INCOME94_95">#REF!</definedName>
    <definedName name="income95_96quarter">#REF!</definedName>
    <definedName name="INCOME95_99">#REF!</definedName>
    <definedName name="income96_97">#REF!</definedName>
    <definedName name="income97_01">#REF!</definedName>
    <definedName name="INCREMENT">#REF!</definedName>
    <definedName name="INCREMENTAL">#N/A</definedName>
    <definedName name="ind">#REF!</definedName>
    <definedName name="ind_acq">#REF!</definedName>
    <definedName name="Inflation">#REF!</definedName>
    <definedName name="infopage">#REF!</definedName>
    <definedName name="INPUT">#REF!</definedName>
    <definedName name="int_exp">#REF!</definedName>
    <definedName name="Intercontinental_Center">#REF!</definedName>
    <definedName name="Interest" localSheetId="0">IF(#REF!&lt;&gt;"",#REF!*[0]!Periodic_rate,"")</definedName>
    <definedName name="Interest">IF(#REF!&lt;&gt;"",#REF!*Periodic_rate,"")</definedName>
    <definedName name="Invest_in_Subs_Budg_Pivot">#REF!</definedName>
    <definedName name="Investment">#N/A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QUIRED_BY_REPORTING_BANK_FDIC">"c6535"</definedName>
    <definedName name="IQ_ADDIN">"AUTO"</definedName>
    <definedName name="IQ_ADDITIONAL_NON_INT_INC_FDIC">"c6574"</definedName>
    <definedName name="IQ_ADJUSTABLE_RATE_LOANS_FDIC">"c6375"</definedName>
    <definedName name="IQ_AE_BR">"c10"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MENDED_BALANCE_PREVIOUS_YR_FDIC">"c6499"</definedName>
    <definedName name="IQ_AMORT_EXPENSE_FDIC">"c6677"</definedName>
    <definedName name="IQ_AMORTIZED_COST_FDIC">"c6426"</definedName>
    <definedName name="IQ_AP_BR">"c34"</definedName>
    <definedName name="IQ_AR_BR">"c41"</definedName>
    <definedName name="IQ_ASSET_BACKED_FDIC">"c6301"</definedName>
    <definedName name="IQ_ASSET_WRITEDOWN_BR">"c50"</definedName>
    <definedName name="IQ_ASSET_WRITEDOWN_CF_BR">"c53"</definedName>
    <definedName name="IQ_ASSETS_HELD_FDIC">"c6305"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PRICE_TARGET">"c82"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ROKERED_DEPOSITS_FDIC">"c6486"</definedName>
    <definedName name="IQ_CAPEX_BR">"c111"</definedName>
    <definedName name="IQ_CASH_DIVIDENDS_NET_INCOME_FDIC">"c6738"</definedName>
    <definedName name="IQ_CASH_IN_PROCESS_FDIC">"c6386"</definedName>
    <definedName name="IQ_CCE_FDIC">"c6296"</definedName>
    <definedName name="IQ_CH">110000</definedName>
    <definedName name="IQ_CHANGE_AP_BR">"c135"</definedName>
    <definedName name="IQ_CHANGE_AR_BR">"c142"</definedName>
    <definedName name="IQ_CHANGE_OTHER_WORK_CAP_BR">"c154"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MO_FDIC">"c6406"</definedName>
    <definedName name="IQ_COLLECTION_DOMESTIC_FDIC">"c6387"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_APIC_BR">"c185"</definedName>
    <definedName name="IQ_COMMON_FDIC">"c6350"</definedName>
    <definedName name="IQ_COMMON_ISSUED_BR">"c199"</definedName>
    <definedName name="IQ_COMMON_REP_BR">"c208"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TRACTS_OTHER_COMMODITIES_EQUITIES_FDIC">"c6522"</definedName>
    <definedName name="IQ_CONV_RATE">"c2192"</definedName>
    <definedName name="IQ_CONVEYED_TO_OTHERS_FDIC">"c6534"</definedName>
    <definedName name="IQ_CORE_CAPITAL_RATIO_FDIC">"c6745"</definedName>
    <definedName name="IQ_COST_OF_FUNDING_ASSETS_FDIC">"c6725"</definedName>
    <definedName name="IQ_CQ">5000</definedName>
    <definedName name="IQ_CREDIT_CARD_CHARGE_OFFS_FDIC">"c6652"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PROVISION_NET_CHARGE_OFFS_FDIC">"c6734"</definedName>
    <definedName name="IQ_CURRENCY_COIN_DOMESTIC_FDIC">"c6388"</definedName>
    <definedName name="IQ_CURRENCY_GAIN_BR">"c236"</definedName>
    <definedName name="IQ_CURRENT_PORT_DEBT_BR">"c1567"</definedName>
    <definedName name="IQ_CY">10000</definedName>
    <definedName name="IQ_DA_BR">"c248"</definedName>
    <definedName name="IQ_DA_CF_BR">"c251"</definedName>
    <definedName name="IQ_DA_SUPPL_BR">"c260"</definedName>
    <definedName name="IQ_DA_SUPPL_CF_BR">"c263"</definedName>
    <definedName name="IQ_DAILY">500000</definedName>
    <definedName name="IQ_DEF_AMORT_BR">"c278"</definedName>
    <definedName name="IQ_DEF_CHARGES_BR">"c288"</definedName>
    <definedName name="IQ_DEF_CHARGES_LT_BR">"c294"</definedName>
    <definedName name="IQ_DEF_TAX_ASSET_LT_BR">"c304"</definedName>
    <definedName name="IQ_DEF_TAX_LIAB_LT_BR">"c315"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RIVATIVES_FDIC">"c6523"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EARNING_ASSETS_FDIC">"c6360"</definedName>
    <definedName name="IQ_EARNING_ASSETS_YIELD_FDIC">"c6724"</definedName>
    <definedName name="IQ_EARNINGS_COVERAGE_NET_CHARGE_OFFS_FDIC">"c6735"</definedName>
    <definedName name="IQ_EBT_BR">"c378"</definedName>
    <definedName name="IQ_EBT_EXCL_BR">"c381"</definedName>
    <definedName name="IQ_EFFICIENCY_RATIO_FDIC">"c6736"</definedName>
    <definedName name="IQ_EQUITY_CAPITAL_ASSETS_FDIC">"c6744"</definedName>
    <definedName name="IQ_EQUITY_FDIC">"c6353"</definedName>
    <definedName name="IQ_EQUITY_SECURITIES_FDIC">"c6304"</definedName>
    <definedName name="IQ_EQUITY_SECURITY_EXPOSURES_FDIC">"c6664"</definedName>
    <definedName name="IQ_ESTIMATED_ASSESSABLE_DEPOSITS_FDIC">"c6490"</definedName>
    <definedName name="IQ_ESTIMATED_INSURED_DEPOSITS_FDIC">"c6491"</definedName>
    <definedName name="IQ_EXPENSE_CODE_">"019803900"</definedName>
    <definedName name="IQ_EXTRA_ACC_ITEMS_BR">"c412"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ED_FUNDS_PURCHASED_FDIC">"c6343"</definedName>
    <definedName name="IQ_FED_FUNDS_SOLD_FDIC">"c6307"</definedName>
    <definedName name="IQ_FH">100000</definedName>
    <definedName name="IQ_FHLB_ADVANCES_FDIC">"c6366"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VE_YEAR_FIXED_AND_FLOATING_RATE_FDIC">"c6422"</definedName>
    <definedName name="IQ_FIVE_YEAR_MORTGAGE_PASS_THROUGHS_FDIC">"c6414"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OSITS_NONTRANSACTION_ACCOUNTS_FDIC">"c6549"</definedName>
    <definedName name="IQ_FOREIGN_DEPOSITS_TRANSACTION_ACCOUNTS_FDIC">"c6541"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Q">500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_CONTRACTS_FDIC">"c6517"</definedName>
    <definedName name="IQ_FX_CONTRACTS_SPOT_FDIC">"c6356"</definedName>
    <definedName name="IQ_FY">1000</definedName>
    <definedName name="IQ_GAIN_ASSETS_BR">"c454"</definedName>
    <definedName name="IQ_GAIN_ASSETS_CF_BR">"c457"</definedName>
    <definedName name="IQ_GAIN_ASSETS_REV_BR">"c474"</definedName>
    <definedName name="IQ_GAIN_INVEST_BR">"c1464"</definedName>
    <definedName name="IQ_GAIN_INVEST_CF_BR">"c482"</definedName>
    <definedName name="IQ_GAIN_INVEST_REV_BR">"c496"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W_AMORT_BR">"c532"</definedName>
    <definedName name="IQ_GW_INTAN_AMORT_BR">"c1470"</definedName>
    <definedName name="IQ_GW_INTAN_AMORT_CF_BR">"c1473"</definedName>
    <definedName name="IQ_HELD_MATURITY_FDIC">"c6408"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INC_EQUITY_BR">"c550"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SETTLE_BR">"c572"</definedName>
    <definedName name="IQ_INSIDER_LOANS_FDIC">"c6365"</definedName>
    <definedName name="IQ_INSTITUTIONS_EARNINGS_GAINS_FDIC">"c6723"</definedName>
    <definedName name="IQ_INSURANCE_COMMISSION_FEES_FDIC">"c6670"</definedName>
    <definedName name="IQ_INSURANCE_UNDERWRITING_INCOME_FDIC">"c6671"</definedName>
    <definedName name="IQ_INT_DEMAND_NOTES_FDIC">"c6567"</definedName>
    <definedName name="IQ_INT_DOMESTIC_DEPOSITS_FDIC">"c6564"</definedName>
    <definedName name="IQ_INT_EXP_BR">"c586"</definedName>
    <definedName name="IQ_INT_EXP_TOTAL_FDIC">"c6569"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OREIGN_LOANS_FDIC">"c6556"</definedName>
    <definedName name="IQ_INT_INC_LEASE_RECEIVABLES_FDIC">"c6557"</definedName>
    <definedName name="IQ_INT_INC_OTHER_FDIC">"c6562"</definedName>
    <definedName name="IQ_INT_INC_SECURITIES_FDIC">"c6559"</definedName>
    <definedName name="IQ_INT_INC_TOTAL_FDIC">"c6563"</definedName>
    <definedName name="IQ_INT_INC_TRADING_ACCOUNTS_FDIC">"c6560"</definedName>
    <definedName name="IQ_INT_SUB_NOTES_FDIC">"c6568"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RATE_CONTRACTS_FDIC">"c6512"</definedName>
    <definedName name="IQ_INTEREST_RATE_EXPOSURES_FDIC">"c6662"</definedName>
    <definedName name="IQ_INVEST_LOANS_CF_BR">"c630"</definedName>
    <definedName name="IQ_INVEST_SECURITY_CF_BR">"c639"</definedName>
    <definedName name="IQ_INVESTMENT_BANKING_OTHER_FEES_FDIC">"c6666"</definedName>
    <definedName name="IQ_IRA_KEOGH_ACCOUNTS_FDIC">"c6496"</definedName>
    <definedName name="IQ_ISSUED_GUARANTEED_US_FDIC">"c6404"</definedName>
    <definedName name="IQ_LATESTK">1000</definedName>
    <definedName name="IQ_LATESTQ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_BR">"c649"</definedName>
    <definedName name="IQ_LIFE_INSURANCE_ASSETS_FDIC">"c6372"</definedName>
    <definedName name="IQ_LOAN_COMMITMENTS_REVOLVING_FDIC">"c6524"</definedName>
    <definedName name="IQ_LOAN_LOSS_ALLOW_FDIC">"c6326"</definedName>
    <definedName name="IQ_LOAN_LOSS_ALLOWANCE_NONCURRENT_LOANS_FDIC">"c6740"</definedName>
    <definedName name="IQ_LOAN_LOSSES_FDIC">"c6580"</definedName>
    <definedName name="IQ_LOANS_AND_LEASES_HELD_FDIC">"c6367"</definedName>
    <definedName name="IQ_LOANS_CF_BR">"c661"</definedName>
    <definedName name="IQ_LOANS_DEPOSITORY_INSTITUTIONS_FDIC">"c6382"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SS_ALLOWANCE_LOANS_FDIC">"c6739"</definedName>
    <definedName name="IQ_LT_DEBT_BR">"c676"</definedName>
    <definedName name="IQ_LT_DEBT_ISSUED_BR">"c683"</definedName>
    <definedName name="IQ_LT_DEBT_REPAID_BR">"c691"</definedName>
    <definedName name="IQ_LT_INVEST_BR">"c698"</definedName>
    <definedName name="IQ_LTM">2000</definedName>
    <definedName name="IQ_LTMMONTH">120000</definedName>
    <definedName name="IQ_MATURITY_ONE_YEAR_LESS_FDIC">"c6425"</definedName>
    <definedName name="IQ_MERGER_BR">"c715"</definedName>
    <definedName name="IQ_MERGER_RESTRUCTURE_BR">"c721"</definedName>
    <definedName name="IQ_MINORITY_INTEREST_BR">"c729"</definedName>
    <definedName name="IQ_MONEY_MARKET_DEPOSIT_ACCOUNTS_FDIC">"c6553"</definedName>
    <definedName name="IQ_MONTH">15000</definedName>
    <definedName name="IQ_MORTGAGE_BACKED_SECURITIES_FDIC">"c6402"</definedName>
    <definedName name="IQ_MORTGAGE_SERVICING_FDIC">"c6335"</definedName>
    <definedName name="IQ_MTD">800000</definedName>
    <definedName name="IQ_MULTIFAMILY_RESIDENTIAL_LOANS_FDIC">"c6311"</definedName>
    <definedName name="IQ_NAMES_REVISION_DATE_">41910.8998726852</definedName>
    <definedName name="IQ_NAV_ACT_OR_EST">"c2225"</definedName>
    <definedName name="IQ_NET_CHARGE_OFFS_FDIC">"c6641"</definedName>
    <definedName name="IQ_NET_CHARGE_OFFS_LOANS_FDIC">"c6751"</definedName>
    <definedName name="IQ_NET_DEBT_ISSUED_BR">"c753"</definedName>
    <definedName name="IQ_NET_INCOME_FDIC">"c6587"</definedName>
    <definedName name="IQ_NET_INT_INC_BNK_FDIC">"c6570"</definedName>
    <definedName name="IQ_NET_INT_INC_BR">"c765"</definedName>
    <definedName name="IQ_NET_INTEREST_MARGIN_FDIC">"c6726"</definedName>
    <definedName name="IQ_NET_LOANS_LEASES_CORE_DEPOSITS_FDIC">"c6743"</definedName>
    <definedName name="IQ_NET_LOANS_LEASES_DEPOSITS_FDIC">"c6742"</definedName>
    <definedName name="IQ_NET_OPERATING_INCOME_ASSETS_FDIC">"c6729"</definedName>
    <definedName name="IQ_NET_SECURITIZATION_INCOME_FDIC">"c6669"</definedName>
    <definedName name="IQ_NET_SERVICING_FEES_FDIC">"c6668"</definedName>
    <definedName name="IQ_NON_INT_EXP_FDIC">"c6579"</definedName>
    <definedName name="IQ_NON_INT_INC_FDIC">"c6575"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TRANSACTION_ACCOUNTS_FDIC">"c6552"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TM">6000</definedName>
    <definedName name="IQ_NUMBER_DEPOSITS_LESS_THAN_100K_FDIC">"c6495"</definedName>
    <definedName name="IQ_NUMBER_DEPOSITS_MORE_THAN_100K_FDIC">"c6493"</definedName>
    <definedName name="IQ_OBLIGATIONS_OF_STATES_TOTAL_LOANS_FOREIGN_FDIC">"c6447"</definedName>
    <definedName name="IQ_OBLIGATIONS_STATES_FDIC">"c6431"</definedName>
    <definedName name="IQ_OG_TOTAL_OIL_PRODUCTON">"c2059"</definedName>
    <definedName name="IQ_OPER_INC_BR">"c850"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SSETS_BR">"c862"</definedName>
    <definedName name="IQ_OTHER_ASSETS_FDIC">"c6338"</definedName>
    <definedName name="IQ_OTHER_BORROWED_FUNDS_FDIC">"c6345"</definedName>
    <definedName name="IQ_OTHER_CA_SUPPL_BR">"c871"</definedName>
    <definedName name="IQ_OTHER_CL_SUPPL_BR">"c880"</definedName>
    <definedName name="IQ_OTHER_COMPREHENSIVE_INCOME_FDIC">"c6503"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QUITY_BR">"c888"</definedName>
    <definedName name="IQ_OTHER_FINANCE_ACT_BR">"c895"</definedName>
    <definedName name="IQ_OTHER_FINANCE_ACT_SUPPL_BR">"c901"</definedName>
    <definedName name="IQ_OTHER_INSURANCE_FEES_FDIC">"c6672"</definedName>
    <definedName name="IQ_OTHER_INTAN_BR">"c909"</definedName>
    <definedName name="IQ_OTHER_INTANGIBLE_FDIC">"c6337"</definedName>
    <definedName name="IQ_OTHER_INVEST_ACT_BR">"c918"</definedName>
    <definedName name="IQ_OTHER_INVEST_ACT_SUPPL_BR">"c924"</definedName>
    <definedName name="IQ_OTHER_LIAB_BR">"c932"</definedName>
    <definedName name="IQ_OTHER_LIAB_LT_BR">"c937"</definedName>
    <definedName name="IQ_OTHER_LIABILITIES_FDIC">"c6347"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T_ASSETS_BR">"c948"</definedName>
    <definedName name="IQ_OTHER_NON_INT_EXP_FDIC">"c6578"</definedName>
    <definedName name="IQ_OTHER_NON_INT_EXPENSE_FDIC">"c6679"</definedName>
    <definedName name="IQ_OTHER_NON_INT_INC_FDIC">"c6676"</definedName>
    <definedName name="IQ_OTHER_NON_OPER_EXP_BR">"c957"</definedName>
    <definedName name="IQ_OTHER_NON_OPER_EXP_SUPPL_BR">"c962"</definedName>
    <definedName name="IQ_OTHER_OFF_BS_LIAB_FDIC">"c6533"</definedName>
    <definedName name="IQ_OTHER_OPER_ACT_BR">"c985"</definedName>
    <definedName name="IQ_OTHER_OPER_BR">"c990"</definedName>
    <definedName name="IQ_OTHER_OPER_SUPPL_BR">"c994"</definedName>
    <definedName name="IQ_OTHER_OPER_TOT_BR">"c1000"</definedName>
    <definedName name="IQ_OTHER_RE_OWNED_FDIC">"c6330"</definedName>
    <definedName name="IQ_OTHER_REV_BR">"c1011"</definedName>
    <definedName name="IQ_OTHER_REV_SUPPL_BR">"c1016"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_BR">"c1561"</definedName>
    <definedName name="IQ_OTHER_UNUSUAL_SUPPL_BR">"c1496"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C_WRITTEN">"c1027"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INSURED_FDIC">"c6374"</definedName>
    <definedName name="IQ_PERIODDATE_FDIC">"c13646"</definedName>
    <definedName name="IQ_PLEDGED_SECURITIES_FDIC">"c6401"</definedName>
    <definedName name="IQ_PRE_TAX_INCOME_FDIC">"c6581"</definedName>
    <definedName name="IQ_PREF_ISSUED_BR">"c1047"</definedName>
    <definedName name="IQ_PREF_OTHER_BR">"c1055"</definedName>
    <definedName name="IQ_PREF_REP_BR">"c1062"</definedName>
    <definedName name="IQ_PREFERRED_FDIC">"c6349"</definedName>
    <definedName name="IQ_PREMISES_EQUIPMENT_FDIC">"c6577"</definedName>
    <definedName name="IQ_PRETAX_RETURN_ASSETS_FDIC">"c6731"</definedName>
    <definedName name="IQ_PRIVATELY_ISSUED_MORTGAGE_BACKED_SECURITIES_FDIC">"c6407"</definedName>
    <definedName name="IQ_PRIVATELY_ISSUED_MORTGAGE_PASS_THROUGHS_FDIC">"c6405"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QTD">750000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LATED_PLANS_FDIC">"c6320"</definedName>
    <definedName name="IQ_RESIDENTIAL_LOANS">"c1102"</definedName>
    <definedName name="IQ_RESTATEMENTS_NET_FDIC">"c6500"</definedName>
    <definedName name="IQ_RESTRUCTURE_BR">"c1106"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DEPOSITS_FDIC">"c6488"</definedName>
    <definedName name="IQ_RETAINED_EARNINGS_AVERAGE_EQUITY_FDIC">"c6733"</definedName>
    <definedName name="IQ_RETURN_ASSETS_BROK">"c1115"</definedName>
    <definedName name="IQ_RETURN_ASSETS_FDIC">"c6730"</definedName>
    <definedName name="IQ_RETURN_EQUITY_BROK">"c1120"</definedName>
    <definedName name="IQ_RETURN_EQUITY_FDIC">"c6732"</definedName>
    <definedName name="IQ_REVALUATION_GAINS_FDIC">"c6428"</definedName>
    <definedName name="IQ_REVALUATION_LOSSES_FDIC">"c6429"</definedName>
    <definedName name="IQ_RISK_WEIGHTED_ASSETS_FDIC">"c6370"</definedName>
    <definedName name="IQ_SALARY_FDIC">"c6576"</definedName>
    <definedName name="IQ_SALE_CONVERSION_RETIREMENT_STOCK_FDIC">"c6661"</definedName>
    <definedName name="IQ_SALE_INTAN_CF_BR">"c1133"</definedName>
    <definedName name="IQ_SALE_PPE_CF_BR">"c1139"</definedName>
    <definedName name="IQ_SALE_REAL_ESTATE_CF_BR">"c1145"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RVICE_CHARGES_FDIC">"c6572"</definedName>
    <definedName name="IQ_SHAREOUTSTANDING">"c1347"</definedName>
    <definedName name="IQ_SPECIAL_DIV_CF_BR">"c1171"</definedName>
    <definedName name="IQ_ST_DEBT_BR">"c1178"</definedName>
    <definedName name="IQ_ST_DEBT_ISSUED_BR">"c1183"</definedName>
    <definedName name="IQ_ST_DEBT_REPAID_BR">"c1191"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UB_DEBT_FDIC">"c6346"</definedName>
    <definedName name="IQ_SURPLUS_FDIC">"c6351"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ME_DEPOSITS_LESS_THAN_100K_FDIC">"c6465"</definedName>
    <definedName name="IQ_TIME_DEPOSITS_MORE_THAN_100K_FDIC">"c6470"</definedName>
    <definedName name="IQ_TODAY">0</definedName>
    <definedName name="IQ_TOTAL_AR_BR">"c1231"</definedName>
    <definedName name="IQ_TOTAL_ASSETS_FDIC">"c6339"</definedName>
    <definedName name="IQ_TOTAL_CHARGE_OFFS_FDIC">"c6603"</definedName>
    <definedName name="IQ_TOTAL_DEBT_ISSUED_BR">"c1253"</definedName>
    <definedName name="IQ_TOTAL_DEBT_REPAID_BR">"c1260"</definedName>
    <definedName name="IQ_TOTAL_DEBT_SECURITIES_FDIC">"c6410"</definedName>
    <definedName name="IQ_TOTAL_DEPOSITS_FDIC">"c6342"</definedName>
    <definedName name="IQ_TOTAL_EMPLOYEES_FDIC">"c6355"</definedName>
    <definedName name="IQ_TOTAL_LIAB_BR">"c1278"</definedName>
    <definedName name="IQ_TOTAL_LIAB_EQUITY_FDIC">"c6354"</definedName>
    <definedName name="IQ_TOTAL_LIABILITIES_FDIC">"c6348"</definedName>
    <definedName name="IQ_TOTAL_OPER_EXP_BR">"c1284"</definedName>
    <definedName name="IQ_TOTAL_PENSION_OBLIGATION">"c1292"</definedName>
    <definedName name="IQ_TOTAL_RECOVERIES_FDIC">"c6622"</definedName>
    <definedName name="IQ_TOTAL_REV_BNK_FDIC">"c6786"</definedName>
    <definedName name="IQ_TOTAL_REV_BR">"c1303"</definedName>
    <definedName name="IQ_TOTAL_RISK_BASED_CAPITAL_RATIO_FDIC">"c6747"</definedName>
    <definedName name="IQ_TOTAL_SECURITIES_FDIC">"c6306"</definedName>
    <definedName name="IQ_TOTAL_TIME_DEPOSITS_FDIC">"c6497"</definedName>
    <definedName name="IQ_TOTAL_TIME_SAVINGS_DEPOSITS_FDIC">"c6498"</definedName>
    <definedName name="IQ_TOTAL_UNUSED_COMMITMENTS_FDIC">"c6536"</definedName>
    <definedName name="IQ_TRADING_ACCOUNT_GAINS_FEES_FDIC">"c6573"</definedName>
    <definedName name="IQ_TRADING_ASSETS_FDIC">"c6328"</definedName>
    <definedName name="IQ_TRADING_LIABILITIES_FDIC">"c6344"</definedName>
    <definedName name="IQ_TRANSACTION_ACCOUNTS_FDIC">"c6544"</definedName>
    <definedName name="IQ_TREASURY_OTHER_EQUITY_BR">"c1314"</definedName>
    <definedName name="IQ_TREASURY_STOCK_TRANSACTIONS_FDIC">"c6501"</definedName>
    <definedName name="IQ_TWELVE_MONTHS_FIXED_AND_FLOATING_FDIC">"c6420"</definedName>
    <definedName name="IQ_TWELVE_MONTHS_MORTGAGE_PASS_THROUGHS_FDIC">"c6412"</definedName>
    <definedName name="IQ_UNDIVIDED_PROFITS_FDIC">"c6352"</definedName>
    <definedName name="IQ_UNEARN_REV_CURRENT_BR">"c1324"</definedName>
    <definedName name="IQ_UNEARNED_INCOME_FDIC">"c6324"</definedName>
    <definedName name="IQ_UNEARNED_INCOME_FOREIGN_FDIC">"c6385"</definedName>
    <definedName name="IQ_UNPROFITABLE_INSTITUTIONS_FDIC">"c6722"</definedName>
    <definedName name="IQ_UNUSED_LOAN_COMMITMENTS_FDIC">"c6368"</definedName>
    <definedName name="IQ_US_BRANCHES_FOREIGN_BANK_LOANS_FDIC">"c6435"</definedName>
    <definedName name="IQ_US_BRANCHES_FOREIGN_BANKS_FDIC">"c6390"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VALUATION_ALLOWANCES_FDIC">"c6400"</definedName>
    <definedName name="IQ_VC_REVENUE_FDIC">"c6667"</definedName>
    <definedName name="IQ_VOLATILE_LIABILITIES_FDIC">"c6364"</definedName>
    <definedName name="IQ_WEEK">50000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YTD">3000</definedName>
    <definedName name="IQ_YTDMONTH">130000</definedName>
    <definedName name="irent_incr">#REF!</definedName>
    <definedName name="irent_incr2">#REF!</definedName>
    <definedName name="irent_incr3">#REF!</definedName>
    <definedName name="irent_incr4">#REF!</definedName>
    <definedName name="is_1">#REF!</definedName>
    <definedName name="IsColHidden">FALSE</definedName>
    <definedName name="IsLTMColHidden">FALSE</definedName>
    <definedName name="ISS_OFF_FIXED">#REF!</definedName>
    <definedName name="ISS_OFF_LINE1">#REF!</definedName>
    <definedName name="ISS_OFF_LOOP">#REF!</definedName>
    <definedName name="ISS_OFF_RANGE">#REF!</definedName>
    <definedName name="ISS_OFF_RESULTS">#REF!</definedName>
    <definedName name="ISS_OFF_RUN">#REF!</definedName>
    <definedName name="ISS_OFF_SENSE">#REF!</definedName>
    <definedName name="ISS_PRICE_LOOK">#REF!</definedName>
    <definedName name="IsSimpleTaxes">#REF!</definedName>
    <definedName name="ISSUE_COL_HIGH">#REF!</definedName>
    <definedName name="ISSUE_COL_LOW">#REF!</definedName>
    <definedName name="ISSUE_PRICE">#REF!</definedName>
    <definedName name="iti">#REF!</definedName>
    <definedName name="itservDic2004" localSheetId="0">{#N/A,#N/A,FALSE,"Aging Summary";#N/A,#N/A,FALSE,"Ratio Analysis";#N/A,#N/A,FALSE,"Test 120 Day Accts";#N/A,#N/A,FALSE,"Tickmarks"}</definedName>
    <definedName name="itservDic2004">{#N/A,#N/A,FALSE,"Aging Summary";#N/A,#N/A,FALSE,"Ratio Analysis";#N/A,#N/A,FALSE,"Test 120 Day Accts";#N/A,#N/A,FALSE,"Tickmarks"}</definedName>
    <definedName name="jb" localSheetId="0">{"summary1",#N/A,TRUE,"Comps";"summary2",#N/A,TRUE,"Comps";"summary3",#N/A,TRUE,"Comps"}</definedName>
    <definedName name="jb">{"summary1",#N/A,TRUE,"Comps";"summary2",#N/A,TRUE,"Comps";"summary3",#N/A,TRUE,"Comps"}</definedName>
    <definedName name="jjj">#REF!</definedName>
    <definedName name="jk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OE">#REF!</definedName>
    <definedName name="JointVenture">#REF!</definedName>
    <definedName name="JULIO">#REF!</definedName>
    <definedName name="JUNIO">#REF!</definedName>
    <definedName name="junk">#REF!</definedName>
    <definedName name="JV">#REF!</definedName>
    <definedName name="jz">#REF!</definedName>
    <definedName name="KeepA">#REF!</definedName>
    <definedName name="KeepB">#REF!</definedName>
    <definedName name="KeepC">#REF!</definedName>
    <definedName name="KeepD">#REF!</definedName>
    <definedName name="KeepE">#REF!</definedName>
    <definedName name="KeepF">#REF!</definedName>
    <definedName name="KeepG">#REF!</definedName>
    <definedName name="KeepH">#REF!</definedName>
    <definedName name="KGKHJ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hgfd6ytre" localSheetId="0">[0]!kjhgfd6ytre</definedName>
    <definedName name="kjhgfd6ytre">Cover!kjhgfd6ytre</definedName>
    <definedName name="kyd.ChngCell.01.">#REF!</definedName>
    <definedName name="kyd.CounterLimitCell.01.">"x"</definedName>
    <definedName name="kyd.Dim.01.">"toad:Company"</definedName>
    <definedName name="kyd.ElementList.01.">#REF!</definedName>
    <definedName name="kyd.ElementType.01.">3</definedName>
    <definedName name="kyd.ItemType.01.">2</definedName>
    <definedName name="kyd.NumLevels.01.">999</definedName>
    <definedName name="kyd.ParentName.01.">""</definedName>
    <definedName name="kyd.PrintParent.01.">TRUE</definedName>
    <definedName name="kyd.SelectString.01.">"*"</definedName>
    <definedName name="L">#REF!</definedName>
    <definedName name="Land_Sale_Proceeds">#REF!</definedName>
    <definedName name="land1">#REF!</definedName>
    <definedName name="land2">#REF!</definedName>
    <definedName name="landt">#REF!</definedName>
    <definedName name="last_qtr">#REF!</definedName>
    <definedName name="LBO_L">#REF!</definedName>
    <definedName name="lbycan">#REF!</definedName>
    <definedName name="lbydebt1">#REF!</definedName>
    <definedName name="lead">#REF!</definedName>
    <definedName name="leverage">#REF!</definedName>
    <definedName name="libor">#REF!</definedName>
    <definedName name="libor180d">#REF!</definedName>
    <definedName name="libor360d">#REF!</definedName>
    <definedName name="LiborToggle">#REF!</definedName>
    <definedName name="liborx">#REF!</definedName>
    <definedName name="ListSheetsMacroButton">#REF!</definedName>
    <definedName name="ll" localSheetId="0">{#N/A,#N/A,FALSE,"Sheet1"}</definedName>
    <definedName name="ll">{#N/A,#N/A,FALSE,"Sheet1"}</definedName>
    <definedName name="Loan_amount">#REF!</definedName>
    <definedName name="locala2">#REF!</definedName>
    <definedName name="localat">#REF!</definedName>
    <definedName name="localb2">#REF!</definedName>
    <definedName name="localbt">#REF!</definedName>
    <definedName name="locpage">#REF!</definedName>
    <definedName name="LODGING_PD">#REF!</definedName>
    <definedName name="London">#REF!</definedName>
    <definedName name="LOOP">#REF!</definedName>
    <definedName name="Low">#N/A</definedName>
    <definedName name="LPRICE">#REF!</definedName>
    <definedName name="LSITE">#REF!</definedName>
    <definedName name="ltd">#REF!</definedName>
    <definedName name="LTTM">#REF!</definedName>
    <definedName name="LTTQ">#REF!</definedName>
    <definedName name="ltv">#REF!</definedName>
    <definedName name="macro">#REF!</definedName>
    <definedName name="Macro3" localSheetId="0">[0]!Macro3</definedName>
    <definedName name="Macro3">Cover!Macro3</definedName>
    <definedName name="Macro5" localSheetId="0">[0]!Macro5</definedName>
    <definedName name="Macro5">Cover!Macro5</definedName>
    <definedName name="Mall_Table">#REF!</definedName>
    <definedName name="margin.switch">#REF!</definedName>
    <definedName name="marketdata">#REF!</definedName>
    <definedName name="MARZO">#REF!</definedName>
    <definedName name="MATRIX">#REF!</definedName>
    <definedName name="MAYO">#REF!</definedName>
    <definedName name="mcs03g.ReqArray" localSheetId="0">{"Price","PAYX","LC120","N","0","0","H"}</definedName>
    <definedName name="mcs03g.ReqArray">{"Price","PAYX","LC120","N","0","0","H"}</definedName>
    <definedName name="me">"Button 5"</definedName>
    <definedName name="MergerPremium">#REF!</definedName>
    <definedName name="MergerPrice">#REF!</definedName>
    <definedName name="MergerPurchasePrice">#REF!</definedName>
    <definedName name="MergerShares">#REF!</definedName>
    <definedName name="MergerTransactionValue">#REF!</definedName>
    <definedName name="Merrill_Lynch___Co.">#N/A</definedName>
    <definedName name="Mexico1">#REF!</definedName>
    <definedName name="Mexico2">#REF!</definedName>
    <definedName name="MGHM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M">#REF!</definedName>
    <definedName name="mhj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dwest">#REF!</definedName>
    <definedName name="Mileage_Rate">#REF!</definedName>
    <definedName name="minimum">#REF!</definedName>
    <definedName name="mkt_cap">#REF!</definedName>
    <definedName name="MKT_TEMP_DIR">#REF!</definedName>
    <definedName name="MKT_TEMP_FNAME">#REF!</definedName>
    <definedName name="mkt_valu">#REF!</definedName>
    <definedName name="MonitorRow">1</definedName>
    <definedName name="MonthNames" localSheetId="0">{"Jan","Feb","Mar","Apr","May","Jun","Jul","Aug","Sep","Oct","Nov","Dec";"January","February","March","April","May","June","July","August","September","October","November","December"}</definedName>
    <definedName name="MonthNames">{"Jan","Feb","Mar","Apr","May","Jun","Jul","Aug","Sep","Oct","Nov","Dec";"January","February","March","April","May","June","July","August","September","October","November","December"}</definedName>
    <definedName name="months">#REF!</definedName>
    <definedName name="mortgage">#REF!</definedName>
    <definedName name="mtgfo04">#REF!</definedName>
    <definedName name="mtgipo05">#REF!</definedName>
    <definedName name="Mult_Accounting">#REF!</definedName>
    <definedName name="MULT_BASE">#REF!</definedName>
    <definedName name="MULT_CLOOP1">#REF!</definedName>
    <definedName name="MULT_CLOOP2">#REF!</definedName>
    <definedName name="MULT_COMP_LINE1">#REF!</definedName>
    <definedName name="Mult_Comp_Page1">#REF!</definedName>
    <definedName name="Mult_Comp_Page2">#REF!</definedName>
    <definedName name="Mult_Comp_Page3">#REF!</definedName>
    <definedName name="MULT_COMP_RES">#REF!</definedName>
    <definedName name="MULT_COMP_SENSE">#REF!</definedName>
    <definedName name="Mult_Comp_Sense1">#REF!</definedName>
    <definedName name="Mult_Comp_Sense2">#REF!</definedName>
    <definedName name="Mult_Comp_Sense3">#REF!</definedName>
    <definedName name="Mult_Comp_Title1">#REF!</definedName>
    <definedName name="Mult_Comp_Title2">#REF!</definedName>
    <definedName name="Mult_Comp_Title3">#REF!</definedName>
    <definedName name="Mult_Comp1">#REF!</definedName>
    <definedName name="Mult_Comp10">#REF!</definedName>
    <definedName name="Mult_Comp11">#REF!</definedName>
    <definedName name="Mult_Comp12">#REF!</definedName>
    <definedName name="Mult_Comp13">#REF!</definedName>
    <definedName name="Mult_Comp14">#REF!</definedName>
    <definedName name="Mult_Comp15">#REF!</definedName>
    <definedName name="Mult_Comp16">#REF!</definedName>
    <definedName name="Mult_Comp17">#REF!</definedName>
    <definedName name="Mult_Comp18">#REF!</definedName>
    <definedName name="Mult_Comp2">#REF!</definedName>
    <definedName name="Mult_Comp3">#REF!</definedName>
    <definedName name="Mult_Comp4">#REF!</definedName>
    <definedName name="Mult_Comp5">#REF!</definedName>
    <definedName name="Mult_Comp6">#REF!</definedName>
    <definedName name="Mult_Comp7">#REF!</definedName>
    <definedName name="Mult_Comp8">#REF!</definedName>
    <definedName name="Mult_Comp9">#REF!</definedName>
    <definedName name="MULT_COMPANIES">#REF!</definedName>
    <definedName name="Mult_Financing">#REF!</definedName>
    <definedName name="MULT_NAMES">#REF!</definedName>
    <definedName name="MULT_PREMIUM">#REF!</definedName>
    <definedName name="MULT_PRICE">#REF!</definedName>
    <definedName name="MULT_TYPE">#REF!</definedName>
    <definedName name="Multi_Family_Sale">#REF!</definedName>
    <definedName name="MULTS_SWS">#N/A</definedName>
    <definedName name="NA">#N/A</definedName>
    <definedName name="NAllTables" localSheetId="0">{4}</definedName>
    <definedName name="NAllTables">{4}</definedName>
    <definedName name="name">#REF!</definedName>
    <definedName name="NAME2">#REF!</definedName>
    <definedName name="NAME3">#REF!</definedName>
    <definedName name="NAME4">#REF!</definedName>
    <definedName name="NAME6">#REF!</definedName>
    <definedName name="NAMES">#REF!</definedName>
    <definedName name="navigator_cap_rates">#REF!</definedName>
    <definedName name="NDSN" localSheetId="0">[0]!NDSN</definedName>
    <definedName name="NDSN">Cover!NDSN</definedName>
    <definedName name="net_inc_com">#REF!</definedName>
    <definedName name="netdebt">#REF!</definedName>
    <definedName name="New">#REF!</definedName>
    <definedName name="NEW_DEBT">#REF!</definedName>
    <definedName name="NEW_PREFERRED">#REF!</definedName>
    <definedName name="newgw">#REF!</definedName>
    <definedName name="newgwamort">#REF!</definedName>
    <definedName name="Next" localSheetId="0">operating,multiples,elvis,graceland,balance,pro_income,dcf_comb,valuation</definedName>
    <definedName name="Next">operating,multiples,elvis,graceland,balance,pro_income,dcf_comb,valuation</definedName>
    <definedName name="NM">#N/A</definedName>
    <definedName name="noi_incr">#REF!</definedName>
    <definedName name="NOI_Lookup">#REF!</definedName>
    <definedName name="NOI_Summary">#REF!</definedName>
    <definedName name="Non_Assump_PurchFreq">#REF!</definedName>
    <definedName name="Non_Assump_PurchNum">#REF!</definedName>
    <definedName name="non_cash">#REF!</definedName>
    <definedName name="normal">#N/A</definedName>
    <definedName name="Northborough_Tower">#REF!</definedName>
    <definedName name="Northeast">#REF!</definedName>
    <definedName name="Northwest">#REF!</definedName>
    <definedName name="NOVIEMBRE">#REF!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PRODUCT">"MI_GL_PRODCT_VW"</definedName>
    <definedName name="NY">#REF!</definedName>
    <definedName name="O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ccupMo12Name">#REF!</definedName>
    <definedName name="OccupMo1Name">#REF!</definedName>
    <definedName name="OccupStart">#REF!</definedName>
    <definedName name="oct" localSheetId="0">{#N/A,#N/A,FALSE,"Aging Summary";#N/A,#N/A,FALSE,"Ratio Analysis";#N/A,#N/A,FALSE,"Test 120 Day Accts";#N/A,#N/A,FALSE,"Tickmarks"}</definedName>
    <definedName name="oct">{#N/A,#N/A,FALSE,"Aging Summary";#N/A,#N/A,FALSE,"Ratio Analysis";#N/A,#N/A,FALSE,"Test 120 Day Accts";#N/A,#N/A,FALSE,"Tickmarks"}</definedName>
    <definedName name="OCTUBRE">#REF!</definedName>
    <definedName name="offer">#N/A</definedName>
    <definedName name="OFFER_COL_HIGH">#REF!</definedName>
    <definedName name="OFFER_COL_LOW">#REF!</definedName>
    <definedName name="OFFER_ISSUE">#REF!</definedName>
    <definedName name="OFFER_OFFER">#REF!</definedName>
    <definedName name="offering">#REF!</definedName>
    <definedName name="offflex">#REF!</definedName>
    <definedName name="offflex_acq">#REF!</definedName>
    <definedName name="office">#REF!</definedName>
    <definedName name="OLDDEBT_RATE">#REF!</definedName>
    <definedName name="OLDGW">#REF!</definedName>
    <definedName name="oldvnew">#REF!</definedName>
    <definedName name="ONE">#REF!</definedName>
    <definedName name="OP">#REF!</definedName>
    <definedName name="Op_margin">#REF!</definedName>
    <definedName name="OPERATING_HIS1">#REF!</definedName>
    <definedName name="OPERATING_HIS2">#REF!</definedName>
    <definedName name="OPERATING_HIS3">#REF!</definedName>
    <definedName name="OPPCOST">#REF!</definedName>
    <definedName name="Options">#N/A</definedName>
    <definedName name="other">#REF!</definedName>
    <definedName name="Other_Assets_Pivot">#REF!</definedName>
    <definedName name="Other_Liab_Pivot">#REF!</definedName>
    <definedName name="Other1">#REF!</definedName>
    <definedName name="oti">#REF!</definedName>
    <definedName name="OUT_INT">#REF!</definedName>
    <definedName name="output">#REF!</definedName>
    <definedName name="output_q">#REF!</definedName>
    <definedName name="OUTPUTS">#REF!</definedName>
    <definedName name="OWN">#REF!</definedName>
    <definedName name="p" localSheetId="0">print_consol</definedName>
    <definedName name="p">print_consol</definedName>
    <definedName name="P_BS">#N/A</definedName>
    <definedName name="P_L">#REF!</definedName>
    <definedName name="Pacific">#REF!</definedName>
    <definedName name="PAGE">#REF!</definedName>
    <definedName name="page_o_charts">#REF!</definedName>
    <definedName name="PAGE1">#REF!</definedName>
    <definedName name="Page12">#REF!</definedName>
    <definedName name="PAGE2">#N/A</definedName>
    <definedName name="Page200">#REF!</definedName>
    <definedName name="Page201">#REF!</definedName>
    <definedName name="papi" localSheetId="0">{#N/A,#N/A,FALSE,"Aging Summary";#N/A,#N/A,FALSE,"Ratio Analysis";#N/A,#N/A,FALSE,"Test 120 Day Accts";#N/A,#N/A,FALSE,"Tickmarks"}</definedName>
    <definedName name="papi">{#N/A,#N/A,FALSE,"Aging Summary";#N/A,#N/A,FALSE,"Ratio Analysis";#N/A,#N/A,FALSE,"Test 120 Day Accts";#N/A,#N/A,FALSE,"Tickmarks"}</definedName>
    <definedName name="PAPY" localSheetId="0">{#N/A,#N/A,FALSE,"Aging Summary";#N/A,#N/A,FALSE,"Ratio Analysis";#N/A,#N/A,FALSE,"Test 120 Day Accts";#N/A,#N/A,FALSE,"Tickmarks"}</definedName>
    <definedName name="PAPY">{#N/A,#N/A,FALSE,"Aging Summary";#N/A,#N/A,FALSE,"Ratio Analysis";#N/A,#N/A,FALSE,"Test 120 Day Accts";#N/A,#N/A,FALSE,"Tickmarks"}</definedName>
    <definedName name="Parcel_Occupancy">#REF!</definedName>
    <definedName name="payment.Num" localSheetId="0">IF(OR(#REF!="",#REF!=[0]!Total_payments),"",#REF!+1)</definedName>
    <definedName name="payment.Num">IF(OR(#REF!="",#REF!=Total_payments),"",#REF!+1)</definedName>
    <definedName name="Payments_per_year">#REF!</definedName>
    <definedName name="pbFileName">MID(CELL("filename"),FIND("[",CELL("FILENAME"))+1,(FIND("]",CELL("FILENAME")))-(FIND("[",CELL("FILENAME"))+1))</definedName>
    <definedName name="pbPrinterFormat">"\\SGB24831\P0047496 on Ne05:"</definedName>
    <definedName name="pbStartPageNumber">1</definedName>
    <definedName name="pbUpdatePageNumbering">TRUE</definedName>
    <definedName name="PCT">#REF!</definedName>
    <definedName name="PCT_L">#REF!</definedName>
    <definedName name="PCTS">#REF!</definedName>
    <definedName name="PERIOD">#REF!</definedName>
    <definedName name="Periodic_rate" localSheetId="0">Annual_interest_rate/Payments_per_year</definedName>
    <definedName name="Periodic_rate">Annual_interest_rate/Payments_per_year</definedName>
    <definedName name="Pers_TotAssets_Copy">#REF!</definedName>
    <definedName name="Pers_TotAssets_Paste">#REF!</definedName>
    <definedName name="perstore">#REF!</definedName>
    <definedName name="PF_EPS_CALC">#REF!</definedName>
    <definedName name="pf_tot_EBITDA">#REF!</definedName>
    <definedName name="PFADSharesSwitch">#REF!</definedName>
    <definedName name="pfd">#REF!</definedName>
    <definedName name="pfd_stk">#REF!</definedName>
    <definedName name="PFEBIT">#REF!</definedName>
    <definedName name="PFPRICE">#REF!</definedName>
    <definedName name="PFPRICE2">#REF!</definedName>
    <definedName name="pg3a">#N/A</definedName>
    <definedName name="picture">#REF!</definedName>
    <definedName name="pik">#REF!</definedName>
    <definedName name="pkhigh">#REF!</definedName>
    <definedName name="plre" localSheetId="0">[0]!plre</definedName>
    <definedName name="plre">Cover!plre</definedName>
    <definedName name="Pmt_to_use">#REF!</definedName>
    <definedName name="PNAME">#REF!</definedName>
    <definedName name="pool">#REF!</definedName>
    <definedName name="Portfolio">#REF!</definedName>
    <definedName name="PortfolioSelectorRange">#REF!</definedName>
    <definedName name="Portion">#REF!</definedName>
    <definedName name="POS">#REF!</definedName>
    <definedName name="PPS">#REF!</definedName>
    <definedName name="prall">#REF!</definedName>
    <definedName name="pref_rate">#REF!</definedName>
    <definedName name="preferred">#REF!</definedName>
    <definedName name="PREFERRED_RATE">#REF!</definedName>
    <definedName name="Prepayment_Penalties">#REF!</definedName>
    <definedName name="Prepayment_Penalty_Notes">#REF!</definedName>
    <definedName name="PreSale">#REF!</definedName>
    <definedName name="PresentationNormalA4">#REF!</definedName>
    <definedName name="price">#REF!</definedName>
    <definedName name="PRICE_SENSE">#REF!</definedName>
    <definedName name="PRICE_SENSE2">#REF!</definedName>
    <definedName name="prime">#REF!</definedName>
    <definedName name="Principal" localSheetId="0">IF(#REF!&lt;&gt;"",MIN(#REF!,Pmt_to_use-#REF!),"")</definedName>
    <definedName name="Principal">IF(#REF!&lt;&gt;"",MIN(#REF!,Pmt_to_use-#REF!),"")</definedName>
    <definedName name="prins">#REF!</definedName>
    <definedName name="Print__q" localSheetId="0">print_consol</definedName>
    <definedName name="Print__q">print_consol</definedName>
    <definedName name="_xlnm.Print_Area" localSheetId="2">'Capex &amp; NWC Drivers'!$B$2:$M$64</definedName>
    <definedName name="_xlnm.Print_Area" localSheetId="0">Cover!$B$1:$X$58</definedName>
    <definedName name="_xlnm.Print_Area" localSheetId="1">'Historical Financials'!$B$2:$J$114</definedName>
    <definedName name="_xlnm.Print_Area" localSheetId="3">'P&amp;L Drivers'!$B$2:$M$92</definedName>
    <definedName name="_xlnm.Print_Area" localSheetId="4">'Returns Model'!$B$2:$O$349</definedName>
    <definedName name="_xlnm.Print_Area">#REF!</definedName>
    <definedName name="Print_Area_MI">#REF!</definedName>
    <definedName name="Print_matrix">#REF!</definedName>
    <definedName name="PRINT_MENU">#REF!</definedName>
    <definedName name="_xlnm.Print_Titles">#N/A</definedName>
    <definedName name="Print_Titles_MI">#REF!</definedName>
    <definedName name="Print1">#REF!</definedName>
    <definedName name="Print2">#REF!</definedName>
    <definedName name="PRINTDLG">#REF!</definedName>
    <definedName name="PrintManagerQuery">#REF!</definedName>
    <definedName name="PrintPreview" localSheetId="0">[0]!PrintPreview</definedName>
    <definedName name="PrintPreview">Cover!PrintPreview</definedName>
    <definedName name="PrintSelectedSheetsMacroButton">#REF!</definedName>
    <definedName name="prmgt">#REF!</definedName>
    <definedName name="PROCEEDS">#REF!</definedName>
    <definedName name="prod94_95">#REF!</definedName>
    <definedName name="product97_01">#REF!</definedName>
    <definedName name="products_94_95">#REF!</definedName>
    <definedName name="productsales_98_02">#REF!</definedName>
    <definedName name="productsales95_96quarter">#REF!</definedName>
    <definedName name="productsales96_97">#REF!</definedName>
    <definedName name="profile">#REF!</definedName>
    <definedName name="PROFORMA_SHARES">#REF!</definedName>
    <definedName name="ProImportExport.ImportFile" localSheetId="0">[0]!ProImportExport.ImportFile</definedName>
    <definedName name="ProImportExport.ImportFile">Cover!ProImportExport.ImportFile</definedName>
    <definedName name="ProImportExport.SaveNewFile" localSheetId="0">[0]!ProImportExport.SaveNewFile</definedName>
    <definedName name="ProImportExport.SaveNewFile">Cover!ProImportExport.SaveNewFile</definedName>
    <definedName name="PROJECT">#REF!</definedName>
    <definedName name="PROJECT_GOLDMINE">#REF!</definedName>
    <definedName name="projectname">#REF!</definedName>
    <definedName name="ProjectName2" localSheetId="0">{"Client Name or Project Name"}</definedName>
    <definedName name="ProjectName2">{"Client Name or Project Name"}</definedName>
    <definedName name="projectnametitle">#REF!</definedName>
    <definedName name="projectno">#REF!</definedName>
    <definedName name="Prop_Analysis00">#REF!</definedName>
    <definedName name="Prop_Analysis99">#REF!</definedName>
    <definedName name="PROP_TAX_GROW">#REF!</definedName>
    <definedName name="prtax">#REF!</definedName>
    <definedName name="pulp1">#REF!</definedName>
    <definedName name="pulp2">#REF!</definedName>
    <definedName name="purchase?">#REF!</definedName>
    <definedName name="PurchDebt">#REF!</definedName>
    <definedName name="PurchEBITDA">#REF!</definedName>
    <definedName name="PurchInt">#REF!</definedName>
    <definedName name="PurchRev">#REF!</definedName>
    <definedName name="PurchRoom">#REF!</definedName>
    <definedName name="PvtTbl2">#REF!</definedName>
    <definedName name="Q_1997">#REF!</definedName>
    <definedName name="Q10_BS">#REF!</definedName>
    <definedName name="Q10_IS">#REF!</definedName>
    <definedName name="Q10_ISBS">#REF!</definedName>
    <definedName name="qbs">#REF!</definedName>
    <definedName name="qend">#REF!</definedName>
    <definedName name="qfs">#REF!</definedName>
    <definedName name="qis">#REF!</definedName>
    <definedName name="qre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elReportLeasingByBuilding">#REF!</definedName>
    <definedName name="QTR_YTD">#REF!</definedName>
    <definedName name="Quarter">#REF!</definedName>
    <definedName name="quarterly">#REF!</definedName>
    <definedName name="qw" localSheetId="0">{"FCB_ALL",#N/A,FALSE,"FCB";"GREY_ALL",#N/A,FALSE,"GREY"}</definedName>
    <definedName name="qw">{"FCB_ALL",#N/A,FALSE,"FCB";"GREY_ALL",#N/A,FALSE,"GREY"}</definedName>
    <definedName name="qwert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nk_Bud">#REF!</definedName>
    <definedName name="Rankbudid">#REF!</definedName>
    <definedName name="RAT_A">#REF!</definedName>
    <definedName name="RAT_T">#REF!</definedName>
    <definedName name="rating">#REF!</definedName>
    <definedName name="RATIOS">#REF!</definedName>
    <definedName name="RATIOS_L">#REF!</definedName>
    <definedName name="ratios_ll">#REF!</definedName>
    <definedName name="realty">#REF!</definedName>
    <definedName name="realtystock">#REF!</definedName>
    <definedName name="Recap">#REF!</definedName>
    <definedName name="reconciliations">#REF!</definedName>
    <definedName name="_xlnm.Recorder">#REF!</definedName>
    <definedName name="reduce">#REF!</definedName>
    <definedName name="reit_bal_sht">#REF!</definedName>
    <definedName name="reit_both">#REF!</definedName>
    <definedName name="reit_inc_stmt">#REF!</definedName>
    <definedName name="rent_inc">#REF!</definedName>
    <definedName name="Rent_Incr">#REF!</definedName>
    <definedName name="rent_incr2">#REF!</definedName>
    <definedName name="rent_incr3">#REF!</definedName>
    <definedName name="rent_incr4">#REF!</definedName>
    <definedName name="rent_incr5">#REF!</definedName>
    <definedName name="rent1">#REF!</definedName>
    <definedName name="rent2">#REF!</definedName>
    <definedName name="rent3">#REF!</definedName>
    <definedName name="rent4">#REF!</definedName>
    <definedName name="ResetItemView" localSheetId="0">[0]!ResetItemView</definedName>
    <definedName name="ResetItemView">Cover!ResetItemView</definedName>
    <definedName name="RESUMEDO">#REF!</definedName>
    <definedName name="retail">#REF!</definedName>
    <definedName name="Retail_Cap">#REF!</definedName>
    <definedName name="Retail_Proceeds">#REF!</definedName>
    <definedName name="RETURN">#REF!</definedName>
    <definedName name="RETURNS">#REF!</definedName>
    <definedName name="returns_l">#REF!</definedName>
    <definedName name="rev">#N/A</definedName>
    <definedName name="rev_area">#REF!</definedName>
    <definedName name="rev_g">#REF!</definedName>
    <definedName name="REVALA">#REF!</definedName>
    <definedName name="REVALL">#REF!</definedName>
    <definedName name="Reverse">#REF!</definedName>
    <definedName name="revs">#REF!</definedName>
    <definedName name="roll_T_options?">#REF!</definedName>
    <definedName name="ROP" localSheetId="0">[0]!ROP</definedName>
    <definedName name="ROP">Cover!ROP</definedName>
    <definedName name="round">1</definedName>
    <definedName name="RRBegin">#REF!</definedName>
    <definedName name="rrc">#REF!</definedName>
    <definedName name="RREnd">#REF!</definedName>
    <definedName name="rrent_incr">#REF!</definedName>
    <definedName name="rrent_incr2">#REF!</definedName>
    <definedName name="rrent_incr3">#REF!</definedName>
    <definedName name="rrent_incr4">#REF!</definedName>
    <definedName name="RRLeaseType">#REF!</definedName>
    <definedName name="RRSF">#REF!</definedName>
    <definedName name="RRSuite">#REF!</definedName>
    <definedName name="RRTenant1">#REF!</definedName>
    <definedName name="RRUponExpir">#REF!</definedName>
    <definedName name="rt" localSheetId="0">{"inputs raw data",#N/A,TRUE,"INPUT"}</definedName>
    <definedName name="rt">{"inputs raw data",#N/A,TRUE,"INPUT"}</definedName>
    <definedName name="rtg45t" localSheetId="0">[0]!rtg45t</definedName>
    <definedName name="rtg45t">Cover!rtg45t</definedName>
    <definedName name="rti">#REF!</definedName>
    <definedName name="s" localSheetId="0">{"cap_structure",#N/A,FALSE,"Graph-Mkt Cap";"price",#N/A,FALSE,"Graph-Price";"ebit",#N/A,FALSE,"Graph-EBITDA";"ebitda",#N/A,FALSE,"Graph-EBITDA"}</definedName>
    <definedName name="s">{"cap_structure",#N/A,FALSE,"Graph-Mkt Cap";"price",#N/A,FALSE,"Graph-Price";"ebit",#N/A,FALSE,"Graph-EBITDA";"ebitda",#N/A,FALSE,"Graph-EBITDA"}</definedName>
    <definedName name="sa" localSheetId="0">{"cap_structure",#N/A,FALSE,"Graph-Mkt Cap";"price",#N/A,FALSE,"Graph-Price";"ebit",#N/A,FALSE,"Graph-EBITDA";"ebitda",#N/A,FALSE,"Graph-EBITDA"}</definedName>
    <definedName name="sa">{"cap_structure",#N/A,FALSE,"Graph-Mkt Cap";"price",#N/A,FALSE,"Graph-Price";"ebit",#N/A,FALSE,"Graph-EBITDA";"ebitda",#N/A,FALSE,"Graph-EBITDA"}</definedName>
    <definedName name="sagf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e_to_OP_Cap">#REF!</definedName>
    <definedName name="sales">#REF!</definedName>
    <definedName name="SAME_STORE">#REF!</definedName>
    <definedName name="Sarasota_City_Center">#REF!</definedName>
    <definedName name="Saved_Acquiror">#REF!</definedName>
    <definedName name="SAVED_EXRATIO">#REF!</definedName>
    <definedName name="SAVED_ISS_PRICE">#REF!</definedName>
    <definedName name="Saved_Offer_Price">#REF!</definedName>
    <definedName name="Saved_Target">#REF!</definedName>
    <definedName name="SaveNewFile" localSheetId="0">[0]!SaveNewFile</definedName>
    <definedName name="SaveNewFile">Cover!SaveNewFile</definedName>
    <definedName name="savenewfile2" localSheetId="0">[0]!savenewfile2</definedName>
    <definedName name="savenewfile2">Cover!savenewfile2</definedName>
    <definedName name="sb">#REF!</definedName>
    <definedName name="scai">#REF!</definedName>
    <definedName name="SCENARIO">#REF!</definedName>
    <definedName name="schedule_q96_1">#REF!</definedName>
    <definedName name="schedule_q96_2">#REF!</definedName>
    <definedName name="schedule_q96_3">#REF!</definedName>
    <definedName name="schedule_q96_4">#REF!</definedName>
    <definedName name="schedule_qd96_1">#REF!</definedName>
    <definedName name="schedule_qd96_2">#REF!</definedName>
    <definedName name="schedule_qd96_3">#REF!</definedName>
    <definedName name="schedule_qd96_4">#REF!</definedName>
    <definedName name="scli">#REF!</definedName>
    <definedName name="scsa">#REF!</definedName>
    <definedName name="sd" localSheetId="0">{"summary1",#N/A,TRUE,"Comps";"summary2",#N/A,TRUE,"Comps";"summary3",#N/A,TRUE,"Comps"}</definedName>
    <definedName name="sd">{"summary1",#N/A,TRUE,"Comps";"summary2",#N/A,TRUE,"Comps";"summary3",#N/A,TRUE,"Comps"}</definedName>
    <definedName name="sdf" localSheetId="0">[0]!sdf</definedName>
    <definedName name="sdf">Cover!sdf</definedName>
    <definedName name="sdfga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ason">#REF!</definedName>
    <definedName name="sed" localSheetId="0">{#N/A,#N/A,FALSE,"Aging Summary";#N/A,#N/A,FALSE,"Ratio Analysis";#N/A,#N/A,FALSE,"Test 120 Day Accts";#N/A,#N/A,FALSE,"Tickmarks"}</definedName>
    <definedName name="sed">{#N/A,#N/A,FALSE,"Aging Summary";#N/A,#N/A,FALSE,"Ratio Analysis";#N/A,#N/A,FALSE,"Test 120 Day Accts";#N/A,#N/A,FALSE,"Tickmarks"}</definedName>
    <definedName name="select_cap_rates">#REF!</definedName>
    <definedName name="sell_cap">#REF!</definedName>
    <definedName name="sencount">1</definedName>
    <definedName name="SENSEPOOL">#REF!</definedName>
    <definedName name="SEPTIEMBRE">#REF!</definedName>
    <definedName name="SeriesFormat" localSheetId="0">[0]!SeriesFormat</definedName>
    <definedName name="SeriesFormat">Cover!SeriesFormat</definedName>
    <definedName name="Set">" "</definedName>
    <definedName name="SET_ISS_PRICE">#REF!</definedName>
    <definedName name="SET_OFF_PRICE">#REF!</definedName>
    <definedName name="sfdfa">#REF!</definedName>
    <definedName name="sga">#REF!</definedName>
    <definedName name="Shares">#N/A</definedName>
    <definedName name="shares_outstanding">#REF!</definedName>
    <definedName name="shares2">#REF!</definedName>
    <definedName name="shares3">#REF!</definedName>
    <definedName name="SHARESA">#REF!</definedName>
    <definedName name="SHARESB">#REF!</definedName>
    <definedName name="Short_Flow_Data">#REF!</definedName>
    <definedName name="Show.Date" localSheetId="0">IF(#REF!&lt;&gt;"",DATE(YEAR(First_payment_due),MONTH(First_payment_due)+(#REF!-1)*12/Payments_per_year,DAY(First_payment_due)),"")</definedName>
    <definedName name="Show.Date">IF(#REF!&lt;&gt;"",DATE(YEAR(First_payment_due),MONTH(First_payment_due)+(#REF!-1)*12/Payments_per_year,DAY(First_payment_due)),"")</definedName>
    <definedName name="ShowData" localSheetId="0">[0]!ShowData</definedName>
    <definedName name="ShowData">Cover!ShowData</definedName>
    <definedName name="ShowGraph" localSheetId="0">[0]!ShowGraph</definedName>
    <definedName name="ShowGraph">Cover!ShowGraph</definedName>
    <definedName name="SIC">#REF!</definedName>
    <definedName name="silver_print" localSheetId="0">operating,multiples,elvis,graceland,balance,pro_income,dcf_comb,valuation</definedName>
    <definedName name="silver_print">operating,multiples,elvis,graceland,balance,pro_income,dcf_comb,valuation</definedName>
    <definedName name="silver_print2" localSheetId="0">operating,multiples,elvis,graceland,balance,pro_income,dcf_comb,valuation</definedName>
    <definedName name="silver_print2">operating,multiples,elvis,graceland,balance,pro_income,dcf_comb,valuation</definedName>
    <definedName name="six">#REF!</definedName>
    <definedName name="SIX_YEAR">#REF!</definedName>
    <definedName name="SIXYRS_OF_PROJ">#REF!</definedName>
    <definedName name="sourcesanduses">#REF!</definedName>
    <definedName name="Southeast">#REF!</definedName>
    <definedName name="Southwest">#REF!</definedName>
    <definedName name="Sparks_Deer_Creek">"mgmtfee"</definedName>
    <definedName name="spcompany">#REF!</definedName>
    <definedName name="specialm">#REF!</definedName>
    <definedName name="specialq">#REF!</definedName>
    <definedName name="spffo">#REF!</definedName>
    <definedName name="spffo2">#REF!</definedName>
    <definedName name="spffo3">#REF!</definedName>
    <definedName name="spffo4\">#REF!</definedName>
    <definedName name="spffo5">#REF!</definedName>
    <definedName name="spname2">#REF!</definedName>
    <definedName name="spname3">#REF!</definedName>
    <definedName name="spname4">#REF!</definedName>
    <definedName name="spname6">#REF!</definedName>
    <definedName name="spop1">#REF!</definedName>
    <definedName name="spop2">#REF!</definedName>
    <definedName name="spop3">#REF!</definedName>
    <definedName name="spop4">#REF!</definedName>
    <definedName name="SPWS_WBID">"08C0B20B-5C58-11D3-B317-444553540000"</definedName>
    <definedName name="sr">#REF!</definedName>
    <definedName name="sss" localSheetId="0">[0]!sss</definedName>
    <definedName name="sss">Cover!sss</definedName>
    <definedName name="ssw" localSheetId="0">{#N/A,#N/A,FALSE,"Aging Summary";#N/A,#N/A,FALSE,"Ratio Analysis";#N/A,#N/A,FALSE,"Test 120 Day Accts";#N/A,#N/A,FALSE,"Tickmarks"}</definedName>
    <definedName name="ssw">{#N/A,#N/A,FALSE,"Aging Summary";#N/A,#N/A,FALSE,"Ratio Analysis";#N/A,#N/A,FALSE,"Test 120 Day Accts";#N/A,#N/A,FALSE,"Tickmarks"}</definedName>
    <definedName name="st" localSheetId="0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_Ancil_Inc" localSheetId="0">EGI-NRI</definedName>
    <definedName name="Stab_Ancil_Inc">EGI-NRI</definedName>
    <definedName name="start">#REF!</definedName>
    <definedName name="std">#REF!</definedName>
    <definedName name="step">#REF!</definedName>
    <definedName name="step2">#REF!</definedName>
    <definedName name="step3">#REF!</definedName>
    <definedName name="steveb">#REF!</definedName>
    <definedName name="stock">#N/A</definedName>
    <definedName name="STOCK1">#REF!</definedName>
    <definedName name="store">#REF!</definedName>
    <definedName name="stores">#REF!</definedName>
    <definedName name="strategicassetdetail">#REF!</definedName>
    <definedName name="strategicassetfinan">#REF!</definedName>
    <definedName name="strategicdetail">#REF!</definedName>
    <definedName name="strategicfinan">#REF!</definedName>
    <definedName name="stub">#REF!</definedName>
    <definedName name="subdebt">#REF!</definedName>
    <definedName name="subheader">#REF!</definedName>
    <definedName name="Subheader2">#REF!</definedName>
    <definedName name="subint">#REF!</definedName>
    <definedName name="subtitle">#REF!</definedName>
    <definedName name="SUMM">#REF!</definedName>
    <definedName name="SUMM1">#REF!</definedName>
    <definedName name="summary" localSheetId="0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ary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it_Office_Park">#REF!</definedName>
    <definedName name="summpage">#REF!</definedName>
    <definedName name="SUPPLEMENTAL">#REF!</definedName>
    <definedName name="sw">#REF!</definedName>
    <definedName name="swappage">#REF!</definedName>
    <definedName name="SWEEP">#REF!</definedName>
    <definedName name="Switch">#REF!</definedName>
    <definedName name="SWITCHES">#REF!</definedName>
    <definedName name="syn">#N/A</definedName>
    <definedName name="SYN_SCN">#N/A</definedName>
    <definedName name="syn_sga">#N/A</definedName>
    <definedName name="SynergiesCY">#REF!</definedName>
    <definedName name="SynergiesNY">#REF!</definedName>
    <definedName name="synergy">#N/A</definedName>
    <definedName name="SyracuseM">#REF!</definedName>
    <definedName name="SyracuseQ">#REF!</definedName>
    <definedName name="t_ticker">#REF!</definedName>
    <definedName name="table">#REF!</definedName>
    <definedName name="TABLE_1">#REF!</definedName>
    <definedName name="table_2">#REF!</definedName>
    <definedName name="TABLE_3">#REF!</definedName>
    <definedName name="Table_3.__by_Property__1995_1996">#REF!</definedName>
    <definedName name="Table_4.by_Property__1997_2001">#REF!</definedName>
    <definedName name="Table_8.__Results_by_Property__1995_1996">#REF!</definedName>
    <definedName name="Table_9.Casino_Results_by_Property__1997_2001">#REF!</definedName>
    <definedName name="Table_beg_bal">#REF!</definedName>
    <definedName name="Table_prior_interest">#REF!</definedName>
    <definedName name="Table_Titles">#REF!</definedName>
    <definedName name="Table_xx.Estimated_Product_Sales__Fiscal_1998_2002">#REF!</definedName>
    <definedName name="Tables">#REF!</definedName>
    <definedName name="Tampa_Commons">#REF!</definedName>
    <definedName name="tar">#REF!</definedName>
    <definedName name="targ">#REF!</definedName>
    <definedName name="TARG1">#REF!</definedName>
    <definedName name="Target">#REF!</definedName>
    <definedName name="TARGET_NAME">#REF!</definedName>
    <definedName name="TARGET_SHARES">#REF!</definedName>
    <definedName name="TARGET_SHPRICE">#REF!</definedName>
    <definedName name="TARGET_SUM">#REF!</definedName>
    <definedName name="TAX_FORECAST">#REF!</definedName>
    <definedName name="TAX_RATE_GROW">#REF!</definedName>
    <definedName name="tbl_RCAexport">#REF!</definedName>
    <definedName name="TCEECY">#REF!</definedName>
    <definedName name="TCEENY">#REF!</definedName>
    <definedName name="TCNICY">#REF!</definedName>
    <definedName name="TCNINY">#REF!</definedName>
    <definedName name="td">#REF!</definedName>
    <definedName name="te">#REF!</definedName>
    <definedName name="TE_RATE">#REF!</definedName>
    <definedName name="TE_RISE">#REF!</definedName>
    <definedName name="TEECY">#REF!</definedName>
    <definedName name="TEENY">#REF!</definedName>
    <definedName name="TEMPLATE">#REF!</definedName>
    <definedName name="TEMPLATE_FILE">#REF!</definedName>
    <definedName name="TemplateDate">32967</definedName>
    <definedName name="TEN_YEAR">#REF!</definedName>
    <definedName name="TEN_YEAR_WITH">#REF!</definedName>
    <definedName name="tenr">#REF!</definedName>
    <definedName name="Term_in_years">#REF!</definedName>
    <definedName name="termPoints">#REF!</definedName>
    <definedName name="test1">#REF!</definedName>
    <definedName name="TestAdd">"Test RefersTo1"</definedName>
    <definedName name="TextFormat" localSheetId="0">[0]!TextFormat</definedName>
    <definedName name="TextFormat">Cover!TextFormat</definedName>
    <definedName name="Tgt">#REF!</definedName>
    <definedName name="Tgt_Currency">#REF!</definedName>
    <definedName name="three">#REF!</definedName>
    <definedName name="threeQacq">#REF!</definedName>
    <definedName name="ti">#REF!</definedName>
    <definedName name="Ticker">#N/A</definedName>
    <definedName name="Ticker_Symbol">#REF!</definedName>
    <definedName name="TickerToNameOnEnter" localSheetId="0">[0]!TickerToNameOnEnter</definedName>
    <definedName name="TickerToNameOnEnter">Cover!TickerToNameOnEnter</definedName>
    <definedName name="tim">#REF!</definedName>
    <definedName name="time">#REF!</definedName>
    <definedName name="TInterestRate">#REF!</definedName>
    <definedName name="TMC">#REF!</definedName>
    <definedName name="TMVE">#REF!</definedName>
    <definedName name="tname">#REF!</definedName>
    <definedName name="TNetDebt">#REF!</definedName>
    <definedName name="TNICY">#REF!</definedName>
    <definedName name="TNINY">#REF!</definedName>
    <definedName name="today">#REF!</definedName>
    <definedName name="top10pct">#REF!</definedName>
    <definedName name="totadd">#REF!</definedName>
    <definedName name="total">#REF!</definedName>
    <definedName name="Total_Interest_Lookup">#REF!</definedName>
    <definedName name="Total_payments" localSheetId="0">Payments_per_year*Term_in_years</definedName>
    <definedName name="Total_payments">Payments_per_year*Term_in_years</definedName>
    <definedName name="totalamount">#REF!</definedName>
    <definedName name="totalbooks">#REF!</definedName>
    <definedName name="TotalSF">#REF!</definedName>
    <definedName name="TPrice">#REF!</definedName>
    <definedName name="TR_LOOP">#REF!</definedName>
    <definedName name="TR_MERGE">#REF!</definedName>
    <definedName name="TR_METHODS">#REF!</definedName>
    <definedName name="TR_PRICE">#REF!</definedName>
    <definedName name="TR_RANGES">#REF!</definedName>
    <definedName name="TR_STRUCT">#REF!</definedName>
    <definedName name="TR_STRUCT_CALCS">#REF!</definedName>
    <definedName name="TR_STRUCT_RUN">#REF!</definedName>
    <definedName name="Trading">#REF!</definedName>
    <definedName name="TraexM">#REF!</definedName>
    <definedName name="TraexQ">#REF!</definedName>
    <definedName name="trans_l">#REF!</definedName>
    <definedName name="TRANSINPUTS">#REF!</definedName>
    <definedName name="treasury1">#REF!</definedName>
    <definedName name="treasuryrate">#REF!</definedName>
    <definedName name="TShares">#REF!</definedName>
    <definedName name="TSHE">#REF!</definedName>
    <definedName name="TSITE3">#REF!</definedName>
    <definedName name="TTaxRate">#REF!</definedName>
    <definedName name="TTSHE">#REF!</definedName>
    <definedName name="Two">#REF!</definedName>
    <definedName name="twoQAcq">#REF!</definedName>
    <definedName name="TxFees">#REF!</definedName>
    <definedName name="TxFeesAmort">#REF!</definedName>
    <definedName name="TxFeesLabel">#REF!</definedName>
    <definedName name="TxFeesSwitch">#REF!</definedName>
    <definedName name="typefo04">#REF!</definedName>
    <definedName name="uhygf" localSheetId="0">[0]!uhygf</definedName>
    <definedName name="uhygf">Cover!uhygf</definedName>
    <definedName name="UNAFFPRICE">#REF!</definedName>
    <definedName name="University_Tower">#REF!</definedName>
    <definedName name="Untitled">#REF!</definedName>
    <definedName name="UPD_MARKET_ONLY">#REF!</definedName>
    <definedName name="UPDATE">#REF!</definedName>
    <definedName name="UPDATE_MKT">#REF!</definedName>
    <definedName name="updates">#REF!</definedName>
    <definedName name="USE_TEMP">#REF!</definedName>
    <definedName name="UseCashForDebt">#REF!</definedName>
    <definedName name="usr">#REF!</definedName>
    <definedName name="ust0.5">#REF!</definedName>
    <definedName name="uyfkf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eEBITDA">#REF!</definedName>
    <definedName name="vcmcf0102">#REF!</definedName>
    <definedName name="versionno">"1.0"</definedName>
    <definedName name="Volume">"Chart 8"</definedName>
    <definedName name="w" localSheetId="0">{"'Expirations'!$A$1:$L$65"}</definedName>
    <definedName name="w">{"'Expirations'!$A$1:$L$65"}</definedName>
    <definedName name="wafe" localSheetId="0">{"summary1",#N/A,TRUE,"Comps";"summary2",#N/A,TRUE,"Comps";"summary3",#N/A,TRUE,"Comps"}</definedName>
    <definedName name="wafe">{"summary1",#N/A,TRUE,"Comps";"summary2",#N/A,TRUE,"Comps";"summary3",#N/A,TRUE,"Comps"}</definedName>
    <definedName name="WEA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dse" localSheetId="0">[0]!wedse</definedName>
    <definedName name="wedse">Cover!wedse</definedName>
    <definedName name="wef13rgfdh" localSheetId="0">[0]!wef13rgfdh</definedName>
    <definedName name="wef13rgfdh">Cover!wef13rgfdh</definedName>
    <definedName name="wefaf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localSheetId="0">{"summary1",#N/A,TRUE,"Comps";"summary2",#N/A,TRUE,"Comps";"summary3",#N/A,TRUE,"Comps"}</definedName>
    <definedName name="WEQQE">{"summary1",#N/A,TRUE,"Comps";"summary2",#N/A,TRUE,"Comps";"summary3",#N/A,TRUE,"Comps"}</definedName>
    <definedName name="West">#REF!</definedName>
    <definedName name="whole">#REF!,#REF!,#REF!,#REF!</definedName>
    <definedName name="WIZARD_ROAE">#REF!</definedName>
    <definedName name="WL_Assump_IssuanceMonth">#REF!</definedName>
    <definedName name="WL_Assump_IssuanceTbl">#REF!</definedName>
    <definedName name="WL_Assump_PurchFreq">#REF!</definedName>
    <definedName name="WL_Assump_PurchGrowth">#REF!</definedName>
    <definedName name="WL_Assump_PurchNum">#REF!</definedName>
    <definedName name="WLAgcy_Assump_IssuanceMonth">#REF!</definedName>
    <definedName name="WLAgcy_Assump_IssuanceTbl">#REF!</definedName>
    <definedName name="WLAgcy_Assump_PurchFreq">#REF!</definedName>
    <definedName name="WLAgcy_Assump_PurchGrowth">#REF!</definedName>
    <definedName name="WLAgcy_Assump_PurchNum">#REF!</definedName>
    <definedName name="worksheet">#REF!</definedName>
    <definedName name="WQ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d.2._.pagers.3" localSheetId="0">{"Cover",#N/A,FALSE,"Cover";"Summary",#N/A,FALSE,"Summarpage"}</definedName>
    <definedName name="wrd.2._.pagers.3">{"Cover",#N/A,FALSE,"Cover";"Summary",#N/A,FALSE,"Summarpage"}</definedName>
    <definedName name="WRITE_OFF">#REF!</definedName>
    <definedName name="wrn" localSheetId="0">{#N/A,#N/A,FALSE,"ZellLurieFinSummary";#N/A,#N/A,FALSE,"FirstCapFinSummary";#N/A,#N/A,FALSE,"ZM I-III Consol FinSummary"}</definedName>
    <definedName name="wrn">{#N/A,#N/A,FALSE,"ZellLurieFinSummary";#N/A,#N/A,FALSE,"FirstCapFinSummary";#N/A,#N/A,FALSE,"ZM I-III Consol FinSummary"}</definedName>
    <definedName name="wrn.2._.pagers." localSheetId="0">{"Cover",#N/A,FALSE,"Cover";"Summary",#N/A,FALSE,"Summarpage"}</definedName>
    <definedName name="wrn.2._.pagers.">{"Cover",#N/A,FALSE,"Cover";"Summary",#N/A,FALSE,"Summarpage"}</definedName>
    <definedName name="wrn.2._.pagers.2" localSheetId="0">{"Cover",#N/A,FALSE,"Cover";"Summary",#N/A,FALSE,"Summarpage"}</definedName>
    <definedName name="wrn.2._.pagers.2">{"Cover",#N/A,FALSE,"Cover";"Summary",#N/A,FALSE,"Summarpage"}</definedName>
    <definedName name="wrn.3yr.CF." localSheetId="0">{"assume",#N/A,FALSE,"K&amp;20th Month CF";"MoCF",#N/A,FALSE,"K&amp;20th Month CF";"AnCF",#N/A,FALSE,"K&amp;20th Month CF"}</definedName>
    <definedName name="wrn.3yr.CF.">{"assume",#N/A,FALSE,"K&amp;20th Month CF";"MoCF",#N/A,FALSE,"K&amp;20th Month CF";"AnCF",#N/A,FALSE,"K&amp;20th Month CF"}</definedName>
    <definedName name="wrn.Accretion." localSheetId="0">{"Accretion",#N/A,FALSE,"Assum"}</definedName>
    <definedName name="wrn.Accretion.">{"Accretion",#N/A,FALSE,"Assum"}</definedName>
    <definedName name="wrn.Acquistion._.Status." localSheetId="0">{#N/A,#N/A,FALSE,"zm III";#N/A,#N/A,FALSE,"deal flow";#N/A,#N/A,FALSE,"Pending deals"}</definedName>
    <definedName name="wrn.Acquistion._.Status.">{#N/A,#N/A,FALSE,"zm III";#N/A,#N/A,FALSE,"deal flow";#N/A,#N/A,FALSE,"Pending deals"}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LL." localSheetId="0">{#N/A,#N/A,FALSE,"MONTH";#N/A,#N/A,FALSE,"QTD";#N/A,#N/A,FALSE,"YTD"}</definedName>
    <definedName name="wrn.ALL.">{#N/A,#N/A,FALSE,"MONTH";#N/A,#N/A,FALSE,"QTD";#N/A,#N/A,FALSE,"YTD"}</definedName>
    <definedName name="wrn.All._.Schedules." localSheetId="0">{#N/A,#N/A,FALSE,"Static Proforma";#N/A,#N/A,FALSE,"Bldg Dev DCF";#N/A,#N/A,FALSE,"Land Sales DCF"}</definedName>
    <definedName name="wrn.All._.Schedules.">{#N/A,#N/A,FALSE,"Static Proforma";#N/A,#N/A,FALSE,"Bldg Dev DCF";#N/A,#N/A,FALSE,"Land Sales DCF"}</definedName>
    <definedName name="wrn.All._.Stock_10_12_14." localSheetId="0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ssumptions." localSheetId="0">{"Assumptions",#N/A,FALSE,"Assum"}</definedName>
    <definedName name="wrn.Assumptions.">{"Assumptions",#N/A,FALSE,"Assum"}</definedName>
    <definedName name="wrn.Auto._.Comp." localSheetId="0">{#N/A,#N/A,FALSE,"Sheet1"}</definedName>
    <definedName name="wrn.Auto._.Comp.">{#N/A,#N/A,FALSE,"Sheet1"}</definedName>
    <definedName name="wrn.Basic." localSheetId="0">{#N/A,#N/A,FALSE,"Cover";#N/A,#N/A,FALSE,"Assumptions";#N/A,#N/A,FALSE,"Acquirer";#N/A,#N/A,FALSE,"Target";#N/A,#N/A,FALSE,"Income Statement";#N/A,#N/A,FALSE,"Summary Tables"}</definedName>
    <definedName name="wrn.Basic.">{#N/A,#N/A,FALSE,"Cover";#N/A,#N/A,FALSE,"Assumptions";#N/A,#N/A,FALSE,"Acquirer";#N/A,#N/A,FALSE,"Target";#N/A,#N/A,FALSE,"Income Statement";#N/A,#N/A,FALSE,"Summary Tables"}</definedName>
    <definedName name="wrn.boardPackage." localSheetId="0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ardPackage.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Y._.MTH._.W_1._.YR._.HIST." localSheetId="0">{"BY MTH W_1 YR HIST",#N/A,FALSE,"DETAIL"}</definedName>
    <definedName name="wrn.BY._.MTH._.W_1._.YR._.HIST.">{"BY MTH W_1 YR HIST",#N/A,FALSE,"DETAIL"}</definedName>
    <definedName name="wrn.CF._.Print." localSheetId="0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larie_Bridge." localSheetId="0">{"One",#N/A,FALSE,"Claire Bridge";"Two",#N/A,FALSE,"Claire Bridge";"Three",#N/A,FALSE,"Claire Bridge";"Four",#N/A,FALSE,"Claire Bridge";"Five",#N/A,FALSE,"Claire Bridge"}</definedName>
    <definedName name="wrn.Clarie_Bridge.">{"One",#N/A,FALSE,"Claire Bridge";"Two",#N/A,FALSE,"Claire Bridge";"Three",#N/A,FALSE,"Claire Bridge";"Four",#N/A,FALSE,"Claire Bridge";"Five",#N/A,FALSE,"Claire Bridge"}</definedName>
    <definedName name="wrn.Complete." localSheetId="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re._.Reports._.1." localSheetId="0">{#N/A,#N/A,FALSE,"ORIGINAL PROP QTD";#N/A,#N/A,FALSE,"93 ACQ QTR";#N/A,#N/A,FALSE,"94 ACQ QTD";#N/A,#N/A,FALSE,"96 &amp; 97 ACQ QTR";#N/A,#N/A,FALSE,"CORE 97 QTR"}</definedName>
    <definedName name="wrn.Core._.Reports._.1.">{#N/A,#N/A,FALSE,"ORIGINAL PROP QTD";#N/A,#N/A,FALSE,"93 ACQ QTR";#N/A,#N/A,FALSE,"94 ACQ QTD";#N/A,#N/A,FALSE,"96 &amp; 97 ACQ QTR";#N/A,#N/A,FALSE,"CORE 97 QTR"}</definedName>
    <definedName name="wrn.CORPORATE." localSheetId="0">{"CORPORATE",#N/A,FALSE,"DETAIL"}</definedName>
    <definedName name="wrn.CORPORATE.">{"CORPORATE",#N/A,FALSE,"DETAIL"}</definedName>
    <definedName name="wrn.Country._.consolidation." localSheetId="0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untry._.consolidation.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rossings." localSheetId="0">{"One",#N/A,FALSE,"Crossings";"Two",#N/A,FALSE,"Crossings";"Three",#N/A,FALSE,"Crossings";"Fous",#N/A,FALSE,"Crossings";"Five",#N/A,FALSE,"Crossings"}</definedName>
    <definedName name="wrn.Crossings.">{"One",#N/A,FALSE,"Crossings";"Two",#N/A,FALSE,"Crossings";"Three",#N/A,FALSE,"Crossings";"Fous",#N/A,FALSE,"Crossings";"Five",#N/A,FALSE,"Crossings"}</definedName>
    <definedName name="wrn.DCF." localSheetId="0">{#N/A,#N/A,FALSE,"DCF-COM";#N/A,#N/A,FALSE,"VAC-COM"}</definedName>
    <definedName name="wrn.DCF.">{#N/A,#N/A,FALSE,"DCF-COM";#N/A,#N/A,FALSE,"VAC-COM"}</definedName>
    <definedName name="wrn.Debt._.Maturity." localSheetId="0">{#N/A,#N/A,FALSE,"ZLDebtMaturity";#N/A,#N/A,FALSE,"FCDebtMaturity";#N/A,#N/A,FALSE,"ZM3DebtMaturity";#N/A,#N/A,FALSE,"ZM2DebtMaturity";#N/A,#N/A,FALSE,"zm1DebtMaturity";#N/A,#N/A,FALSE,"ConsZM123DebtMaturity"}</definedName>
    <definedName name="wrn.Debt._.Maturity.">{#N/A,#N/A,FALSE,"ZLDebtMaturity";#N/A,#N/A,FALSE,"FCDebtMaturity";#N/A,#N/A,FALSE,"ZM3DebtMaturity";#N/A,#N/A,FALSE,"ZM2DebtMaturity";#N/A,#N/A,FALSE,"zm1DebtMaturity";#N/A,#N/A,FALSE,"ConsZM123DebtMaturity"}</definedName>
    <definedName name="wrn.Depreciation." localSheetId="0">{"One",#N/A,FALSE,"Depreciation"}</definedName>
    <definedName name="wrn.Depreciation.">{"One",#N/A,FALSE,"Depreciation"}</definedName>
    <definedName name="wrn.detail." localSheetId="0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deal." localSheetId="0">{"top",#N/A,TRUE,"Detail";"next",#N/A,TRUE,"Detail";"then",#N/A,TRUE,"Detail";"and",#N/A,TRUE,"Detail";"inaddition",#N/A,TRUE,"Detail";"finally",#N/A,TRUE,"Detail"}</definedName>
    <definedName name="wrn.devdeal.">{"top",#N/A,TRUE,"Detail";"next",#N/A,TRUE,"Detail";"then",#N/A,TRUE,"Detail";"and",#N/A,TRUE,"Detail";"inaddition",#N/A,TRUE,"Detail";"finally",#N/A,TRUE,"Detail"}</definedName>
    <definedName name="wrn.Development._.Budget." localSheetId="0">{"Year 1",#N/A,FALSE,"Budget";"Year 2",#N/A,FALSE,"Budget";"Year 3",#N/A,FALSE,"Budget";"Year 4",#N/A,FALSE,"Budget"}</definedName>
    <definedName name="wrn.Development._.Budget.">{"Year 1",#N/A,FALSE,"Budget";"Year 2",#N/A,FALSE,"Budget";"Year 3",#N/A,FALSE,"Budget";"Year 4",#N/A,FALSE,"Budget"}</definedName>
    <definedName name="wrn.Earnings._.Model." localSheetId="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Package." localSheetId="0">{"Summary",#N/A,FALSE,"Assumptions";"Development 1 2",#N/A,FALSE,"Budget";"Operating Income",#N/A,FALSE,"Budget"}</definedName>
    <definedName name="wrn.Entire._.Package.">{"Summary",#N/A,FALSE,"Assumptions";"Development 1 2",#N/A,FALSE,"Budget";"Operating Income",#N/A,FALSE,"Budget"}</definedName>
    <definedName name="wrn.Exhibits." localSheetId="0">{#N/A,#N/A,FALSE,"Historical";#N/A,#N/A,FALSE,"Adjusted";#N/A,#N/A,FALSE,"CAM Alloc.";#N/A,#N/A,FALSE,"Projected CAM"}</definedName>
    <definedName name="wrn.Exhibits.">{#N/A,#N/A,FALSE,"Historical";#N/A,#N/A,FALSE,"Adjusted";#N/A,#N/A,FALSE,"CAM Alloc.";#N/A,#N/A,FALSE,"Projected CAM"}</definedName>
    <definedName name="wrn.FCB." localSheetId="0">{"FCB_ALL",#N/A,FALSE,"FCB"}</definedName>
    <definedName name="wrn.FCB.">{"FCB_ALL",#N/A,FALSE,"FCB"}</definedName>
    <definedName name="wrn.fcb2" localSheetId="0">{"FCB_ALL",#N/A,FALSE,"FCB"}</definedName>
    <definedName name="wrn.fcb2">{"FCB_ALL",#N/A,FALSE,"FCB"}</definedName>
    <definedName name="wrn.Financing." localSheetId="0">{"One",#N/A,FALSE,"Financing";"Two",#N/A,FALSE,"Financing";"Three",#N/A,FALSE,"Financing";"Four",#N/A,FALSE,"Financing"}</definedName>
    <definedName name="wrn.Financing.">{"One",#N/A,FALSE,"Financing";"Two",#N/A,FALSE,"Financing";"Three",#N/A,FALSE,"Financing";"Four",#N/A,FALSE,"Financing"}</definedName>
    <definedName name="wrn.Financing_Assumptions." localSheetId="0">{"One",#N/A,FALSE,"Financing Assumptions";"Two",#N/A,FALSE,"Financing Assumptions";"Three",#N/A,FALSE,"Financing Assumptions";"Four",#N/A,FALSE,"Financing Assumptions"}</definedName>
    <definedName name="wrn.Financing_Assumptions.">{"One",#N/A,FALSE,"Financing Assumptions";"Two",#N/A,FALSE,"Financing Assumptions";"Three",#N/A,FALSE,"Financing Assumptions";"Four",#N/A,FALSE,"Financing Assumptions"}</definedName>
    <definedName name="wrn.FOschedules." localSheetId="0">{"FOschedule1",#N/A,FALSE,"Sheet1";"FOschedule2",#N/A,FALSE,"Sheet1";"FOschedule3",#N/A,FALSE,"Sheet1"}</definedName>
    <definedName name="wrn.FOschedules.">{"FOschedule1",#N/A,FALSE,"Sheet1";"FOschedule2",#N/A,FALSE,"Sheet1";"FOschedule3",#N/A,FALSE,"Sheet1"}</definedName>
    <definedName name="wrn.Full._.Report." localSheetId="0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._.Report.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PLN." localSheetId="0">{"FULLPLN",#N/A,FALSE,"Full Yr vs Plan"}</definedName>
    <definedName name="wrn.FULLPLN.">{"FULLPLN",#N/A,FALSE,"Full Yr vs Plan"}</definedName>
    <definedName name="wrn.fullprior." localSheetId="0">{"fullprior",#N/A,FALSE,"Full Yr v Prior"}</definedName>
    <definedName name="wrn.fullprior.">{"fullprior",#N/A,FALSE,"Full Yr v Prior"}</definedName>
    <definedName name="wrn.Garage." localSheetId="0">{#N/A,#N/A,FALSE,"Garage Assumpt 1";#N/A,#N/A,FALSE,"Garage Op Proj";#N/A,#N/A,FALSE,"Hist I&amp;E";#N/A,#N/A,FALSE,"Garage Lease"}</definedName>
    <definedName name="wrn.Garage.">{#N/A,#N/A,FALSE,"Garage Assumpt 1";#N/A,#N/A,FALSE,"Garage Op Proj";#N/A,#N/A,FALSE,"Hist I&amp;E";#N/A,#N/A,FALSE,"Garage Lease"}</definedName>
    <definedName name="wrn.General." localSheetId="0">{"Balance",#N/A,FALSE,"General Assumptions";"Cost",#N/A,FALSE,"General Assumptions";"Working",#N/A,FALSE,"General Assumptions"}</definedName>
    <definedName name="wrn.General.">{"Balance",#N/A,FALSE,"General Assumptions";"Cost",#N/A,FALSE,"General Assumptions";"Working",#N/A,FALSE,"General Assumptions"}</definedName>
    <definedName name="wrn.Graphs." localSheetId="0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Graphs.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handout." localSheetId="0">{"quarterly",#N/A,FALSE,"Income Statement New CPB";"annual",#N/A,FALSE,"Income Statement New CPB";"cash flow",#N/A,FALSE,"Cash Flow";"balance",#N/A,FALSE,"Balance Sheet";"seg",#N/A,FALSE,"New Segment Breakout"}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._.InE." localSheetId="0">{#N/A,#N/A,FALSE,"Hist I&amp;E - Consol";#N/A,#N/A,FALSE,"Hist I&amp;E - Lakes";#N/A,#N/A,FALSE,"Hist I&amp;E - Chabot";#N/A,#N/A,FALSE,"Hist I&amp;E - Diablo"}</definedName>
    <definedName name="wrn.Hist._.InE.">{#N/A,#N/A,FALSE,"Hist I&amp;E - Consol";#N/A,#N/A,FALSE,"Hist I&amp;E - Lakes";#N/A,#N/A,FALSE,"Hist I&amp;E - Chabot";#N/A,#N/A,FALSE,"Hist I&amp;E - Diablo"}</definedName>
    <definedName name="wrn.Hist._.InE2." localSheetId="0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II." localSheetId="0">{"CASHFLOW",#N/A,FALSE,"Northpointe"}</definedName>
    <definedName name="wrn.III.">{"CASHFLOW",#N/A,FALSE,"Northpointe"}</definedName>
    <definedName name="wrn.Income._.Statements." localSheetId="0">{"Annual Income",#N/A,FALSE,"Revenues";"Quarter Income",#N/A,FALSE,"Revenues"}</definedName>
    <definedName name="wrn.Income._.Statements.">{"Annual Income",#N/A,FALSE,"Revenues";"Quarter Income",#N/A,FALSE,"Revenues"}</definedName>
    <definedName name="wrn.Income_Statement." localSheetId="0">{"One",#N/A,FALSE,"Income Statement";"Two",#N/A,FALSE,"Income Statement";"Three",#N/A,FALSE,"Income Statement";"Four",#N/A,FALSE,"Income Statement"}</definedName>
    <definedName name="wrn.Income_Statement.">{"One",#N/A,FALSE,"Income Statement";"Two",#N/A,FALSE,"Income Statement";"Three",#N/A,FALSE,"Income Statement";"Four",#N/A,FALSE,"Income Statement"}</definedName>
    <definedName name="wrn.IV." localSheetId="0">{"CASHFLOW",#N/A,FALSE,"Northpointe"}</definedName>
    <definedName name="wrn.IV.">{"CASHFLOW",#N/A,FALSE,"Northpointe"}</definedName>
    <definedName name="wrn.JV." localSheetId="0">{"One",#N/A,FALSE,"JV"}</definedName>
    <definedName name="wrn.JV.">{"One",#N/A,FALSE,"JV"}</definedName>
    <definedName name="wrn.LeasingResults." localSheetId="0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asingResults.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market._.share." localSheetId="0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localSheetId="0">{#N/A,#N/A,TRUE,"10 Yr Hold";#N/A,#N/A,TRUE,"7 Yr Hold";#N/A,#N/A,TRUE,"5 Yr Hold";#N/A,#N/A,TRUE,"3 Yr Hold"}</definedName>
    <definedName name="wrn.Market._.Values.">{#N/A,#N/A,TRUE,"10 Yr Hold";#N/A,#N/A,TRUE,"7 Yr Hold";#N/A,#N/A,TRUE,"5 Yr Hold";#N/A,#N/A,TRUE,"3 Yr Hold"}</definedName>
    <definedName name="wrn.MATRICES._.and._.CFs." localSheetId="0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0">{#N/A,#N/A,FALSE,"matx B4 DS";#N/A,#N/A,FALSE,"matx B4 DS Hac";#N/A,#N/A,FALSE,"matx B4 DS Chabot";#N/A,#N/A,FALSE,"matx B4 DS Diablo"}</definedName>
    <definedName name="wrn.MATRICIES._.ONLY.">{#N/A,#N/A,FALSE,"matx B4 DS";#N/A,#N/A,FALSE,"matx B4 DS Hac";#N/A,#N/A,FALSE,"matx B4 DS Chabot";#N/A,#N/A,FALSE,"matx B4 DS Diablo"}</definedName>
    <definedName name="wrn.model." localSheetId="0">{"years",#N/A,FALSE,"UDR_INC";"9899qtrs",#N/A,FALSE,"UDR_INC";"9798qtrs",#N/A,FALSE,"UDR_INC"}</definedName>
    <definedName name="wrn.model.">{"years",#N/A,FALSE,"UDR_INC";"9899qtrs",#N/A,FALSE,"UDR_INC";"9798qtrs",#N/A,FALSE,"UDR_INC"}</definedName>
    <definedName name="wrn.month." localSheetId="0">{#N/A,#N/A,FALSE,"Mnthly Roll"}</definedName>
    <definedName name="wrn.month.">{#N/A,#N/A,FALSE,"Mnthly Roll"}</definedName>
    <definedName name="wrn.naall." localSheetId="0">{"namonth",#N/A,FALSE,"na";"naroll",#N/A,FALSE,"na";"naprofsales",#N/A,FALSE,"na";"naprofprft",#N/A,FALSE,"na"}</definedName>
    <definedName name="wrn.naall.">{"namonth",#N/A,FALSE,"na";"naroll",#N/A,FALSE,"na";"naprofsales",#N/A,FALSE,"na";"naprofprft",#N/A,FALSE,"na"}</definedName>
    <definedName name="wrn.namonth." localSheetId="0">{"namonth",#N/A,FALSE,"na"}</definedName>
    <definedName name="wrn.namonth.">{"namonth",#N/A,FALSE,"na"}</definedName>
    <definedName name="wrn.naprof." localSheetId="0">{"naprofsales",#N/A,FALSE,"na"}</definedName>
    <definedName name="wrn.naprof.">{"naprofsales",#N/A,FALSE,"na"}</definedName>
    <definedName name="wrn.naroll." localSheetId="0">{"naroll",#N/A,FALSE,"na"}</definedName>
    <definedName name="wrn.naroll.">{"naroll",#N/A,FALSE,"na"}</definedName>
    <definedName name="wrn.New_Business." localSheetId="0">{"One",#N/A,FALSE,"New Business"}</definedName>
    <definedName name="wrn.New_Business.">{"One",#N/A,FALSE,"New Business"}</definedName>
    <definedName name="wrn.PorfolioFinancialSummary." localSheetId="0">{#N/A,#N/A,FALSE,"ZellLurieFinSummary";#N/A,#N/A,FALSE,"FirstCapFinSummary";#N/A,#N/A,FALSE,"ZM I-III Consol FinSummary"}</definedName>
    <definedName name="wrn.PorfolioFinancialSummary.">{#N/A,#N/A,FALSE,"ZellLurieFinSummary";#N/A,#N/A,FALSE,"FirstCapFinSummary";#N/A,#N/A,FALSE,"ZM I-III Consol FinSummary"}</definedName>
    <definedName name="wrn.pp97schedules." localSheetId="0">{"plansummary",#N/A,FALSE,"PlanSummary";"sales",#N/A,FALSE,"Sales Rec";"productivity",#N/A,FALSE,"Productivity Rec";"capitalspending",#N/A,FALSE,"Capital Spending"}</definedName>
    <definedName name="wrn.pp97schedules.">{"plansummary",#N/A,FALSE,"PlanSummary";"sales",#N/A,FALSE,"Sales Rec";"productivity",#N/A,FALSE,"Productivity Rec";"capitalspending",#N/A,FALSE,"Capital Spending"}</definedName>
    <definedName name="wrn.PR_TRIAL_BALANCE." localSheetId="0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localSheetId="0">{#N/A,#N/A,FALSE,"Flash 1 before curr";#N/A,#N/A,FALSE,"Bridge";#N/A,#N/A,FALSE,"Volmix";#N/A,#N/A,FALSE,"Sell Price";#N/A,#N/A,FALSE,"ManCost2";#N/A,#N/A,FALSE,"ManPerf";#N/A,#N/A,FALSE,"SGA &amp; E"}</definedName>
    <definedName name="wrn.presentation.">{#N/A,#N/A,FALSE,"Flash 1 before curr";#N/A,#N/A,FALSE,"Bridge";#N/A,#N/A,FALSE,"Volmix";#N/A,#N/A,FALSE,"Sell Price";#N/A,#N/A,FALSE,"ManCost2";#N/A,#N/A,FALSE,"ManPerf";#N/A,#N/A,FALSE,"SGA &amp; E"}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raw._.data._.entry." localSheetId="0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oduct_Assumptions." localSheetId="0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totypes." localSheetId="0">{"One",#N/A,FALSE,"Prototypes";"Two",#N/A,FALSE,"Prototypes";"Three",#N/A,FALSE,"Prototypes";"Four",#N/A,FALSE,"Prototypes";"Five",#N/A,FALSE,"Prototypes"}</definedName>
    <definedName name="wrn.Prototypes.">{"One",#N/A,FALSE,"Prototypes";"Two",#N/A,FALSE,"Prototypes";"Three",#N/A,FALSE,"Prototypes";"Four",#N/A,FALSE,"Prototypes";"Five",#N/A,FALSE,"Prototypes"}</definedName>
    <definedName name="wrn.Pulp." localSheetId="0">{"Pulp Production",#N/A,FALSE,"Pulp";"Pulp Earnings",#N/A,FALSE,"Pulp"}</definedName>
    <definedName name="wrn.Pulp.">{"Pulp Production",#N/A,FALSE,"Pulp";"Pulp Earnings",#N/A,FALSE,"Pulp"}</definedName>
    <definedName name="wrn.Pulp.2" localSheetId="0">{"Pulp Production",#N/A,FALSE,"Pulp";"Pulp Earnings",#N/A,FALSE,"Pulp"}</definedName>
    <definedName name="wrn.Pulp.2">{"Pulp Production",#N/A,FALSE,"Pulp";"Pulp Earnings",#N/A,FALSE,"Pulp"}</definedName>
    <definedName name="wrn.Pulp.3" localSheetId="0">{"Pulp Production",#N/A,FALSE,"Pulp";"Pulp Earnings",#N/A,FALSE,"Pulp"}</definedName>
    <definedName name="wrn.Pulp.3">{"Pulp Production",#N/A,FALSE,"Pulp";"Pulp Earnings",#N/A,FALSE,"Pulp"}</definedName>
    <definedName name="wrn.qtrpvs." localSheetId="0">{#N/A,#N/A,FALSE,"CurQtr vsPriorQ"}</definedName>
    <definedName name="wrn.qtrpvs.">{#N/A,#N/A,FALSE,"CurQtr vsPriorQ"}</definedName>
    <definedName name="wrn.qtrpyr." localSheetId="0">{"qtrpyr",#N/A,FALSE,"CurQTR vsPriorY"}</definedName>
    <definedName name="wrn.qtrpyr.">{"qtrpyr",#N/A,FALSE,"CurQTR vsPriorY"}</definedName>
    <definedName name="wrn.Rapport." localSheetId="0">{#N/A,#N/A,FALSE,"SHEET1";#N/A,#N/A,FALSE,"SHEET2";#N/A,#N/A,FALSE,"SHEET3";#N/A,#N/A,FALSE,"SHEET4"}</definedName>
    <definedName name="wrn.Rapport.">{#N/A,#N/A,FALSE,"SHEET1";#N/A,#N/A,FALSE,"SHEET2";#N/A,#N/A,FALSE,"SHEET3";#N/A,#N/A,FALSE,"SHEET4"}</definedName>
    <definedName name="wrn.reforecast." localSheetId="0">{#N/A,#N/A,FALSE,"page3";#N/A,#N/A,FALSE,"page1";#N/A,#N/A,FALSE,"page2";#N/A,#N/A,FALSE,"page4&amp;5";#N/A,#N/A,FALSE,"page6";#N/A,#N/A,FALSE,"page7";#N/A,#N/A,FALSE,"page8";#N/A,#N/A,FALSE,"page9";#N/A,#N/A,FALSE,"page 10"}</definedName>
    <definedName name="wrn.reforecast.">{#N/A,#N/A,FALSE,"page3";#N/A,#N/A,FALSE,"page1";#N/A,#N/A,FALSE,"page2";#N/A,#N/A,FALSE,"page4&amp;5";#N/A,#N/A,FALSE,"page6";#N/A,#N/A,FALSE,"page7";#N/A,#N/A,FALSE,"page8";#N/A,#N/A,FALSE,"page9";#N/A,#N/A,FALSE,"page 10"}</definedName>
    <definedName name="wrn.Repayments." localSheetId="0">{"One",#N/A,FALSE,"Repayments";"Two",#N/A,FALSE,"Repayments"}</definedName>
    <definedName name="wrn.Repayments.">{"One",#N/A,FALSE,"Repayments";"Two",#N/A,FALSE,"Repayments"}</definedName>
    <definedName name="wrn.Report." localSheetId="0">{#N/A,#N/A,FALSE,"Loan Summary";#N/A,#N/A,FALSE,"NOI";"RR and Expir",#N/A,FALSE,"Rental";"Sales History",#N/A,FALSE,"Rental";#N/A,#N/A,FALSE,"Reserves"}</definedName>
    <definedName name="wrn.Report.">{#N/A,#N/A,FALSE,"Loan Summary";#N/A,#N/A,FALSE,"NOI";"RR and Expir",#N/A,FALSE,"Rental";"Sales History",#N/A,FALSE,"Rental";#N/A,#N/A,FALSE,"Reserves"}</definedName>
    <definedName name="wrn.Report._.Detail." localSheetId="0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1." localSheetId="0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1.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oll." localSheetId="0">{"bobsum",#N/A,FALSE,"BobSummary";"Month",#N/A,FALSE,"Mnthly Roll";"fullprior",#N/A,FALSE,"Full Yr v Prior";"FULLPLN",#N/A,FALSE,"Full Yr vs Plan"}</definedName>
    <definedName name="wrn.roll.">{"bobsum",#N/A,FALSE,"BobSummary";"Month",#N/A,FALSE,"Mnthly Roll";"fullprior",#N/A,FALSE,"Full Yr v Prior";"FULLPLN",#N/A,FALSE,"Full Yr vs Plan"}</definedName>
    <definedName name="wrn.Roll_Out." localSheetId="0">{"One",#N/A,FALSE,"Roll-out";"Two",#N/A,FALSE,"Roll-out";"Three",#N/A,FALSE,"Roll-out";"Four",#N/A,FALSE,"Roll-out";"Five",#N/A,FALSE,"Roll-out"}</definedName>
    <definedName name="wrn.Roll_Out.">{"One",#N/A,FALSE,"Roll-out";"Two",#N/A,FALSE,"Roll-out";"Three",#N/A,FALSE,"Roll-out";"Four",#N/A,FALSE,"Roll-out";"Five",#N/A,FALSE,"Roll-out"}</definedName>
    <definedName name="wrn.scall." localSheetId="0">{"scmonth",#N/A,FALSE,"Super";"scroll",#N/A,FALSE,"Super";"scprof",#N/A,FALSE,"Super"}</definedName>
    <definedName name="wrn.scall.">{"scmonth",#N/A,FALSE,"Super";"scroll",#N/A,FALSE,"Super";"scprof",#N/A,FALSE,"Super"}</definedName>
    <definedName name="wrn.schedules." localSheetId="0">{"schedule1",#N/A,FALSE,"Sheet1";"schedule2",#N/A,FALSE,"Sheet1";"schedule3",#N/A,FALSE,"Sheet1";"schedule4",#N/A,FALSE,"Sheet1";"schedule5",#N/A,FALSE,"Sheet1";"schedule6",#N/A,FALSE,"Sheet1"}</definedName>
    <definedName name="wrn.schedules.">{"schedule1",#N/A,FALSE,"Sheet1";"schedule2",#N/A,FALSE,"Sheet1";"schedule3",#N/A,FALSE,"Sheet1";"schedule4",#N/A,FALSE,"Sheet1";"schedule5",#N/A,FALSE,"Sheet1";"schedule6",#N/A,FALSE,"Sheet1"}</definedName>
    <definedName name="wrn.scmonth." localSheetId="0">{"scmonth",#N/A,FALSE,"Super"}</definedName>
    <definedName name="wrn.scmonth.">{"scmonth",#N/A,FALSE,"Super"}</definedName>
    <definedName name="wrn.scprof." localSheetId="0">{"scprof",#N/A,FALSE,"Super"}</definedName>
    <definedName name="wrn.scprof.">{"scprof",#N/A,FALSE,"Super"}</definedName>
    <definedName name="wrn.scrol." localSheetId="0">{"scroll",#N/A,FALSE,"Super"}</definedName>
    <definedName name="wrn.scrol.">{"scroll",#N/A,FALSE,"Super"}</definedName>
    <definedName name="wrn.Side._.by._.Side." localSheetId="0">{"Side 99",#N/A,FALSE,"S&amp;U Side by Side"}</definedName>
    <definedName name="wrn.Side._.by._.Side.">{"Side 99",#N/A,FALSE,"S&amp;U Side by Side"}</definedName>
    <definedName name="wrn.STAND_ALONE_BOTH." localSheetId="0">{"FCB_ALL",#N/A,FALSE,"FCB";"GREY_ALL",#N/A,FALSE,"GREY"}</definedName>
    <definedName name="wrn.STAND_ALONE_BOTH.">{"FCB_ALL",#N/A,FALSE,"FCB";"GREY_ALL",#N/A,FALSE,"GREY"}</definedName>
    <definedName name="wrn.Sterling._.House." localSheetId="0">{"One",#N/A,FALSE,"SterlingHouse";"Two",#N/A,FALSE,"SterlingHouse";"Three",#N/A,FALSE,"SterlingHouse";"Four",#N/A,FALSE,"SterlingHouse";"Five",#N/A,FALSE,"SterlingHouse"}</definedName>
    <definedName name="wrn.Sterling._.House.">{"One",#N/A,FALSE,"SterlingHouse";"Two",#N/A,FALSE,"SterlingHouse";"Three",#N/A,FALSE,"SterlingHouse";"Four",#N/A,FALSE,"SterlingHouse";"Five",#N/A,FALSE,"SterlingHouse"}</definedName>
    <definedName name="wrn.Sterling_House." localSheetId="0">{"One",#N/A,FALSE,"SterlingHouse";"Two",#N/A,FALSE,"SterlingHouse";"Three",#N/A,FALSE,"SterlingHouse";"Four",#N/A,FALSE,"SterlingHouse";"Five",#N/A,FALSE,"SterlingHouse"}</definedName>
    <definedName name="wrn.Sterling_House.">{"One",#N/A,FALSE,"SterlingHouse";"Two",#N/A,FALSE,"SterlingHouse";"Three",#N/A,FALSE,"SterlingHouse";"Four",#N/A,FALSE,"SterlingHouse";"Five",#N/A,FALSE,"SterlingHouse"}</definedName>
    <definedName name="wrn.Store._.cash._.flows." localSheetId="0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ore._.cash._.flows.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ummary." localSheetId="0">{"Office Properties",#N/A,FALSE,"Consolidation";"Residential Summary",#N/A,FALSE,"Consolidation";"Retail Properties",#N/A,FALSE,"Consolidation"}</definedName>
    <definedName name="wrn.Summary.">{"Office Properties",#N/A,FALSE,"Consolidation";"Residential Summary",#N/A,FALSE,"Consolidation";"Retail Properties",#N/A,FALSE,"Consolidation"}</definedName>
    <definedName name="wrn.TTL._.W_HIST_COMMENTS." localSheetId="0">{"TTL W_HIST_COMMENTS",#N/A,FALSE,"DETAIL"}</definedName>
    <definedName name="wrn.TTL._.W_HIST_COMMENTS.">{"TTL W_HIST_COMMENTS",#N/A,FALSE,"DETAIL"}</definedName>
    <definedName name="wrn.Wovenhearts." localSheetId="0">{"One",#N/A,FALSE,"Wovenhearts";"Two",#N/A,FALSE,"Wovenhearts";"Three",#N/A,FALSE,"Wovenhearts";"Four",#N/A,FALSE,"Wovenhearts";"Five",#N/A,FALSE,"Wovenhearts"}</definedName>
    <definedName name="wrn.Wovenhearts.">{"One",#N/A,FALSE,"Wovenhearts";"Two",#N/A,FALSE,"Wovenhearts";"Three",#N/A,FALSE,"Wovenhearts";"Four",#N/A,FALSE,"Wovenhearts";"Five",#N/A,FALSE,"Wovenhearts"}</definedName>
    <definedName name="wrn.Wynwood." localSheetId="0">{"One",#N/A,FALSE,"Wynwood";"Two",#N/A,FALSE,"Wynwood";"Three",#N/A,FALSE,"Wynwood";"Four",#N/A,FALSE,"Wynwood";"Five",#N/A,FALSE,"Wynwood"}</definedName>
    <definedName name="wrn.Wynwood.">{"One",#N/A,FALSE,"Wynwood";"Two",#N/A,FALSE,"Wynwood";"Three",#N/A,FALSE,"Wynwood";"Four",#N/A,FALSE,"Wynwood";"Five",#N/A,FALSE,"Wynwood"}</definedName>
    <definedName name="wrn.Yearly." localSheetId="0">{"One",#N/A,FALSE,"Yearly"}</definedName>
    <definedName name="wrn.Yearly.">{"One",#N/A,FALSE,"Yearly"}</definedName>
    <definedName name="wrn.ZML123._.Financial._.Summaries." localSheetId="0">{#N/A,#N/A,FALSE,"ZM3 FinSummary";#N/A,#N/A,FALSE,"ZM2 FinSummary";#N/A,#N/A,FALSE,"ZM1 FinSummary"}</definedName>
    <definedName name="wrn.ZML123._.Financial._.Summaries.">{#N/A,#N/A,FALSE,"ZM3 FinSummary";#N/A,#N/A,FALSE,"ZM2 FinSummary";#N/A,#N/A,FALSE,"ZM1 FinSummary"}</definedName>
    <definedName name="wt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dave">#REF!</definedName>
    <definedName name="WTIM">#REF!</definedName>
    <definedName name="WTIQ">#REF!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>#REF!</definedName>
    <definedName name="xlg" localSheetId="0">{"schedule1",#N/A,FALSE,"Sheet1";"schedule2",#N/A,FALSE,"Sheet1";"schedule3",#N/A,FALSE,"Sheet1";"schedule4",#N/A,FALSE,"Sheet1";"schedule5",#N/A,FALSE,"Sheet1";"schedule6",#N/A,FALSE,"Sheet1"}</definedName>
    <definedName name="xlg">{"schedule1",#N/A,FALSE,"Sheet1";"schedule2",#N/A,FALSE,"Sheet1";"schedule3",#N/A,FALSE,"Sheet1";"schedule4",#N/A,FALSE,"Sheet1";"schedule5",#N/A,FALSE,"Sheet1";"schedule6",#N/A,FALSE,"Sheet1"}</definedName>
    <definedName name="xlg1" localSheetId="0">{"Year 1",#N/A,FALSE,"Budget";"Year 2",#N/A,FALSE,"Budget";"Year 3",#N/A,FALSE,"Budget";"Year 4",#N/A,FALSE,"Budget"}</definedName>
    <definedName name="xlg1">{"Year 1",#N/A,FALSE,"Budget";"Year 2",#N/A,FALSE,"Budget";"Year 3",#N/A,FALSE,"Budget";"Year 4",#N/A,FALSE,"Budget"}</definedName>
    <definedName name="xxx">#REF!</definedName>
    <definedName name="y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_97_98">#REF!</definedName>
    <definedName name="YEAR">#REF!</definedName>
    <definedName name="year.end">#REF!</definedName>
    <definedName name="year_0">#N/A</definedName>
    <definedName name="Year_L">#REF!</definedName>
    <definedName name="year_ll">#REF!</definedName>
    <definedName name="YEAR1">#REF!</definedName>
    <definedName name="YEAR22">#REF!</definedName>
    <definedName name="yes">#REF!</definedName>
    <definedName name="YesNo">#REF!</definedName>
    <definedName name="YGJ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ield">#REF!</definedName>
    <definedName name="yields">#REF!</definedName>
    <definedName name="YTD2001">#REF!</definedName>
    <definedName name="ytgfg65" localSheetId="0">[0]!ytgfg65</definedName>
    <definedName name="ytgfg65">Cover!ytgfg65</definedName>
    <definedName name="z" localSheetId="0">[0]!z</definedName>
    <definedName name="z">Cover!z</definedName>
    <definedName name="znddgndg" localSheetId="0">{4}</definedName>
    <definedName name="znddgndg">{4}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10" i="3"/>
  <c r="E12" i="3"/>
  <c r="E13" i="3" s="1"/>
  <c r="F12" i="3"/>
  <c r="F13" i="3" s="1"/>
  <c r="D13" i="3"/>
  <c r="D17" i="3"/>
  <c r="F101" i="5" s="1"/>
  <c r="F103" i="5" s="1"/>
  <c r="E17" i="3"/>
  <c r="E18" i="3" s="1"/>
  <c r="F17" i="3"/>
  <c r="F18" i="3" s="1"/>
  <c r="G17" i="3"/>
  <c r="H17" i="3"/>
  <c r="G18" i="3"/>
  <c r="H18" i="3"/>
  <c r="B20" i="3"/>
  <c r="I20" i="3"/>
  <c r="I17" i="3" s="1"/>
  <c r="I18" i="3" s="1"/>
  <c r="J20" i="3"/>
  <c r="J17" i="3" s="1"/>
  <c r="J18" i="3" s="1"/>
  <c r="K20" i="3"/>
  <c r="K17" i="3" s="1"/>
  <c r="K18" i="3" s="1"/>
  <c r="L20" i="3"/>
  <c r="L17" i="3" s="1"/>
  <c r="L18" i="3" s="1"/>
  <c r="M20" i="3"/>
  <c r="M17" i="3" s="1"/>
  <c r="M18" i="3" s="1"/>
  <c r="E28" i="3"/>
  <c r="F28" i="3" s="1"/>
  <c r="D29" i="3"/>
  <c r="D31" i="3"/>
  <c r="D61" i="3" s="1"/>
  <c r="E31" i="3"/>
  <c r="E61" i="3" s="1"/>
  <c r="F31" i="3"/>
  <c r="F62" i="3" s="1"/>
  <c r="G31" i="3"/>
  <c r="G62" i="3" s="1"/>
  <c r="H31" i="3"/>
  <c r="H57" i="3" s="1"/>
  <c r="I31" i="3"/>
  <c r="I38" i="3" s="1"/>
  <c r="J31" i="3"/>
  <c r="K31" i="3"/>
  <c r="L31" i="3"/>
  <c r="M31" i="3"/>
  <c r="D32" i="3"/>
  <c r="E32" i="3"/>
  <c r="F32" i="3"/>
  <c r="G32" i="3"/>
  <c r="H32" i="3"/>
  <c r="H63" i="3" s="1"/>
  <c r="I32" i="3"/>
  <c r="I45" i="3" s="1"/>
  <c r="J32" i="3"/>
  <c r="J36" i="3" s="1"/>
  <c r="K32" i="3"/>
  <c r="K45" i="3" s="1"/>
  <c r="L32" i="3"/>
  <c r="M32" i="3"/>
  <c r="D35" i="3"/>
  <c r="E35" i="3"/>
  <c r="F35" i="3"/>
  <c r="F54" i="3" s="1"/>
  <c r="G35" i="3"/>
  <c r="G54" i="3" s="1"/>
  <c r="H35" i="3"/>
  <c r="H54" i="3" s="1"/>
  <c r="J35" i="3"/>
  <c r="K35" i="3"/>
  <c r="L35" i="3"/>
  <c r="L40" i="3" s="1"/>
  <c r="M35" i="3"/>
  <c r="D36" i="3"/>
  <c r="E36" i="3"/>
  <c r="F36" i="3"/>
  <c r="G36" i="3"/>
  <c r="H36" i="3"/>
  <c r="L36" i="3"/>
  <c r="M36" i="3"/>
  <c r="D37" i="3"/>
  <c r="D40" i="3" s="1"/>
  <c r="E37" i="3"/>
  <c r="E40" i="3" s="1"/>
  <c r="F37" i="3"/>
  <c r="G37" i="3"/>
  <c r="H37" i="3"/>
  <c r="M37" i="3"/>
  <c r="D38" i="3"/>
  <c r="D57" i="3" s="1"/>
  <c r="E38" i="3"/>
  <c r="E57" i="3" s="1"/>
  <c r="F38" i="3"/>
  <c r="F40" i="3" s="1"/>
  <c r="G38" i="3"/>
  <c r="G57" i="3" s="1"/>
  <c r="H38" i="3"/>
  <c r="D39" i="3"/>
  <c r="E39" i="3"/>
  <c r="F39" i="3"/>
  <c r="F58" i="3" s="1"/>
  <c r="G39" i="3"/>
  <c r="G58" i="3" s="1"/>
  <c r="H39" i="3"/>
  <c r="H58" i="3" s="1"/>
  <c r="I39" i="3"/>
  <c r="D42" i="3"/>
  <c r="E42" i="3"/>
  <c r="F42" i="3"/>
  <c r="G42" i="3"/>
  <c r="H42" i="3"/>
  <c r="L42" i="3"/>
  <c r="M42" i="3"/>
  <c r="D43" i="3"/>
  <c r="E43" i="3"/>
  <c r="F43" i="3"/>
  <c r="G43" i="3"/>
  <c r="H43" i="3"/>
  <c r="M43" i="3"/>
  <c r="D44" i="3"/>
  <c r="D62" i="3" s="1"/>
  <c r="E44" i="3"/>
  <c r="E62" i="3" s="1"/>
  <c r="F44" i="3"/>
  <c r="G44" i="3"/>
  <c r="H44" i="3"/>
  <c r="D45" i="3"/>
  <c r="E45" i="3"/>
  <c r="F45" i="3"/>
  <c r="F63" i="3" s="1"/>
  <c r="G45" i="3"/>
  <c r="G63" i="3" s="1"/>
  <c r="H45" i="3"/>
  <c r="D46" i="3"/>
  <c r="E46" i="3"/>
  <c r="F46" i="3"/>
  <c r="G46" i="3"/>
  <c r="H46" i="3"/>
  <c r="H47" i="3" s="1"/>
  <c r="I46" i="3"/>
  <c r="D50" i="3"/>
  <c r="D54" i="3"/>
  <c r="E54" i="3"/>
  <c r="J54" i="3"/>
  <c r="K54" i="3"/>
  <c r="L54" i="3"/>
  <c r="M54" i="3"/>
  <c r="D55" i="3"/>
  <c r="E55" i="3"/>
  <c r="F55" i="3"/>
  <c r="G55" i="3"/>
  <c r="H55" i="3"/>
  <c r="J55" i="3"/>
  <c r="K55" i="3"/>
  <c r="L55" i="3"/>
  <c r="M55" i="3"/>
  <c r="J56" i="3"/>
  <c r="J37" i="3" s="1"/>
  <c r="K56" i="3"/>
  <c r="K37" i="3" s="1"/>
  <c r="L56" i="3"/>
  <c r="L37" i="3" s="1"/>
  <c r="M56" i="3"/>
  <c r="J57" i="3"/>
  <c r="J38" i="3" s="1"/>
  <c r="K57" i="3"/>
  <c r="K38" i="3" s="1"/>
  <c r="L57" i="3"/>
  <c r="L38" i="3" s="1"/>
  <c r="M57" i="3"/>
  <c r="M38" i="3" s="1"/>
  <c r="D58" i="3"/>
  <c r="E58" i="3"/>
  <c r="J58" i="3"/>
  <c r="J39" i="3" s="1"/>
  <c r="K58" i="3"/>
  <c r="K39" i="3" s="1"/>
  <c r="L58" i="3"/>
  <c r="L39" i="3" s="1"/>
  <c r="M58" i="3"/>
  <c r="M39" i="3" s="1"/>
  <c r="D60" i="3"/>
  <c r="E60" i="3"/>
  <c r="F60" i="3"/>
  <c r="G60" i="3"/>
  <c r="H60" i="3"/>
  <c r="J60" i="3"/>
  <c r="K60" i="3"/>
  <c r="L60" i="3"/>
  <c r="M60" i="3"/>
  <c r="J61" i="3"/>
  <c r="J43" i="3" s="1"/>
  <c r="K61" i="3"/>
  <c r="K43" i="3" s="1"/>
  <c r="L61" i="3"/>
  <c r="L43" i="3" s="1"/>
  <c r="M61" i="3"/>
  <c r="J62" i="3"/>
  <c r="J44" i="3" s="1"/>
  <c r="K62" i="3"/>
  <c r="K44" i="3" s="1"/>
  <c r="L62" i="3"/>
  <c r="L44" i="3" s="1"/>
  <c r="M62" i="3"/>
  <c r="M44" i="3" s="1"/>
  <c r="D63" i="3"/>
  <c r="E63" i="3"/>
  <c r="J63" i="3"/>
  <c r="J45" i="3" s="1"/>
  <c r="K63" i="3"/>
  <c r="L63" i="3"/>
  <c r="L45" i="3" s="1"/>
  <c r="M63" i="3"/>
  <c r="M45" i="3" s="1"/>
  <c r="D64" i="3"/>
  <c r="E64" i="3"/>
  <c r="F64" i="3"/>
  <c r="G64" i="3"/>
  <c r="H64" i="3"/>
  <c r="J64" i="3"/>
  <c r="J46" i="3" s="1"/>
  <c r="K64" i="3"/>
  <c r="K46" i="3" s="1"/>
  <c r="L64" i="3"/>
  <c r="L46" i="3" s="1"/>
  <c r="M64" i="3"/>
  <c r="M46" i="3" s="1"/>
  <c r="I153" i="5"/>
  <c r="G153" i="5"/>
  <c r="G150" i="5"/>
  <c r="M149" i="5"/>
  <c r="N149" i="5" s="1"/>
  <c r="O149" i="5" s="1"/>
  <c r="L149" i="5"/>
  <c r="G149" i="5"/>
  <c r="J149" i="5" s="1"/>
  <c r="K149" i="5" s="1"/>
  <c r="I148" i="5"/>
  <c r="G148" i="5"/>
  <c r="J145" i="5"/>
  <c r="G145" i="5"/>
  <c r="G144" i="5"/>
  <c r="J144" i="5" s="1"/>
  <c r="J143" i="5"/>
  <c r="G143" i="5"/>
  <c r="J142" i="5"/>
  <c r="G142" i="5"/>
  <c r="G141" i="5"/>
  <c r="G134" i="5"/>
  <c r="O133" i="5"/>
  <c r="G133" i="5"/>
  <c r="J133" i="5" s="1"/>
  <c r="K133" i="5" s="1"/>
  <c r="L133" i="5" s="1"/>
  <c r="M133" i="5" s="1"/>
  <c r="N133" i="5" s="1"/>
  <c r="G132" i="5"/>
  <c r="G131" i="5"/>
  <c r="J131" i="5" s="1"/>
  <c r="G128" i="5"/>
  <c r="J128" i="5" s="1"/>
  <c r="G127" i="5"/>
  <c r="J127" i="5" s="1"/>
  <c r="J126" i="5"/>
  <c r="G126" i="5"/>
  <c r="J125" i="5"/>
  <c r="G125" i="5"/>
  <c r="G124" i="5"/>
  <c r="J124" i="5" s="1"/>
  <c r="K119" i="5"/>
  <c r="J119" i="5"/>
  <c r="L118" i="5"/>
  <c r="L119" i="5" s="1"/>
  <c r="K118" i="5"/>
  <c r="D108" i="5"/>
  <c r="J107" i="5"/>
  <c r="I107" i="5"/>
  <c r="H107" i="5"/>
  <c r="G107" i="5"/>
  <c r="F107" i="5"/>
  <c r="J106" i="5"/>
  <c r="I106" i="5"/>
  <c r="H106" i="5"/>
  <c r="G106" i="5"/>
  <c r="G108" i="5" s="1"/>
  <c r="F106" i="5"/>
  <c r="D106" i="5"/>
  <c r="J102" i="5"/>
  <c r="I102" i="5"/>
  <c r="H102" i="5"/>
  <c r="G102" i="5"/>
  <c r="F102" i="5"/>
  <c r="D102" i="5"/>
  <c r="D99" i="5"/>
  <c r="J96" i="5"/>
  <c r="I96" i="5"/>
  <c r="H96" i="5"/>
  <c r="G96" i="5"/>
  <c r="F96" i="5"/>
  <c r="J92" i="5"/>
  <c r="I92" i="5"/>
  <c r="G89" i="5"/>
  <c r="F89" i="5"/>
  <c r="H88" i="5"/>
  <c r="H89" i="5" s="1"/>
  <c r="G88" i="5"/>
  <c r="E88" i="5"/>
  <c r="D88" i="5"/>
  <c r="J81" i="5"/>
  <c r="I81" i="5"/>
  <c r="H81" i="5"/>
  <c r="G81" i="5"/>
  <c r="F81" i="5"/>
  <c r="F79" i="5"/>
  <c r="J72" i="5"/>
  <c r="I72" i="5"/>
  <c r="H72" i="5"/>
  <c r="H92" i="5" s="1"/>
  <c r="G72" i="5"/>
  <c r="G92" i="5" s="1"/>
  <c r="F72" i="5"/>
  <c r="F92" i="5" s="1"/>
  <c r="J68" i="5"/>
  <c r="I68" i="5"/>
  <c r="H68" i="5"/>
  <c r="G68" i="5"/>
  <c r="F68" i="5"/>
  <c r="J67" i="5"/>
  <c r="I67" i="5"/>
  <c r="H67" i="5"/>
  <c r="G67" i="5"/>
  <c r="F67" i="5"/>
  <c r="J63" i="5"/>
  <c r="I63" i="5"/>
  <c r="H63" i="5"/>
  <c r="G63" i="5"/>
  <c r="F63" i="5"/>
  <c r="J62" i="5"/>
  <c r="I62" i="5"/>
  <c r="H62" i="5"/>
  <c r="G62" i="5"/>
  <c r="F62" i="5"/>
  <c r="J59" i="5"/>
  <c r="H59" i="5"/>
  <c r="J58" i="5"/>
  <c r="I58" i="5"/>
  <c r="H58" i="5"/>
  <c r="G58" i="5"/>
  <c r="F58" i="5"/>
  <c r="J57" i="5"/>
  <c r="I57" i="5"/>
  <c r="I59" i="5" s="1"/>
  <c r="I64" i="5" s="1"/>
  <c r="I69" i="5" s="1"/>
  <c r="I76" i="5" s="1"/>
  <c r="I77" i="5" s="1"/>
  <c r="H57" i="5"/>
  <c r="G57" i="5"/>
  <c r="G59" i="5" s="1"/>
  <c r="F57" i="5"/>
  <c r="F59" i="5" s="1"/>
  <c r="F64" i="5" s="1"/>
  <c r="G55" i="5"/>
  <c r="F55" i="5"/>
  <c r="H54" i="5"/>
  <c r="G54" i="5"/>
  <c r="E54" i="5"/>
  <c r="D54" i="5"/>
  <c r="D47" i="5"/>
  <c r="O46" i="5"/>
  <c r="M46" i="5"/>
  <c r="D46" i="5"/>
  <c r="O45" i="5"/>
  <c r="M45" i="5"/>
  <c r="D45" i="5"/>
  <c r="O44" i="5"/>
  <c r="M44" i="5"/>
  <c r="J34" i="5"/>
  <c r="E21" i="5"/>
  <c r="J20" i="5"/>
  <c r="J19" i="5"/>
  <c r="B88" i="4"/>
  <c r="H86" i="4"/>
  <c r="H85" i="4"/>
  <c r="G85" i="4"/>
  <c r="F85" i="4"/>
  <c r="E85" i="4"/>
  <c r="D85" i="4"/>
  <c r="I77" i="4"/>
  <c r="G75" i="4"/>
  <c r="H74" i="4"/>
  <c r="G74" i="4"/>
  <c r="F74" i="4"/>
  <c r="F75" i="4" s="1"/>
  <c r="E74" i="4"/>
  <c r="D74" i="4"/>
  <c r="G64" i="4"/>
  <c r="H63" i="4"/>
  <c r="G63" i="4"/>
  <c r="F63" i="4"/>
  <c r="E63" i="4"/>
  <c r="D63" i="4"/>
  <c r="K55" i="4"/>
  <c r="I55" i="4"/>
  <c r="B55" i="4"/>
  <c r="H53" i="4"/>
  <c r="D53" i="4"/>
  <c r="H52" i="4"/>
  <c r="G52" i="4"/>
  <c r="G53" i="4" s="1"/>
  <c r="F52" i="4"/>
  <c r="F53" i="4" s="1"/>
  <c r="E52" i="4"/>
  <c r="D52" i="4"/>
  <c r="I44" i="4"/>
  <c r="B44" i="4"/>
  <c r="E42" i="4"/>
  <c r="H41" i="4"/>
  <c r="G41" i="4"/>
  <c r="F41" i="4"/>
  <c r="F42" i="4" s="1"/>
  <c r="E41" i="4"/>
  <c r="D41" i="4"/>
  <c r="I31" i="4"/>
  <c r="I28" i="4" s="1"/>
  <c r="E29" i="4"/>
  <c r="H28" i="4"/>
  <c r="G28" i="4"/>
  <c r="F28" i="4"/>
  <c r="E28" i="4"/>
  <c r="E53" i="4" s="1"/>
  <c r="D28" i="4"/>
  <c r="K20" i="4"/>
  <c r="H17" i="4"/>
  <c r="G17" i="4"/>
  <c r="G18" i="4" s="1"/>
  <c r="F17" i="4"/>
  <c r="E17" i="4"/>
  <c r="D17" i="4"/>
  <c r="E13" i="4"/>
  <c r="D13" i="4"/>
  <c r="F12" i="4"/>
  <c r="E12" i="4"/>
  <c r="E10" i="4"/>
  <c r="J66" i="4" s="1"/>
  <c r="F98" i="5"/>
  <c r="J101" i="5"/>
  <c r="E112" i="2"/>
  <c r="D112" i="2"/>
  <c r="H109" i="2"/>
  <c r="G109" i="2"/>
  <c r="F109" i="2"/>
  <c r="E109" i="2"/>
  <c r="G105" i="5" s="1"/>
  <c r="D109" i="2"/>
  <c r="F105" i="5" s="1"/>
  <c r="F108" i="5" s="1"/>
  <c r="H107" i="2"/>
  <c r="G107" i="2"/>
  <c r="F107" i="2"/>
  <c r="E107" i="2"/>
  <c r="D107" i="2"/>
  <c r="D102" i="2"/>
  <c r="H100" i="2"/>
  <c r="G100" i="2"/>
  <c r="F100" i="2"/>
  <c r="E100" i="2"/>
  <c r="D100" i="2"/>
  <c r="E97" i="2"/>
  <c r="D97" i="2"/>
  <c r="E96" i="2"/>
  <c r="F96" i="2" s="1"/>
  <c r="E89" i="2"/>
  <c r="H88" i="2"/>
  <c r="G88" i="2"/>
  <c r="F88" i="2"/>
  <c r="E88" i="2"/>
  <c r="D88" i="2"/>
  <c r="H87" i="2"/>
  <c r="G87" i="2"/>
  <c r="F87" i="2"/>
  <c r="E87" i="2"/>
  <c r="D87" i="2"/>
  <c r="H86" i="2"/>
  <c r="G86" i="2"/>
  <c r="F86" i="2"/>
  <c r="E86" i="2"/>
  <c r="D86" i="2"/>
  <c r="H85" i="2"/>
  <c r="G85" i="2"/>
  <c r="F85" i="2"/>
  <c r="E85" i="2"/>
  <c r="D85" i="2"/>
  <c r="H84" i="2"/>
  <c r="G84" i="2"/>
  <c r="F84" i="2"/>
  <c r="E84" i="2"/>
  <c r="D84" i="2"/>
  <c r="D89" i="2" s="1"/>
  <c r="E82" i="2"/>
  <c r="E91" i="2" s="1"/>
  <c r="H81" i="2"/>
  <c r="G81" i="2"/>
  <c r="F81" i="2"/>
  <c r="E81" i="2"/>
  <c r="D81" i="2"/>
  <c r="H80" i="2"/>
  <c r="G80" i="2"/>
  <c r="F80" i="2"/>
  <c r="E80" i="2"/>
  <c r="D80" i="2"/>
  <c r="H79" i="2"/>
  <c r="G79" i="2"/>
  <c r="F79" i="2"/>
  <c r="E79" i="2"/>
  <c r="D79" i="2"/>
  <c r="H78" i="2"/>
  <c r="G78" i="2"/>
  <c r="F78" i="2"/>
  <c r="E78" i="2"/>
  <c r="D78" i="2"/>
  <c r="H77" i="2"/>
  <c r="G77" i="2"/>
  <c r="F77" i="2"/>
  <c r="E77" i="2"/>
  <c r="D77" i="2"/>
  <c r="D82" i="2" s="1"/>
  <c r="D91" i="2" s="1"/>
  <c r="E92" i="2" s="1"/>
  <c r="E102" i="2" s="1"/>
  <c r="H71" i="2"/>
  <c r="H74" i="2" s="1"/>
  <c r="H66" i="2"/>
  <c r="G66" i="2"/>
  <c r="G71" i="2" s="1"/>
  <c r="G74" i="2" s="1"/>
  <c r="F66" i="2"/>
  <c r="F71" i="2" s="1"/>
  <c r="F74" i="2" s="1"/>
  <c r="E66" i="2"/>
  <c r="E71" i="2" s="1"/>
  <c r="E74" i="2" s="1"/>
  <c r="D66" i="2"/>
  <c r="D71" i="2" s="1"/>
  <c r="D74" i="2" s="1"/>
  <c r="D51" i="2"/>
  <c r="D57" i="2" s="1"/>
  <c r="E41" i="2"/>
  <c r="D41" i="2"/>
  <c r="E40" i="2"/>
  <c r="F40" i="2" s="1"/>
  <c r="F32" i="2"/>
  <c r="E32" i="2"/>
  <c r="G79" i="5" s="1"/>
  <c r="F29" i="2"/>
  <c r="F33" i="2" s="1"/>
  <c r="F35" i="2" s="1"/>
  <c r="F25" i="2"/>
  <c r="F26" i="2" s="1"/>
  <c r="F21" i="2"/>
  <c r="D21" i="2"/>
  <c r="D20" i="2"/>
  <c r="D25" i="2" s="1"/>
  <c r="H16" i="2"/>
  <c r="G16" i="2"/>
  <c r="H15" i="2"/>
  <c r="H20" i="2" s="1"/>
  <c r="G15" i="2"/>
  <c r="G20" i="2" s="1"/>
  <c r="F15" i="2"/>
  <c r="F20" i="2" s="1"/>
  <c r="E15" i="2"/>
  <c r="E16" i="2" s="1"/>
  <c r="D15" i="2"/>
  <c r="E11" i="2"/>
  <c r="D11" i="2"/>
  <c r="J10" i="2"/>
  <c r="F10" i="2"/>
  <c r="G10" i="2" s="1"/>
  <c r="G11" i="2" s="1"/>
  <c r="E10" i="2"/>
  <c r="F35" i="1"/>
  <c r="J60" i="5" l="1"/>
  <c r="G60" i="5"/>
  <c r="M47" i="3"/>
  <c r="G28" i="3"/>
  <c r="F29" i="3"/>
  <c r="L47" i="3"/>
  <c r="L49" i="3" s="1"/>
  <c r="M40" i="3"/>
  <c r="J40" i="3"/>
  <c r="J49" i="3" s="1"/>
  <c r="K50" i="3" s="1"/>
  <c r="H40" i="3"/>
  <c r="H49" i="3" s="1"/>
  <c r="G61" i="3"/>
  <c r="G56" i="3"/>
  <c r="G47" i="3"/>
  <c r="I42" i="3"/>
  <c r="D18" i="3"/>
  <c r="G40" i="3"/>
  <c r="G49" i="3" s="1"/>
  <c r="K36" i="3"/>
  <c r="K40" i="3" s="1"/>
  <c r="K49" i="3" s="1"/>
  <c r="I35" i="3"/>
  <c r="F56" i="3"/>
  <c r="F47" i="3"/>
  <c r="F49" i="3" s="1"/>
  <c r="G50" i="3" s="1"/>
  <c r="H62" i="3"/>
  <c r="E56" i="3"/>
  <c r="E47" i="3"/>
  <c r="E49" i="3" s="1"/>
  <c r="F50" i="3" s="1"/>
  <c r="I43" i="3"/>
  <c r="I36" i="3"/>
  <c r="D56" i="3"/>
  <c r="D47" i="3"/>
  <c r="D49" i="3" s="1"/>
  <c r="E50" i="3" s="1"/>
  <c r="G12" i="3"/>
  <c r="F57" i="3"/>
  <c r="I44" i="3"/>
  <c r="I37" i="3"/>
  <c r="K42" i="3"/>
  <c r="K47" i="3" s="1"/>
  <c r="E29" i="3"/>
  <c r="H61" i="3"/>
  <c r="H56" i="3"/>
  <c r="J42" i="3"/>
  <c r="J47" i="3" s="1"/>
  <c r="F61" i="3"/>
  <c r="D86" i="4"/>
  <c r="J103" i="5"/>
  <c r="D29" i="2"/>
  <c r="D26" i="2"/>
  <c r="F36" i="2"/>
  <c r="F99" i="2"/>
  <c r="F101" i="2" s="1"/>
  <c r="G40" i="2"/>
  <c r="F41" i="2"/>
  <c r="H25" i="2"/>
  <c r="H21" i="2"/>
  <c r="G96" i="2"/>
  <c r="F97" i="2"/>
  <c r="H10" i="2"/>
  <c r="H11" i="2" s="1"/>
  <c r="H18" i="4"/>
  <c r="H75" i="4"/>
  <c r="H89" i="2"/>
  <c r="G101" i="5"/>
  <c r="G103" i="5" s="1"/>
  <c r="G12" i="4"/>
  <c r="F13" i="4"/>
  <c r="I52" i="4"/>
  <c r="H82" i="2"/>
  <c r="H91" i="2" s="1"/>
  <c r="G25" i="2"/>
  <c r="G21" i="2"/>
  <c r="F89" i="2"/>
  <c r="I54" i="5"/>
  <c r="H55" i="5"/>
  <c r="J64" i="5"/>
  <c r="F30" i="2"/>
  <c r="H101" i="5"/>
  <c r="H103" i="5" s="1"/>
  <c r="E75" i="4"/>
  <c r="F86" i="4"/>
  <c r="I65" i="5"/>
  <c r="F16" i="2"/>
  <c r="G82" i="2"/>
  <c r="G91" i="2" s="1"/>
  <c r="H92" i="2" s="1"/>
  <c r="H102" i="2" s="1"/>
  <c r="F112" i="2"/>
  <c r="H105" i="5"/>
  <c r="H108" i="5" s="1"/>
  <c r="I101" i="5"/>
  <c r="I103" i="5" s="1"/>
  <c r="G86" i="4"/>
  <c r="F11" i="2"/>
  <c r="I105" i="5"/>
  <c r="I108" i="5" s="1"/>
  <c r="G112" i="2"/>
  <c r="K58" i="5"/>
  <c r="I29" i="4"/>
  <c r="F82" i="2"/>
  <c r="H79" i="5"/>
  <c r="G32" i="2"/>
  <c r="J105" i="5"/>
  <c r="J108" i="5" s="1"/>
  <c r="H112" i="2"/>
  <c r="I70" i="5"/>
  <c r="E20" i="2"/>
  <c r="H64" i="4"/>
  <c r="F65" i="5"/>
  <c r="F69" i="5"/>
  <c r="D75" i="4"/>
  <c r="D64" i="4"/>
  <c r="D42" i="4"/>
  <c r="F29" i="4"/>
  <c r="G42" i="4"/>
  <c r="G64" i="5"/>
  <c r="H64" i="5"/>
  <c r="H60" i="5"/>
  <c r="I60" i="5"/>
  <c r="J141" i="5"/>
  <c r="J146" i="5" s="1"/>
  <c r="G146" i="5"/>
  <c r="G151" i="5" s="1"/>
  <c r="G154" i="5" s="1"/>
  <c r="G29" i="4"/>
  <c r="J31" i="4"/>
  <c r="J28" i="4" s="1"/>
  <c r="H29" i="4"/>
  <c r="L31" i="4"/>
  <c r="E64" i="4"/>
  <c r="B66" i="4"/>
  <c r="K88" i="4"/>
  <c r="L77" i="4"/>
  <c r="B31" i="4"/>
  <c r="I20" i="4"/>
  <c r="I17" i="4" s="1"/>
  <c r="I41" i="4" s="1"/>
  <c r="M77" i="4"/>
  <c r="M66" i="4"/>
  <c r="M88" i="4"/>
  <c r="K77" i="4"/>
  <c r="L66" i="4"/>
  <c r="M55" i="4"/>
  <c r="M20" i="4"/>
  <c r="L88" i="4"/>
  <c r="J77" i="4"/>
  <c r="K66" i="4"/>
  <c r="L55" i="4"/>
  <c r="M44" i="4"/>
  <c r="M31" i="4"/>
  <c r="L20" i="4"/>
  <c r="I88" i="4"/>
  <c r="B77" i="4"/>
  <c r="I66" i="4"/>
  <c r="J55" i="4"/>
  <c r="J52" i="4" s="1"/>
  <c r="K44" i="4"/>
  <c r="K31" i="4"/>
  <c r="J20" i="4"/>
  <c r="E18" i="4"/>
  <c r="H42" i="4"/>
  <c r="J44" i="4"/>
  <c r="J88" i="4"/>
  <c r="G89" i="2"/>
  <c r="F64" i="4"/>
  <c r="F18" i="4"/>
  <c r="B20" i="4"/>
  <c r="L44" i="4"/>
  <c r="E86" i="4"/>
  <c r="M118" i="5"/>
  <c r="I132" i="5"/>
  <c r="I88" i="5"/>
  <c r="M49" i="3" l="1"/>
  <c r="M50" i="3" s="1"/>
  <c r="G29" i="3"/>
  <c r="H28" i="3"/>
  <c r="I47" i="3"/>
  <c r="I40" i="3"/>
  <c r="I49" i="3" s="1"/>
  <c r="J50" i="3" s="1"/>
  <c r="G13" i="3"/>
  <c r="H12" i="3"/>
  <c r="H50" i="3"/>
  <c r="L50" i="3"/>
  <c r="K62" i="5"/>
  <c r="I42" i="4"/>
  <c r="G26" i="2"/>
  <c r="G29" i="2"/>
  <c r="L58" i="5"/>
  <c r="J29" i="4"/>
  <c r="J88" i="5"/>
  <c r="I89" i="5"/>
  <c r="J69" i="5"/>
  <c r="J65" i="5"/>
  <c r="H12" i="4"/>
  <c r="G13" i="4"/>
  <c r="G97" i="2"/>
  <c r="H96" i="2"/>
  <c r="H97" i="2" s="1"/>
  <c r="G69" i="5"/>
  <c r="G65" i="5"/>
  <c r="J54" i="5"/>
  <c r="I55" i="5"/>
  <c r="E21" i="2"/>
  <c r="E25" i="2"/>
  <c r="E18" i="5"/>
  <c r="H29" i="2"/>
  <c r="J29" i="2" s="1"/>
  <c r="H26" i="2"/>
  <c r="J20" i="2"/>
  <c r="J25" i="2"/>
  <c r="J14" i="2"/>
  <c r="J13" i="2"/>
  <c r="J15" i="2"/>
  <c r="J53" i="4"/>
  <c r="L63" i="5"/>
  <c r="I98" i="5"/>
  <c r="H65" i="5"/>
  <c r="H69" i="5"/>
  <c r="M119" i="5"/>
  <c r="N118" i="5"/>
  <c r="J41" i="4"/>
  <c r="I63" i="4"/>
  <c r="I18" i="4"/>
  <c r="I74" i="4"/>
  <c r="K57" i="5"/>
  <c r="H40" i="2"/>
  <c r="H41" i="2" s="1"/>
  <c r="G41" i="2"/>
  <c r="G98" i="5"/>
  <c r="I79" i="5"/>
  <c r="I80" i="5" s="1"/>
  <c r="I82" i="5" s="1"/>
  <c r="H32" i="2"/>
  <c r="J79" i="5" s="1"/>
  <c r="J17" i="4"/>
  <c r="K28" i="4"/>
  <c r="F76" i="5"/>
  <c r="F70" i="5"/>
  <c r="D33" i="2"/>
  <c r="D35" i="2" s="1"/>
  <c r="D30" i="2"/>
  <c r="F91" i="2"/>
  <c r="K63" i="5"/>
  <c r="I53" i="4"/>
  <c r="H13" i="3" l="1"/>
  <c r="I12" i="3"/>
  <c r="H29" i="3"/>
  <c r="I28" i="3"/>
  <c r="I50" i="3"/>
  <c r="M58" i="5"/>
  <c r="K29" i="4"/>
  <c r="K52" i="4"/>
  <c r="K67" i="5"/>
  <c r="I64" i="4"/>
  <c r="E26" i="2"/>
  <c r="E29" i="2"/>
  <c r="F80" i="5"/>
  <c r="F82" i="5" s="1"/>
  <c r="F77" i="5"/>
  <c r="K68" i="5"/>
  <c r="I75" i="4"/>
  <c r="E44" i="5"/>
  <c r="E45" i="5"/>
  <c r="E20" i="5"/>
  <c r="E46" i="5"/>
  <c r="L34" i="5"/>
  <c r="L28" i="4"/>
  <c r="K101" i="5"/>
  <c r="G92" i="2"/>
  <c r="G102" i="2" s="1"/>
  <c r="F92" i="2"/>
  <c r="F102" i="2" s="1"/>
  <c r="F103" i="2" s="1"/>
  <c r="F114" i="2" s="1"/>
  <c r="I83" i="5"/>
  <c r="I91" i="5"/>
  <c r="I97" i="5" s="1"/>
  <c r="I99" i="5" s="1"/>
  <c r="I85" i="4"/>
  <c r="K127" i="5"/>
  <c r="K142" i="5"/>
  <c r="K143" i="5"/>
  <c r="K126" i="5"/>
  <c r="H33" i="2"/>
  <c r="H35" i="2" s="1"/>
  <c r="H30" i="2"/>
  <c r="H98" i="5"/>
  <c r="G30" i="2"/>
  <c r="G33" i="2"/>
  <c r="G35" i="2" s="1"/>
  <c r="J42" i="4"/>
  <c r="L62" i="5"/>
  <c r="I12" i="4"/>
  <c r="H13" i="4"/>
  <c r="L57" i="5"/>
  <c r="L59" i="5" s="1"/>
  <c r="J18" i="4"/>
  <c r="J63" i="4"/>
  <c r="J74" i="4"/>
  <c r="K17" i="4"/>
  <c r="K54" i="5"/>
  <c r="J55" i="5"/>
  <c r="J76" i="5"/>
  <c r="J70" i="5"/>
  <c r="H70" i="5"/>
  <c r="H76" i="5"/>
  <c r="D36" i="2"/>
  <c r="D99" i="2"/>
  <c r="D101" i="2" s="1"/>
  <c r="D103" i="2" s="1"/>
  <c r="D114" i="2" s="1"/>
  <c r="G76" i="5"/>
  <c r="G70" i="5"/>
  <c r="J89" i="5"/>
  <c r="K88" i="5"/>
  <c r="K145" i="5"/>
  <c r="K144" i="5"/>
  <c r="K128" i="5"/>
  <c r="K125" i="5"/>
  <c r="K59" i="5"/>
  <c r="N119" i="5"/>
  <c r="O118" i="5"/>
  <c r="O119" i="5" s="1"/>
  <c r="J98" i="5"/>
  <c r="I29" i="3" l="1"/>
  <c r="J28" i="3"/>
  <c r="J12" i="3"/>
  <c r="I13" i="3"/>
  <c r="K60" i="5"/>
  <c r="K64" i="5"/>
  <c r="M57" i="5"/>
  <c r="K74" i="4"/>
  <c r="K63" i="4"/>
  <c r="K18" i="4"/>
  <c r="L17" i="4"/>
  <c r="K41" i="4"/>
  <c r="L101" i="5"/>
  <c r="J85" i="4"/>
  <c r="H77" i="5"/>
  <c r="H80" i="5"/>
  <c r="H82" i="5" s="1"/>
  <c r="L68" i="5"/>
  <c r="J75" i="4"/>
  <c r="K124" i="5"/>
  <c r="N58" i="5"/>
  <c r="L29" i="4"/>
  <c r="M28" i="4"/>
  <c r="L52" i="4"/>
  <c r="H36" i="2"/>
  <c r="H99" i="2"/>
  <c r="H101" i="2" s="1"/>
  <c r="H103" i="2" s="1"/>
  <c r="H114" i="2" s="1"/>
  <c r="J35" i="2"/>
  <c r="J12" i="4"/>
  <c r="I13" i="4"/>
  <c r="L125" i="5"/>
  <c r="L128" i="5"/>
  <c r="L144" i="5"/>
  <c r="L145" i="5"/>
  <c r="E33" i="2"/>
  <c r="E35" i="2" s="1"/>
  <c r="E30" i="2"/>
  <c r="J64" i="4"/>
  <c r="L67" i="5"/>
  <c r="I86" i="4"/>
  <c r="K72" i="5"/>
  <c r="L54" i="5"/>
  <c r="K55" i="5"/>
  <c r="F83" i="5"/>
  <c r="F91" i="5"/>
  <c r="F97" i="5" s="1"/>
  <c r="F99" i="5" s="1"/>
  <c r="K141" i="5"/>
  <c r="K146" i="5" s="1"/>
  <c r="L127" i="5"/>
  <c r="L143" i="5"/>
  <c r="L142" i="5"/>
  <c r="L126" i="5"/>
  <c r="G36" i="2"/>
  <c r="G99" i="2"/>
  <c r="G101" i="2" s="1"/>
  <c r="G103" i="2" s="1"/>
  <c r="G114" i="2" s="1"/>
  <c r="I112" i="5"/>
  <c r="I113" i="5" s="1"/>
  <c r="I110" i="5"/>
  <c r="D34" i="5"/>
  <c r="K53" i="4"/>
  <c r="M63" i="5"/>
  <c r="K89" i="5"/>
  <c r="L88" i="5"/>
  <c r="J80" i="5"/>
  <c r="J82" i="5" s="1"/>
  <c r="J77" i="5"/>
  <c r="L60" i="5"/>
  <c r="L64" i="5"/>
  <c r="G77" i="5"/>
  <c r="G80" i="5"/>
  <c r="G82" i="5" s="1"/>
  <c r="K103" i="5"/>
  <c r="J47" i="5"/>
  <c r="H47" i="5"/>
  <c r="H136" i="5" s="1"/>
  <c r="J136" i="5" s="1"/>
  <c r="D32" i="5"/>
  <c r="E47" i="5"/>
  <c r="D33" i="5"/>
  <c r="K12" i="3" l="1"/>
  <c r="J13" i="3"/>
  <c r="J29" i="3"/>
  <c r="K28" i="3"/>
  <c r="K98" i="5"/>
  <c r="M67" i="5"/>
  <c r="K64" i="4"/>
  <c r="O58" i="5"/>
  <c r="D58" i="5" s="1"/>
  <c r="M29" i="4"/>
  <c r="M52" i="4"/>
  <c r="J13" i="4"/>
  <c r="K12" i="4"/>
  <c r="M68" i="5"/>
  <c r="K75" i="4"/>
  <c r="L63" i="4"/>
  <c r="L74" i="4"/>
  <c r="L18" i="4"/>
  <c r="N57" i="5"/>
  <c r="N59" i="5" s="1"/>
  <c r="L41" i="4"/>
  <c r="M17" i="4"/>
  <c r="G91" i="5"/>
  <c r="G97" i="5" s="1"/>
  <c r="G99" i="5" s="1"/>
  <c r="G83" i="5"/>
  <c r="F32" i="5"/>
  <c r="L55" i="5"/>
  <c r="M54" i="5"/>
  <c r="M143" i="5"/>
  <c r="M142" i="5"/>
  <c r="M126" i="5"/>
  <c r="M127" i="5"/>
  <c r="K92" i="5"/>
  <c r="L65" i="5"/>
  <c r="L69" i="5"/>
  <c r="F34" i="5"/>
  <c r="M59" i="5"/>
  <c r="M62" i="5"/>
  <c r="K42" i="4"/>
  <c r="H83" i="5"/>
  <c r="H91" i="5"/>
  <c r="H97" i="5" s="1"/>
  <c r="H99" i="5" s="1"/>
  <c r="M101" i="5"/>
  <c r="K85" i="4"/>
  <c r="H135" i="5"/>
  <c r="J135" i="5" s="1"/>
  <c r="J35" i="5"/>
  <c r="L124" i="5"/>
  <c r="L98" i="5"/>
  <c r="K69" i="5"/>
  <c r="K65" i="5"/>
  <c r="F33" i="5"/>
  <c r="H148" i="5"/>
  <c r="J148" i="5" s="1"/>
  <c r="J83" i="5"/>
  <c r="J91" i="5"/>
  <c r="J97" i="5" s="1"/>
  <c r="J99" i="5" s="1"/>
  <c r="L72" i="5"/>
  <c r="L92" i="5" s="1"/>
  <c r="J86" i="4"/>
  <c r="K131" i="5"/>
  <c r="L131" i="5" s="1"/>
  <c r="M88" i="5"/>
  <c r="L89" i="5"/>
  <c r="E99" i="2"/>
  <c r="E101" i="2" s="1"/>
  <c r="E103" i="2" s="1"/>
  <c r="E114" i="2" s="1"/>
  <c r="E45" i="2" s="1"/>
  <c r="E36" i="2"/>
  <c r="F110" i="5"/>
  <c r="F112" i="5"/>
  <c r="F113" i="5" s="1"/>
  <c r="L141" i="5"/>
  <c r="L146" i="5" s="1"/>
  <c r="N63" i="5"/>
  <c r="L53" i="4"/>
  <c r="L103" i="5"/>
  <c r="K29" i="3" l="1"/>
  <c r="L28" i="3"/>
  <c r="L12" i="3"/>
  <c r="K13" i="3"/>
  <c r="N101" i="5"/>
  <c r="L85" i="4"/>
  <c r="M124" i="5"/>
  <c r="N68" i="5"/>
  <c r="L75" i="4"/>
  <c r="M144" i="5"/>
  <c r="M128" i="5"/>
  <c r="M125" i="5"/>
  <c r="M145" i="5"/>
  <c r="M55" i="5"/>
  <c r="N54" i="5"/>
  <c r="N127" i="5"/>
  <c r="N143" i="5"/>
  <c r="N126" i="5"/>
  <c r="N142" i="5"/>
  <c r="O57" i="5"/>
  <c r="O59" i="5" s="1"/>
  <c r="M74" i="4"/>
  <c r="M63" i="4"/>
  <c r="M18" i="4"/>
  <c r="M41" i="4"/>
  <c r="N67" i="5"/>
  <c r="L64" i="4"/>
  <c r="L35" i="5"/>
  <c r="M103" i="5"/>
  <c r="E51" i="2"/>
  <c r="E57" i="2" s="1"/>
  <c r="F45" i="2"/>
  <c r="K13" i="4"/>
  <c r="L12" i="4"/>
  <c r="M89" i="5"/>
  <c r="N88" i="5"/>
  <c r="M72" i="5"/>
  <c r="K86" i="4"/>
  <c r="M60" i="5"/>
  <c r="M64" i="5"/>
  <c r="D59" i="5"/>
  <c r="G110" i="5"/>
  <c r="G112" i="5"/>
  <c r="G113" i="5" s="1"/>
  <c r="O63" i="5"/>
  <c r="D63" i="5" s="1"/>
  <c r="M53" i="4"/>
  <c r="K70" i="5"/>
  <c r="L42" i="4"/>
  <c r="N62" i="5"/>
  <c r="H110" i="5"/>
  <c r="H112" i="5"/>
  <c r="H113" i="5" s="1"/>
  <c r="L70" i="5"/>
  <c r="N64" i="5"/>
  <c r="N60" i="5"/>
  <c r="J112" i="5"/>
  <c r="J113" i="5" s="1"/>
  <c r="J110" i="5"/>
  <c r="M12" i="3" l="1"/>
  <c r="M13" i="3" s="1"/>
  <c r="L13" i="3"/>
  <c r="L29" i="3"/>
  <c r="M28" i="3"/>
  <c r="M29" i="3" s="1"/>
  <c r="N69" i="5"/>
  <c r="N65" i="5"/>
  <c r="O67" i="5"/>
  <c r="D67" i="5" s="1"/>
  <c r="M64" i="4"/>
  <c r="M141" i="5"/>
  <c r="M146" i="5" s="1"/>
  <c r="O127" i="5"/>
  <c r="O142" i="5"/>
  <c r="O126" i="5"/>
  <c r="O143" i="5"/>
  <c r="O101" i="5"/>
  <c r="M85" i="4"/>
  <c r="N94" i="5"/>
  <c r="O94" i="5"/>
  <c r="L94" i="5"/>
  <c r="M94" i="5"/>
  <c r="L95" i="5"/>
  <c r="M95" i="5"/>
  <c r="N95" i="5"/>
  <c r="O95" i="5"/>
  <c r="N89" i="5"/>
  <c r="O88" i="5"/>
  <c r="O89" i="5" s="1"/>
  <c r="O60" i="5"/>
  <c r="N72" i="5"/>
  <c r="N92" i="5" s="1"/>
  <c r="L86" i="4"/>
  <c r="M69" i="5"/>
  <c r="M65" i="5"/>
  <c r="M92" i="5"/>
  <c r="M75" i="4"/>
  <c r="O68" i="5"/>
  <c r="D68" i="5" s="1"/>
  <c r="L13" i="4"/>
  <c r="M12" i="4"/>
  <c r="M13" i="4" s="1"/>
  <c r="M131" i="5"/>
  <c r="N124" i="5"/>
  <c r="N103" i="5"/>
  <c r="N128" i="5"/>
  <c r="N145" i="5"/>
  <c r="N125" i="5"/>
  <c r="N144" i="5"/>
  <c r="D57" i="5"/>
  <c r="F51" i="2"/>
  <c r="F57" i="2" s="1"/>
  <c r="G45" i="2"/>
  <c r="O62" i="5"/>
  <c r="D62" i="5" s="1"/>
  <c r="M42" i="4"/>
  <c r="N55" i="5"/>
  <c r="O54" i="5"/>
  <c r="O55" i="5" s="1"/>
  <c r="N131" i="5" l="1"/>
  <c r="M98" i="5"/>
  <c r="O103" i="5"/>
  <c r="D101" i="5"/>
  <c r="K95" i="5"/>
  <c r="D95" i="5" s="1"/>
  <c r="D75" i="5"/>
  <c r="K136" i="5"/>
  <c r="L136" i="5" s="1"/>
  <c r="M136" i="5" s="1"/>
  <c r="N136" i="5" s="1"/>
  <c r="O136" i="5" s="1"/>
  <c r="O64" i="5"/>
  <c r="E64" i="5" s="1"/>
  <c r="M86" i="4"/>
  <c r="O72" i="5"/>
  <c r="M70" i="5"/>
  <c r="E58" i="5"/>
  <c r="E59" i="5"/>
  <c r="E57" i="5"/>
  <c r="N141" i="5"/>
  <c r="N146" i="5" s="1"/>
  <c r="O125" i="5"/>
  <c r="O144" i="5"/>
  <c r="O128" i="5"/>
  <c r="O145" i="5"/>
  <c r="K94" i="5"/>
  <c r="D94" i="5" s="1"/>
  <c r="D74" i="5"/>
  <c r="K135" i="5"/>
  <c r="L135" i="5" s="1"/>
  <c r="M135" i="5" s="1"/>
  <c r="N135" i="5" s="1"/>
  <c r="O135" i="5" s="1"/>
  <c r="G51" i="2"/>
  <c r="G57" i="2" s="1"/>
  <c r="H45" i="2"/>
  <c r="O124" i="5"/>
  <c r="N70" i="5"/>
  <c r="O131" i="5" l="1"/>
  <c r="O141" i="5"/>
  <c r="O146" i="5" s="1"/>
  <c r="O92" i="5"/>
  <c r="D92" i="5" s="1"/>
  <c r="D72" i="5"/>
  <c r="G123" i="5"/>
  <c r="E22" i="5"/>
  <c r="H51" i="2"/>
  <c r="H57" i="2" s="1"/>
  <c r="O98" i="5"/>
  <c r="O65" i="5"/>
  <c r="O69" i="5"/>
  <c r="D64" i="5"/>
  <c r="D65" i="5" s="1"/>
  <c r="N98" i="5"/>
  <c r="E23" i="5" l="1"/>
  <c r="G129" i="5"/>
  <c r="G137" i="5" s="1"/>
  <c r="G156" i="5" s="1"/>
  <c r="J123" i="5"/>
  <c r="O70" i="5"/>
  <c r="E69" i="5"/>
  <c r="D69" i="5"/>
  <c r="D70" i="5" s="1"/>
  <c r="D98" i="5"/>
  <c r="J129" i="5" l="1"/>
  <c r="J18" i="5"/>
  <c r="J21" i="5" s="1"/>
  <c r="O18" i="5" s="1"/>
  <c r="J36" i="5"/>
  <c r="L36" i="5" l="1"/>
  <c r="O19" i="5"/>
  <c r="O23" i="5" l="1"/>
  <c r="O20" i="5"/>
  <c r="H150" i="5" s="1"/>
  <c r="J150" i="5" s="1"/>
  <c r="O25" i="5" l="1"/>
  <c r="H134" i="5"/>
  <c r="J134" i="5" s="1"/>
  <c r="J151" i="5"/>
  <c r="O21" i="5"/>
  <c r="H132" i="5" s="1"/>
  <c r="J132" i="5" s="1"/>
  <c r="K132" i="5" l="1"/>
  <c r="L132" i="5" s="1"/>
  <c r="M132" i="5" s="1"/>
  <c r="N132" i="5" s="1"/>
  <c r="O132" i="5" s="1"/>
  <c r="J137" i="5"/>
  <c r="L73" i="5"/>
  <c r="M73" i="5"/>
  <c r="K73" i="5"/>
  <c r="K134" i="5" s="1"/>
  <c r="L134" i="5" s="1"/>
  <c r="O73" i="5"/>
  <c r="N73" i="5"/>
  <c r="N93" i="5" l="1"/>
  <c r="N96" i="5" s="1"/>
  <c r="N76" i="5"/>
  <c r="O93" i="5"/>
  <c r="O96" i="5" s="1"/>
  <c r="O76" i="5"/>
  <c r="K93" i="5"/>
  <c r="D73" i="5"/>
  <c r="K76" i="5"/>
  <c r="M93" i="5"/>
  <c r="M96" i="5" s="1"/>
  <c r="M76" i="5"/>
  <c r="L93" i="5"/>
  <c r="L96" i="5" s="1"/>
  <c r="L76" i="5"/>
  <c r="M134" i="5"/>
  <c r="N134" i="5" s="1"/>
  <c r="O134" i="5" s="1"/>
  <c r="L77" i="5" l="1"/>
  <c r="N77" i="5"/>
  <c r="M77" i="5"/>
  <c r="O77" i="5"/>
  <c r="K77" i="5"/>
  <c r="D76" i="5"/>
  <c r="E76" i="5"/>
  <c r="K96" i="5"/>
  <c r="D93" i="5"/>
  <c r="D96" i="5" l="1"/>
  <c r="K150" i="5"/>
  <c r="L150" i="5" s="1"/>
  <c r="M150" i="5" s="1"/>
  <c r="N150" i="5" s="1"/>
  <c r="O150" i="5" s="1"/>
  <c r="D79" i="5" l="1"/>
  <c r="K80" i="5"/>
  <c r="K81" i="5" s="1"/>
  <c r="K82" i="5" s="1"/>
  <c r="L80" i="5"/>
  <c r="L81" i="5" s="1"/>
  <c r="M80" i="5"/>
  <c r="M81" i="5" s="1"/>
  <c r="M82" i="5" s="1"/>
  <c r="N80" i="5"/>
  <c r="N81" i="5" s="1"/>
  <c r="O80" i="5"/>
  <c r="L82" i="5"/>
  <c r="L83" i="5" s="1"/>
  <c r="N82" i="5"/>
  <c r="N83" i="5" s="1"/>
  <c r="L91" i="5"/>
  <c r="L97" i="5" s="1"/>
  <c r="L99" i="5" s="1"/>
  <c r="M83" i="5" l="1"/>
  <c r="M91" i="5"/>
  <c r="M97" i="5" s="1"/>
  <c r="M99" i="5" s="1"/>
  <c r="N91" i="5"/>
  <c r="N97" i="5" s="1"/>
  <c r="N99" i="5" s="1"/>
  <c r="N112" i="5" s="1"/>
  <c r="L112" i="5"/>
  <c r="K83" i="5"/>
  <c r="K91" i="5"/>
  <c r="M112" i="5"/>
  <c r="O81" i="5"/>
  <c r="D81" i="5" s="1"/>
  <c r="N113" i="5"/>
  <c r="D80" i="5"/>
  <c r="O82" i="5" l="1"/>
  <c r="M113" i="5"/>
  <c r="K97" i="5"/>
  <c r="L113" i="5"/>
  <c r="K99" i="5" l="1"/>
  <c r="O91" i="5"/>
  <c r="O83" i="5"/>
  <c r="D82" i="5"/>
  <c r="D83" i="5" s="1"/>
  <c r="D103" i="5"/>
  <c r="E82" i="5"/>
  <c r="O97" i="5" l="1"/>
  <c r="D91" i="5"/>
  <c r="K112" i="5"/>
  <c r="K113" i="5" l="1"/>
  <c r="O99" i="5"/>
  <c r="D97" i="5"/>
  <c r="D77" i="5" s="1"/>
  <c r="E97" i="5"/>
  <c r="O112" i="5" l="1"/>
  <c r="E99" i="5"/>
  <c r="O113" i="5" l="1"/>
  <c r="K151" i="5" l="1"/>
  <c r="K107" i="5" l="1"/>
  <c r="K108" i="5" l="1"/>
  <c r="K110" i="5" s="1"/>
  <c r="K123" i="5" s="1"/>
  <c r="K129" i="5" l="1"/>
  <c r="K137" i="5" s="1"/>
  <c r="L151" i="5" l="1"/>
  <c r="L107" i="5" l="1"/>
  <c r="L108" i="5" l="1"/>
  <c r="L110" i="5" s="1"/>
  <c r="L123" i="5" s="1"/>
  <c r="L129" i="5" l="1"/>
  <c r="L137" i="5" s="1"/>
  <c r="M151" i="5" l="1"/>
  <c r="M107" i="5" l="1"/>
  <c r="M108" i="5" l="1"/>
  <c r="M110" i="5" s="1"/>
  <c r="M123" i="5" s="1"/>
  <c r="M129" i="5" l="1"/>
  <c r="M137" i="5" s="1"/>
  <c r="N151" i="5" l="1"/>
  <c r="N107" i="5" l="1"/>
  <c r="N108" i="5" l="1"/>
  <c r="N110" i="5" s="1"/>
  <c r="N123" i="5" s="1"/>
  <c r="N129" i="5" l="1"/>
  <c r="N137" i="5" s="1"/>
  <c r="D105" i="5" l="1"/>
  <c r="O151" i="5"/>
  <c r="O107" i="5" l="1"/>
  <c r="D107" i="5" l="1"/>
  <c r="O108" i="5"/>
  <c r="O110" i="5" s="1"/>
  <c r="O123" i="5" s="1"/>
  <c r="O129" i="5" l="1"/>
  <c r="O137" i="5" s="1"/>
  <c r="E24" i="5"/>
  <c r="E25" i="5"/>
  <c r="E32" i="5"/>
  <c r="J32" i="5"/>
  <c r="K32" i="5"/>
  <c r="L32" i="5"/>
  <c r="E33" i="5"/>
  <c r="J33" i="5"/>
  <c r="K33" i="5"/>
  <c r="L33" i="5"/>
  <c r="E34" i="5"/>
  <c r="K34" i="5"/>
  <c r="D35" i="5"/>
  <c r="E35" i="5"/>
  <c r="F35" i="5"/>
  <c r="K35" i="5"/>
  <c r="D36" i="5"/>
  <c r="E36" i="5"/>
  <c r="F36" i="5"/>
  <c r="K36" i="5"/>
  <c r="D37" i="5"/>
  <c r="E37" i="5"/>
  <c r="F37" i="5"/>
  <c r="J37" i="5"/>
  <c r="K37" i="5"/>
  <c r="L37" i="5"/>
  <c r="H153" i="5"/>
  <c r="J153" i="5"/>
  <c r="K153" i="5"/>
  <c r="L153" i="5"/>
  <c r="M153" i="5"/>
  <c r="N153" i="5"/>
  <c r="O153" i="5"/>
  <c r="J154" i="5"/>
  <c r="K154" i="5"/>
  <c r="L154" i="5"/>
  <c r="M154" i="5"/>
  <c r="N154" i="5"/>
  <c r="O154" i="5"/>
  <c r="J156" i="5"/>
  <c r="K156" i="5"/>
  <c r="L156" i="5"/>
  <c r="M156" i="5"/>
  <c r="N156" i="5"/>
  <c r="O156" i="5"/>
</calcChain>
</file>

<file path=xl/sharedStrings.xml><?xml version="1.0" encoding="utf-8"?>
<sst xmlns="http://schemas.openxmlformats.org/spreadsheetml/2006/main" count="388" uniqueCount="211">
  <si>
    <t>Northwind Industries - FINANCIAL MODEL</t>
  </si>
  <si>
    <t>Northwind Industries</t>
  </si>
  <si>
    <t>Historical Financials</t>
  </si>
  <si>
    <t>Draft - Preliminary &amp; Confidential</t>
  </si>
  <si>
    <t>$ in millions, except where otherwise denoted</t>
  </si>
  <si>
    <t>x</t>
  </si>
  <si>
    <t>Financials</t>
  </si>
  <si>
    <t>Income Statement</t>
  </si>
  <si>
    <t>Products Revenue</t>
  </si>
  <si>
    <t>(+) Services Revenue</t>
  </si>
  <si>
    <t>Total Revenue</t>
  </si>
  <si>
    <t>% Y-O-Y Growth</t>
  </si>
  <si>
    <t>(–) Product Cost of Goods Sold (COGS)</t>
  </si>
  <si>
    <t>(–) Services Cost of Goods Sold (COGS)</t>
  </si>
  <si>
    <t>Gross Profit</t>
  </si>
  <si>
    <t>Gross Margin %</t>
  </si>
  <si>
    <t>(–) Selling, Generative, &amp; Administrative (SG&amp;A)</t>
  </si>
  <si>
    <t>(–) Research &amp; Development (R&amp;D)</t>
  </si>
  <si>
    <t>EBITDA</t>
  </si>
  <si>
    <t>EBITDA Margin %</t>
  </si>
  <si>
    <t>(–) Depreciation &amp; Amortization (D&amp;A)</t>
  </si>
  <si>
    <t>Earnings Before Interest &amp; Taxes (EBIT)</t>
  </si>
  <si>
    <t>EBIT Margin %</t>
  </si>
  <si>
    <t>(–) Interest Expense</t>
  </si>
  <si>
    <t>Income (Loss) Before Income Taxes</t>
  </si>
  <si>
    <t>(–) Income Taxes</t>
  </si>
  <si>
    <t>Net Income</t>
  </si>
  <si>
    <t>Net Income Margin %</t>
  </si>
  <si>
    <t>Balance Sheet</t>
  </si>
  <si>
    <t>Assets</t>
  </si>
  <si>
    <t>Cash and Cash Equivalents</t>
  </si>
  <si>
    <t>Accounts Receivable</t>
  </si>
  <si>
    <t>Inventory</t>
  </si>
  <si>
    <t>Income Tax Recoverable</t>
  </si>
  <si>
    <t>Deferred Income Taxes</t>
  </si>
  <si>
    <t>Prepaid Expenses and Other Assets</t>
  </si>
  <si>
    <t>Total Current Assets</t>
  </si>
  <si>
    <t>Net Plant, Property, &amp; Equipment (PP&amp;E)</t>
  </si>
  <si>
    <t>Goodwill</t>
  </si>
  <si>
    <t>Intangible and Other Assets</t>
  </si>
  <si>
    <t>Total Assets</t>
  </si>
  <si>
    <t>Liabilities &amp; Shareholder's Equity</t>
  </si>
  <si>
    <t xml:space="preserve">Accounts Payable </t>
  </si>
  <si>
    <t>Deferred Revenue</t>
  </si>
  <si>
    <t>Warranty Reserves</t>
  </si>
  <si>
    <t>Income Taxes Payable</t>
  </si>
  <si>
    <t>Accrued and Other Current Liabilities</t>
  </si>
  <si>
    <t>Total Current Liabilities</t>
  </si>
  <si>
    <t>Long-term Debt</t>
  </si>
  <si>
    <t>Other Liabilities</t>
  </si>
  <si>
    <t>Deferred Tax Liability</t>
  </si>
  <si>
    <t>Total Liabilities</t>
  </si>
  <si>
    <t>Shareholder's Equity</t>
  </si>
  <si>
    <t>Total Liabilities &amp; Shareholder's Equity</t>
  </si>
  <si>
    <t>Net Working Capital Schedule</t>
  </si>
  <si>
    <t>Current Assets (Excluding Cash)</t>
  </si>
  <si>
    <t>Current Liabilities</t>
  </si>
  <si>
    <t>Net Working Capital (NWC)</t>
  </si>
  <si>
    <t>Δ NWC</t>
  </si>
  <si>
    <t>Cash Flow Statement</t>
  </si>
  <si>
    <t>(+) Depreciation &amp; Amortization (D&amp;A)</t>
  </si>
  <si>
    <t>Funds from Operation (FFO)</t>
  </si>
  <si>
    <t>(+/–) Change in Net Working Capital</t>
  </si>
  <si>
    <t>Cash Flow from Operations (CFO)</t>
  </si>
  <si>
    <t>(–) Capital Expenditures</t>
  </si>
  <si>
    <t>(+) Asset Sales</t>
  </si>
  <si>
    <t>Cash Flow from Investing (CFI)</t>
  </si>
  <si>
    <t>(+/–) Debt Issued / (Retired)</t>
  </si>
  <si>
    <t>(+/–) Common Stock Issued / (Retired)</t>
  </si>
  <si>
    <t>(–) Dividends Paid</t>
  </si>
  <si>
    <t>Cash Flow from Financing (CFF)</t>
  </si>
  <si>
    <t>Net Change in Cash</t>
  </si>
  <si>
    <t>Capex &amp; NWC Drivers</t>
  </si>
  <si>
    <t>Capex Drivers</t>
  </si>
  <si>
    <t>Select Case ([=1] Base Case; [=2] Upside Case; [=3] Downside Case) &gt;&gt;&gt;</t>
  </si>
  <si>
    <t>Operating Scenario &gt;&gt;&gt;</t>
  </si>
  <si>
    <t>Base Case</t>
  </si>
  <si>
    <t>Capex: % of Total Revenue</t>
  </si>
  <si>
    <t>Capex</t>
  </si>
  <si>
    <t>% of Total Revenue</t>
  </si>
  <si>
    <t>Upside Case</t>
  </si>
  <si>
    <t>Downside Case</t>
  </si>
  <si>
    <t>NWC Drivers</t>
  </si>
  <si>
    <t>Total COGs</t>
  </si>
  <si>
    <t>Days Sales Outstanding (DSO)</t>
  </si>
  <si>
    <t>Inventory Days</t>
  </si>
  <si>
    <t>Income Tax Recoverable as % of Total Revenue</t>
  </si>
  <si>
    <t>Deferred Income Taxes as % of Total Revenue</t>
  </si>
  <si>
    <t>Prepaid Expenses and Other Assets as % of Total COGS</t>
  </si>
  <si>
    <t>Days Payables Outstanding (DPO)</t>
  </si>
  <si>
    <t>Deferred Revenue as % of Total Revenue</t>
  </si>
  <si>
    <t>Warranty Reserves as % of Total Revenue</t>
  </si>
  <si>
    <t>Income Taxes Payable as % of Total COGS</t>
  </si>
  <si>
    <t>Accrued and Other Current Liabilities as % of Total COGS</t>
  </si>
  <si>
    <t>P&amp;L Drivers</t>
  </si>
  <si>
    <t>Revenue Drivers</t>
  </si>
  <si>
    <t>Products Revenue: Annual Growth Rates</t>
  </si>
  <si>
    <t>Y-O-Y Growth %</t>
  </si>
  <si>
    <t>Services Revenue: Annual Growth Rates</t>
  </si>
  <si>
    <t>Services Revenue</t>
  </si>
  <si>
    <t>Expense Drivers</t>
  </si>
  <si>
    <t>Products COGS: % of Products Revenue</t>
  </si>
  <si>
    <t>Products COGS</t>
  </si>
  <si>
    <t>% of Products Revenue</t>
  </si>
  <si>
    <t>Services COGS: % of Services Revenue</t>
  </si>
  <si>
    <t>Services COGS</t>
  </si>
  <si>
    <t>% of Services Revenue</t>
  </si>
  <si>
    <t>SG&amp;A: % of Revenue</t>
  </si>
  <si>
    <t>SG&amp;A</t>
  </si>
  <si>
    <t>% of Revenue</t>
  </si>
  <si>
    <t>R&amp;D: % of Revenue</t>
  </si>
  <si>
    <t>R&amp;D</t>
  </si>
  <si>
    <t>D&amp;A: % of Capex</t>
  </si>
  <si>
    <t>D&amp;A</t>
  </si>
  <si>
    <t>% of Capex</t>
  </si>
  <si>
    <t>Illustrative Transaction Overview &amp; Returns Analysis</t>
  </si>
  <si>
    <t>Transaction Assumptions</t>
  </si>
  <si>
    <t>General Inputs</t>
  </si>
  <si>
    <t>Effective Federal Corporate Tax Rate</t>
  </si>
  <si>
    <t>Transaction Expenses (% Purchase Price)</t>
  </si>
  <si>
    <t>Dividend Sweep</t>
  </si>
  <si>
    <t>Write-Up % of Identifiable Intangibles</t>
  </si>
  <si>
    <t>Seller Equity Rollover (% of NewCo)</t>
  </si>
  <si>
    <t>Exit Multiple</t>
  </si>
  <si>
    <t xml:space="preserve">Acquisition Purchase Date </t>
  </si>
  <si>
    <t>Circularity Switch</t>
  </si>
  <si>
    <t>Sponsor Preferred Hurdle</t>
  </si>
  <si>
    <t>Mgmt. Promote</t>
  </si>
  <si>
    <t>Purchase Assumptions</t>
  </si>
  <si>
    <t>Purchase Price Derivation</t>
  </si>
  <si>
    <t>Net Identifiable Assets</t>
  </si>
  <si>
    <t>Identifiable Intangibles Write-Up</t>
  </si>
  <si>
    <t>LTM EBITDA (2018A)</t>
  </si>
  <si>
    <t>Equity Purchase Price</t>
  </si>
  <si>
    <t>Goodwill &amp; Identifiable Intangibles Created</t>
  </si>
  <si>
    <t>(x) Entry EV / EBITDA Multiple</t>
  </si>
  <si>
    <t>(–) Book Value of Net Assets</t>
  </si>
  <si>
    <t>(–) Identifiable Intangibles Write-Up</t>
  </si>
  <si>
    <t>Enterprise Value</t>
  </si>
  <si>
    <t>(+) Write-off of Existing Goodwill</t>
  </si>
  <si>
    <t>(+) Deferred Tax Liability</t>
  </si>
  <si>
    <t>(–) Debt Outstanding (12/31/2018)</t>
  </si>
  <si>
    <t>Goodwill Created in Transaction</t>
  </si>
  <si>
    <t>(+) Cash Balance (12/31/2018)</t>
  </si>
  <si>
    <t>(–) Seller Rollover</t>
  </si>
  <si>
    <t>(÷) Total Amortization Period</t>
  </si>
  <si>
    <t>Adjusted Equity Purchase Price</t>
  </si>
  <si>
    <t>Intangibles Amortization Per Annum</t>
  </si>
  <si>
    <t>Sources &amp; Uses (S&amp;U)</t>
  </si>
  <si>
    <t>Sources of Capital</t>
  </si>
  <si>
    <t>$mm</t>
  </si>
  <si>
    <t>% of Total</t>
  </si>
  <si>
    <t>Entry Multiple (LTM EBITDA)</t>
  </si>
  <si>
    <t>Uses of Capital</t>
  </si>
  <si>
    <t>Revolver</t>
  </si>
  <si>
    <t>Purchase of Equity: Sponsor</t>
  </si>
  <si>
    <t>1st Lien Bank Debt</t>
  </si>
  <si>
    <t>Rollover of Equity: Seller</t>
  </si>
  <si>
    <t>Senior Unsecured Notes</t>
  </si>
  <si>
    <t>Refinanced Debt</t>
  </si>
  <si>
    <t>Seller Rollover Equity</t>
  </si>
  <si>
    <t>Financing Fees &amp; OID</t>
  </si>
  <si>
    <t>Sponsor Equity</t>
  </si>
  <si>
    <t>Transaction Expenses</t>
  </si>
  <si>
    <t>Total Sources of Capital</t>
  </si>
  <si>
    <t>Total Uses of Capital</t>
  </si>
  <si>
    <t>Debt Capital Stack Assumptions</t>
  </si>
  <si>
    <t>Leverage Multiple</t>
  </si>
  <si>
    <t>Debt Quantum</t>
  </si>
  <si>
    <t>Floor</t>
  </si>
  <si>
    <t xml:space="preserve">Spread to Libor </t>
  </si>
  <si>
    <t>OID %</t>
  </si>
  <si>
    <t>Commitment Fee %</t>
  </si>
  <si>
    <t>Financing Fee %</t>
  </si>
  <si>
    <t>Mandatory Amort %</t>
  </si>
  <si>
    <t>Sweep %</t>
  </si>
  <si>
    <t>Close Date</t>
  </si>
  <si>
    <t>Tenor</t>
  </si>
  <si>
    <t>Maturity Date</t>
  </si>
  <si>
    <t xml:space="preserve">Revolver </t>
  </si>
  <si>
    <t>1st Lien Bank Debt (Term Loan)</t>
  </si>
  <si>
    <t>N/A</t>
  </si>
  <si>
    <t>Total Leverage</t>
  </si>
  <si>
    <t>Total Leverage Multiple</t>
  </si>
  <si>
    <t>Revolver Undrawn Amount</t>
  </si>
  <si>
    <t>Historical FYE</t>
  </si>
  <si>
    <t>Projected FYE</t>
  </si>
  <si>
    <t>(–) Product COGS</t>
  </si>
  <si>
    <t>(–) Services COGS</t>
  </si>
  <si>
    <t>(–) SG&amp;A</t>
  </si>
  <si>
    <t>(–) R&amp;D</t>
  </si>
  <si>
    <t>(–) D&amp;A</t>
  </si>
  <si>
    <t>(–) Amort of Acquisition Intangibles</t>
  </si>
  <si>
    <t>(–) Amort of Capitalized Financing Fees</t>
  </si>
  <si>
    <t>(–) Amort of OID</t>
  </si>
  <si>
    <t>(+) Depreciation &amp; Amortization</t>
  </si>
  <si>
    <t>(+) Amort of Acquisition Intangibles</t>
  </si>
  <si>
    <t>(+) Amort of Capitalized Financing Fees</t>
  </si>
  <si>
    <t>(+) Amort of OID</t>
  </si>
  <si>
    <t>(+/–) Δ in Deferred Tax Liabilities</t>
  </si>
  <si>
    <t>Funds from Operations (FFO)</t>
  </si>
  <si>
    <t>(+/–) Δ in NWC</t>
  </si>
  <si>
    <t>Change in Cash</t>
  </si>
  <si>
    <t>Levered Free Cash Flow (excluding principal repayment)</t>
  </si>
  <si>
    <t>LFCF Conversion %</t>
  </si>
  <si>
    <t>Transaction Adjustments</t>
  </si>
  <si>
    <t>+</t>
  </si>
  <si>
    <t>–</t>
  </si>
  <si>
    <t>Deferred Financing Fees</t>
  </si>
  <si>
    <t>OID</t>
  </si>
  <si>
    <t>Memo: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</si>
</sst>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#,##0.00&quot;x&quot;"/>
    <numFmt numFmtId="165" formatCode="&quot;OKAY&quot;_);&quot;REVIEW&quot;_);&quot;ERROR&quot;_)"/>
    <numFmt numFmtId="166" formatCode="0_);\(0\)"/>
    <numFmt numFmtId="167" formatCode="&quot;On&quot;;;&quot;Off&quot;"/>
    <numFmt numFmtId="168" formatCode="&quot;P&quot;00"/>
    <numFmt numFmtId="169" formatCode="##\ &quot;Year(s)&quot;"/>
    <numFmt numFmtId="170" formatCode="[$-409]mmmm\ d\,\ yyyy;@"/>
    <numFmt numFmtId="171" formatCode="0.E+00"/>
    <numFmt numFmtId="172" formatCode="0000&quot;A&quot;"/>
    <numFmt numFmtId="173" formatCode="&quot;$&quot;#,##0.0_);\(&quot;$&quot;#,##0.0\)"/>
    <numFmt numFmtId="174" formatCode="#0.0%_);\(#0.0%\)"/>
    <numFmt numFmtId="175" formatCode="#,##0.0_);\(#,##0.0\)"/>
    <numFmt numFmtId="176" formatCode="#0.0000%_);\(#0.0000%\)"/>
    <numFmt numFmtId="177" formatCode="0000&quot;E&quot;"/>
    <numFmt numFmtId="178" formatCode="#0.0\x"/>
    <numFmt numFmtId="179" formatCode="&quot;Yes&quot;;;&quot;No&quot;"/>
    <numFmt numFmtId="180" formatCode="0.0\ &quot;years&quot;"/>
    <numFmt numFmtId="181" formatCode="#0.00%_);\(#0.00%\)"/>
    <numFmt numFmtId="182" formatCode="0\ &quot;bps&quot;"/>
    <numFmt numFmtId="183" formatCode="0000&quot;PF&quot;"/>
    <numFmt numFmtId="184" formatCode="&quot;$&quot;#,##0.000_);\(&quot;$&quot;#,##0.000\)"/>
  </numFmts>
  <fonts count="45" x14ac:knownFonts="1">
    <font>
      <sz val="11"/>
      <color theme="1"/>
      <name val="Calibri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u/>
      <sz val="6"/>
      <color theme="10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rgb="FF008050"/>
      <name val="Arial"/>
      <family val="2"/>
    </font>
    <font>
      <b/>
      <sz val="14"/>
      <name val="Arial"/>
      <family val="2"/>
    </font>
    <font>
      <b/>
      <sz val="10"/>
      <color rgb="FFFFFFFF"/>
      <name val="Arial"/>
      <family val="2"/>
    </font>
    <font>
      <sz val="8"/>
      <color rgb="FF7030A0"/>
      <name val="Arial"/>
      <family val="2"/>
    </font>
    <font>
      <b/>
      <sz val="18"/>
      <color theme="0"/>
      <name val="Arial"/>
      <family val="2"/>
    </font>
    <font>
      <b/>
      <sz val="16"/>
      <name val="Century Gothic"/>
      <family val="2"/>
    </font>
    <font>
      <sz val="9"/>
      <color theme="1"/>
      <name val="Arial"/>
      <family val="2"/>
    </font>
    <font>
      <b/>
      <sz val="13"/>
      <color rgb="FF808080"/>
      <name val="Century Gothic"/>
      <family val="2"/>
    </font>
    <font>
      <sz val="13"/>
      <color theme="1"/>
      <name val="Century Gothic"/>
      <family val="2"/>
    </font>
    <font>
      <b/>
      <sz val="9"/>
      <color theme="1"/>
      <name val="Arial"/>
      <family val="2"/>
    </font>
    <font>
      <i/>
      <sz val="10"/>
      <color theme="1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20"/>
      <color theme="1"/>
      <name val="Century Gothic"/>
      <family val="2"/>
    </font>
    <font>
      <b/>
      <i/>
      <sz val="13"/>
      <color theme="1"/>
      <name val="Century Gothic"/>
      <family val="2"/>
    </font>
    <font>
      <i/>
      <sz val="13"/>
      <color theme="1"/>
      <name val="Century Gothic"/>
      <family val="2"/>
    </font>
    <font>
      <sz val="14"/>
      <color theme="0"/>
      <name val="Century Gothic"/>
      <family val="2"/>
    </font>
    <font>
      <b/>
      <sz val="13"/>
      <color theme="1"/>
      <name val="Century Gothic"/>
      <family val="2"/>
    </font>
    <font>
      <sz val="13"/>
      <color rgb="FF0000FF"/>
      <name val="Century Gothic"/>
      <family val="2"/>
    </font>
    <font>
      <sz val="13"/>
      <name val="Century Gothic"/>
      <family val="2"/>
    </font>
    <font>
      <b/>
      <u/>
      <sz val="13"/>
      <color theme="1"/>
      <name val="Century Gothic"/>
      <family val="2"/>
    </font>
    <font>
      <b/>
      <i/>
      <sz val="13"/>
      <color rgb="FF222222"/>
      <name val="Century Gothic"/>
      <family val="2"/>
    </font>
    <font>
      <i/>
      <sz val="13"/>
      <color rgb="FF0000FF"/>
      <name val="Century Gothic"/>
      <family val="2"/>
    </font>
    <font>
      <sz val="12"/>
      <color theme="1"/>
      <name val="Century Gothic"/>
      <family val="2"/>
    </font>
    <font>
      <b/>
      <sz val="13"/>
      <color rgb="FF008000"/>
      <name val="Century Gothic"/>
      <family val="2"/>
    </font>
    <font>
      <b/>
      <sz val="12"/>
      <color theme="1"/>
      <name val="Century Gothic"/>
      <family val="2"/>
    </font>
    <font>
      <sz val="13"/>
      <color rgb="FF008000"/>
      <name val="Century Gothic"/>
      <family val="2"/>
    </font>
    <font>
      <b/>
      <i/>
      <sz val="13"/>
      <color rgb="FF008000"/>
      <name val="Century Gothic"/>
      <family val="2"/>
    </font>
    <font>
      <b/>
      <sz val="13"/>
      <color rgb="FF0000FF"/>
      <name val="Century Gothic"/>
      <family val="2"/>
    </font>
    <font>
      <b/>
      <sz val="13"/>
      <name val="Century Gothic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455560"/>
      </patternFill>
    </fill>
    <fill>
      <patternFill patternType="solid">
        <fgColor rgb="FFF47B2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0000"/>
      </patternFill>
    </fill>
    <fill>
      <patternFill patternType="mediumGray"/>
    </fill>
    <fill>
      <patternFill patternType="solid">
        <fgColor theme="0" tint="-0.499984740745262"/>
        <bgColor indexed="65"/>
      </patternFill>
    </fill>
    <fill>
      <patternFill patternType="solid">
        <fgColor rgb="FF0B3D51"/>
      </patternFill>
    </fill>
    <fill>
      <patternFill patternType="solid">
        <fgColor rgb="FFD6E0EC"/>
      </patternFill>
    </fill>
    <fill>
      <patternFill patternType="solid">
        <fgColor rgb="FFD8EAD8"/>
      </patternFill>
    </fill>
    <fill>
      <patternFill patternType="solid">
        <fgColor rgb="FFF2F8EE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417E"/>
      </bottom>
      <diagonal/>
    </border>
    <border>
      <left/>
      <right style="thin">
        <color rgb="FF80808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 style="mediumDashed">
        <color rgb="FF000000"/>
      </bottom>
      <diagonal/>
    </border>
    <border>
      <left/>
      <right/>
      <top style="mediumDashed">
        <color rgb="FF000000"/>
      </top>
      <bottom style="mediumDashed">
        <color rgb="FF000000"/>
      </bottom>
      <diagonal/>
    </border>
    <border>
      <left/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/>
      <top/>
      <bottom style="dashed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/>
      <diagonal/>
    </border>
    <border>
      <left/>
      <right style="mediumDashed">
        <color rgb="FF000000"/>
      </right>
      <top style="mediumDashed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Dashed">
        <color rgb="FF000000"/>
      </left>
      <right/>
      <top/>
      <bottom style="double">
        <color rgb="FF000000"/>
      </bottom>
      <diagonal/>
    </border>
    <border>
      <left/>
      <right style="mediumDashed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Dashed">
        <color rgb="FF000000"/>
      </left>
      <right/>
      <top/>
      <bottom/>
      <diagonal/>
    </border>
    <border>
      <left/>
      <right style="mediumDashed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Dashed">
        <color rgb="FF000000"/>
      </left>
      <right/>
      <top style="thin">
        <color rgb="FF000000"/>
      </top>
      <bottom/>
      <diagonal/>
    </border>
    <border>
      <left/>
      <right style="mediumDashed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Dashed">
        <color rgb="FF000000"/>
      </left>
      <right/>
      <top/>
      <bottom style="mediumDashed">
        <color rgb="FF000000"/>
      </bottom>
      <diagonal/>
    </border>
    <border>
      <left/>
      <right style="mediumDashed">
        <color rgb="FF000000"/>
      </right>
      <top/>
      <bottom style="mediumDashed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mediumDashed">
        <color rgb="FF000000"/>
      </left>
      <right/>
      <top style="thin">
        <color rgb="FF000000"/>
      </top>
      <bottom style="mediumDashed">
        <color rgb="FF000000"/>
      </bottom>
      <diagonal/>
    </border>
    <border>
      <left/>
      <right style="mediumDashed">
        <color rgb="FF000000"/>
      </right>
      <top style="thin">
        <color rgb="FF000000"/>
      </top>
      <bottom style="mediumDashed">
        <color rgb="FF000000"/>
      </bottom>
      <diagonal/>
    </border>
    <border>
      <left/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44">
    <xf numFmtId="0" fontId="0" fillId="0" borderId="0"/>
    <xf numFmtId="164" fontId="1" fillId="0" borderId="0">
      <alignment horizontal="right"/>
    </xf>
    <xf numFmtId="165" fontId="2" fillId="0" borderId="0">
      <alignment horizontal="right" indent="1"/>
    </xf>
    <xf numFmtId="43" fontId="2" fillId="0" borderId="0" applyFont="0" applyFill="0" applyBorder="0" applyAlignment="0" applyProtection="0"/>
    <xf numFmtId="14" fontId="1" fillId="0" borderId="0">
      <alignment horizontal="right"/>
    </xf>
    <xf numFmtId="41" fontId="1" fillId="0" borderId="0">
      <alignment horizontal="right" indent="1"/>
    </xf>
    <xf numFmtId="41" fontId="3" fillId="2" borderId="0">
      <alignment horizontal="right" indent="1"/>
    </xf>
    <xf numFmtId="0" fontId="4" fillId="3" borderId="0"/>
    <xf numFmtId="0" fontId="5" fillId="4" borderId="0"/>
    <xf numFmtId="0" fontId="6" fillId="5" borderId="0"/>
    <xf numFmtId="0" fontId="7" fillId="0" borderId="0" applyNumberFormat="0" applyFill="0" applyBorder="0" applyAlignment="0" applyProtection="0">
      <alignment vertical="top"/>
      <protection locked="0"/>
    </xf>
    <xf numFmtId="10" fontId="3" fillId="6" borderId="1">
      <alignment horizontal="right"/>
    </xf>
    <xf numFmtId="14" fontId="3" fillId="6" borderId="1">
      <alignment horizontal="right"/>
    </xf>
    <xf numFmtId="41" fontId="3" fillId="6" borderId="1">
      <alignment horizontal="right" indent="1"/>
    </xf>
    <xf numFmtId="41" fontId="3" fillId="6" borderId="1" applyNumberFormat="0"/>
    <xf numFmtId="166" fontId="1" fillId="0" borderId="0">
      <alignment horizontal="right"/>
    </xf>
    <xf numFmtId="0" fontId="8" fillId="0" borderId="0"/>
    <xf numFmtId="0" fontId="9" fillId="0" borderId="0"/>
    <xf numFmtId="0" fontId="10" fillId="0" borderId="0"/>
    <xf numFmtId="0" fontId="2" fillId="0" borderId="0"/>
    <xf numFmtId="0" fontId="11" fillId="0" borderId="0"/>
    <xf numFmtId="0" fontId="11" fillId="0" borderId="0">
      <alignment vertical="center"/>
    </xf>
    <xf numFmtId="0" fontId="8" fillId="0" borderId="0">
      <alignment vertical="center"/>
    </xf>
    <xf numFmtId="41" fontId="2" fillId="0" borderId="0"/>
    <xf numFmtId="0" fontId="12" fillId="0" borderId="0"/>
    <xf numFmtId="41" fontId="13" fillId="0" borderId="0">
      <alignment horizontal="right" indent="1"/>
    </xf>
    <xf numFmtId="41" fontId="13" fillId="7" borderId="1">
      <alignment horizontal="right" indent="1"/>
    </xf>
    <xf numFmtId="10" fontId="13" fillId="7" borderId="1">
      <alignment horizontal="right"/>
    </xf>
    <xf numFmtId="14" fontId="13" fillId="7" borderId="1">
      <alignment horizontal="right"/>
    </xf>
    <xf numFmtId="167" fontId="2" fillId="0" borderId="0"/>
    <xf numFmtId="9" fontId="44" fillId="0" borderId="0" applyFont="0" applyFill="0" applyBorder="0" applyAlignment="0" applyProtection="0"/>
    <xf numFmtId="9" fontId="1" fillId="0" borderId="0" applyFill="0" applyBorder="0" applyAlignment="0" applyProtection="0"/>
    <xf numFmtId="168" fontId="2" fillId="0" borderId="0">
      <alignment horizontal="left" indent="1"/>
    </xf>
    <xf numFmtId="41" fontId="3" fillId="8" borderId="1">
      <alignment horizontal="right" indent="1"/>
    </xf>
    <xf numFmtId="10" fontId="3" fillId="8" borderId="1">
      <alignment horizontal="right"/>
    </xf>
    <xf numFmtId="0" fontId="14" fillId="0" borderId="0" applyNumberFormat="0" applyFill="0" applyBorder="0" applyAlignment="0" applyProtection="0"/>
    <xf numFmtId="0" fontId="15" fillId="9" borderId="0" applyNumberFormat="0" applyBorder="0" applyAlignment="0" applyProtection="0"/>
    <xf numFmtId="0" fontId="6" fillId="0" borderId="2"/>
    <xf numFmtId="41" fontId="16" fillId="7" borderId="1">
      <alignment horizontal="right" vertical="center" indent="1"/>
    </xf>
    <xf numFmtId="0" fontId="2" fillId="10" borderId="1" applyNumberFormat="0"/>
    <xf numFmtId="169" fontId="2" fillId="0" borderId="0"/>
    <xf numFmtId="0" fontId="44" fillId="0" borderId="0"/>
    <xf numFmtId="0" fontId="44" fillId="0" borderId="0"/>
    <xf numFmtId="0" fontId="44" fillId="0" borderId="0"/>
  </cellStyleXfs>
  <cellXfs count="201">
    <xf numFmtId="0" fontId="0" fillId="0" borderId="0" xfId="0"/>
    <xf numFmtId="0" fontId="17" fillId="11" borderId="0" xfId="20" applyFont="1" applyFill="1" applyAlignment="1">
      <alignment vertical="center"/>
    </xf>
    <xf numFmtId="0" fontId="18" fillId="11" borderId="0" xfId="20" applyFont="1" applyFill="1" applyAlignment="1">
      <alignment vertical="center"/>
    </xf>
    <xf numFmtId="0" fontId="19" fillId="0" borderId="3" xfId="20" applyFont="1" applyBorder="1"/>
    <xf numFmtId="0" fontId="22" fillId="0" borderId="0" xfId="20" applyFont="1" applyAlignment="1">
      <alignment horizontal="left"/>
    </xf>
    <xf numFmtId="0" fontId="22" fillId="0" borderId="0" xfId="20" applyFont="1"/>
    <xf numFmtId="0" fontId="19" fillId="0" borderId="0" xfId="20" applyFont="1" applyAlignment="1">
      <alignment horizontal="left"/>
    </xf>
    <xf numFmtId="0" fontId="11" fillId="0" borderId="0" xfId="20"/>
    <xf numFmtId="0" fontId="23" fillId="0" borderId="0" xfId="20" applyFont="1"/>
    <xf numFmtId="0" fontId="24" fillId="0" borderId="0" xfId="21" applyFont="1">
      <alignment vertical="center"/>
    </xf>
    <xf numFmtId="0" fontId="19" fillId="0" borderId="0" xfId="21" applyFont="1">
      <alignment vertical="center"/>
    </xf>
    <xf numFmtId="0" fontId="25" fillId="0" borderId="0" xfId="21" applyFont="1" applyAlignment="1">
      <alignment horizontal="right" vertical="center"/>
    </xf>
    <xf numFmtId="0" fontId="19" fillId="0" borderId="0" xfId="20" applyFont="1" applyAlignment="1">
      <alignment horizontal="right"/>
    </xf>
    <xf numFmtId="0" fontId="25" fillId="0" borderId="0" xfId="21" applyFont="1">
      <alignment vertical="center"/>
    </xf>
    <xf numFmtId="0" fontId="26" fillId="0" borderId="0" xfId="10" applyFont="1" applyAlignment="1" applyProtection="1">
      <alignment vertical="center"/>
    </xf>
    <xf numFmtId="0" fontId="25" fillId="0" borderId="0" xfId="21" applyFont="1" applyAlignment="1">
      <alignment horizontal="left" vertical="center"/>
    </xf>
    <xf numFmtId="0" fontId="19" fillId="0" borderId="0" xfId="20" applyFont="1"/>
    <xf numFmtId="0" fontId="27" fillId="0" borderId="4" xfId="41" applyFont="1" applyBorder="1" applyAlignment="1">
      <alignment vertical="center"/>
    </xf>
    <xf numFmtId="0" fontId="21" fillId="0" borderId="4" xfId="41" applyFont="1" applyBorder="1" applyAlignment="1">
      <alignment vertical="center"/>
    </xf>
    <xf numFmtId="0" fontId="28" fillId="0" borderId="0" xfId="41" applyFont="1" applyAlignment="1">
      <alignment horizontal="left" vertical="center" indent="1"/>
    </xf>
    <xf numFmtId="0" fontId="29" fillId="0" borderId="0" xfId="41" applyFont="1" applyAlignment="1">
      <alignment horizontal="right" vertical="center"/>
    </xf>
    <xf numFmtId="0" fontId="29" fillId="0" borderId="0" xfId="41" applyFont="1" applyAlignment="1">
      <alignment vertical="center"/>
    </xf>
    <xf numFmtId="0" fontId="21" fillId="0" borderId="0" xfId="41" applyFont="1" applyAlignment="1">
      <alignment horizontal="center" vertical="center"/>
    </xf>
    <xf numFmtId="0" fontId="30" fillId="12" borderId="0" xfId="41" applyFont="1" applyFill="1" applyAlignment="1">
      <alignment vertical="center"/>
    </xf>
    <xf numFmtId="171" fontId="31" fillId="13" borderId="4" xfId="41" applyNumberFormat="1" applyFont="1" applyFill="1" applyBorder="1" applyAlignment="1">
      <alignment vertical="center"/>
    </xf>
    <xf numFmtId="14" fontId="21" fillId="0" borderId="0" xfId="41" applyNumberFormat="1" applyFont="1" applyAlignment="1">
      <alignment vertical="center"/>
    </xf>
    <xf numFmtId="0" fontId="21" fillId="0" borderId="0" xfId="41" quotePrefix="1" applyFont="1" applyAlignment="1">
      <alignment horizontal="center" vertical="center" wrapText="1"/>
    </xf>
    <xf numFmtId="0" fontId="21" fillId="0" borderId="5" xfId="41" applyFont="1" applyBorder="1" applyAlignment="1">
      <alignment vertical="center"/>
    </xf>
    <xf numFmtId="172" fontId="21" fillId="0" borderId="5" xfId="41" applyNumberFormat="1" applyFont="1" applyBorder="1" applyAlignment="1">
      <alignment vertical="center"/>
    </xf>
    <xf numFmtId="0" fontId="21" fillId="0" borderId="0" xfId="41" applyFont="1" applyAlignment="1">
      <alignment vertical="center"/>
    </xf>
    <xf numFmtId="173" fontId="32" fillId="0" borderId="0" xfId="41" applyNumberFormat="1" applyFont="1" applyAlignment="1">
      <alignment vertical="center"/>
    </xf>
    <xf numFmtId="174" fontId="29" fillId="0" borderId="0" xfId="41" applyNumberFormat="1" applyFont="1" applyAlignment="1">
      <alignment horizontal="center" vertical="center"/>
    </xf>
    <xf numFmtId="175" fontId="32" fillId="0" borderId="0" xfId="41" applyNumberFormat="1" applyFont="1" applyAlignment="1">
      <alignment vertical="center"/>
    </xf>
    <xf numFmtId="0" fontId="31" fillId="0" borderId="6" xfId="41" applyFont="1" applyBorder="1" applyAlignment="1">
      <alignment vertical="center"/>
    </xf>
    <xf numFmtId="0" fontId="21" fillId="0" borderId="6" xfId="41" applyFont="1" applyBorder="1" applyAlignment="1">
      <alignment vertical="center"/>
    </xf>
    <xf numFmtId="173" fontId="31" fillId="0" borderId="6" xfId="41" applyNumberFormat="1" applyFont="1" applyBorder="1" applyAlignment="1">
      <alignment vertical="center"/>
    </xf>
    <xf numFmtId="174" fontId="28" fillId="0" borderId="6" xfId="41" applyNumberFormat="1" applyFont="1" applyBorder="1" applyAlignment="1">
      <alignment horizontal="center" vertical="center"/>
    </xf>
    <xf numFmtId="176" fontId="21" fillId="0" borderId="0" xfId="41" applyNumberFormat="1" applyFont="1" applyAlignment="1">
      <alignment vertical="center"/>
    </xf>
    <xf numFmtId="0" fontId="29" fillId="0" borderId="0" xfId="41" applyFont="1" applyAlignment="1">
      <alignment horizontal="left" vertical="center" indent="1"/>
    </xf>
    <xf numFmtId="174" fontId="29" fillId="0" borderId="0" xfId="41" applyNumberFormat="1" applyFont="1" applyAlignment="1">
      <alignment vertical="center"/>
    </xf>
    <xf numFmtId="0" fontId="33" fillId="0" borderId="0" xfId="41" applyFont="1" applyAlignment="1">
      <alignment horizontal="left" vertical="center"/>
    </xf>
    <xf numFmtId="173" fontId="31" fillId="0" borderId="0" xfId="41" applyNumberFormat="1" applyFont="1" applyAlignment="1">
      <alignment vertical="center"/>
    </xf>
    <xf numFmtId="0" fontId="31" fillId="14" borderId="6" xfId="41" applyFont="1" applyFill="1" applyBorder="1" applyAlignment="1">
      <alignment vertical="center"/>
    </xf>
    <xf numFmtId="0" fontId="21" fillId="14" borderId="6" xfId="41" applyFont="1" applyFill="1" applyBorder="1" applyAlignment="1">
      <alignment vertical="center"/>
    </xf>
    <xf numFmtId="173" fontId="31" fillId="14" borderId="6" xfId="41" applyNumberFormat="1" applyFont="1" applyFill="1" applyBorder="1" applyAlignment="1">
      <alignment vertical="center"/>
    </xf>
    <xf numFmtId="174" fontId="28" fillId="14" borderId="6" xfId="41" applyNumberFormat="1" applyFont="1" applyFill="1" applyBorder="1" applyAlignment="1">
      <alignment horizontal="center" vertical="center"/>
    </xf>
    <xf numFmtId="173" fontId="21" fillId="0" borderId="0" xfId="41" applyNumberFormat="1" applyFont="1" applyAlignment="1">
      <alignment vertical="center"/>
    </xf>
    <xf numFmtId="0" fontId="31" fillId="0" borderId="7" xfId="41" applyFont="1" applyBorder="1" applyAlignment="1">
      <alignment vertical="center"/>
    </xf>
    <xf numFmtId="0" fontId="21" fillId="0" borderId="7" xfId="41" applyFont="1" applyBorder="1" applyAlignment="1">
      <alignment vertical="center"/>
    </xf>
    <xf numFmtId="0" fontId="31" fillId="0" borderId="0" xfId="41" applyFont="1" applyAlignment="1">
      <alignment vertical="center"/>
    </xf>
    <xf numFmtId="173" fontId="33" fillId="0" borderId="0" xfId="41" applyNumberFormat="1" applyFont="1" applyAlignment="1">
      <alignment vertical="center"/>
    </xf>
    <xf numFmtId="7" fontId="21" fillId="0" borderId="0" xfId="41" applyNumberFormat="1" applyFont="1" applyAlignment="1">
      <alignment vertical="center"/>
    </xf>
    <xf numFmtId="0" fontId="34" fillId="0" borderId="0" xfId="41" applyFont="1" applyAlignment="1">
      <alignment vertical="center"/>
    </xf>
    <xf numFmtId="175" fontId="21" fillId="0" borderId="0" xfId="41" applyNumberFormat="1" applyFont="1" applyAlignment="1">
      <alignment vertical="center"/>
    </xf>
    <xf numFmtId="0" fontId="31" fillId="7" borderId="8" xfId="41" applyFont="1" applyFill="1" applyBorder="1" applyAlignment="1">
      <alignment vertical="center"/>
    </xf>
    <xf numFmtId="0" fontId="21" fillId="7" borderId="9" xfId="41" applyFont="1" applyFill="1" applyBorder="1" applyAlignment="1">
      <alignment vertical="center"/>
    </xf>
    <xf numFmtId="173" fontId="31" fillId="7" borderId="9" xfId="41" applyNumberFormat="1" applyFont="1" applyFill="1" applyBorder="1" applyAlignment="1">
      <alignment vertical="center"/>
    </xf>
    <xf numFmtId="0" fontId="21" fillId="7" borderId="10" xfId="41" applyFont="1" applyFill="1" applyBorder="1" applyAlignment="1">
      <alignment vertical="center"/>
    </xf>
    <xf numFmtId="0" fontId="35" fillId="7" borderId="11" xfId="41" applyFont="1" applyFill="1" applyBorder="1" applyAlignment="1">
      <alignment horizontal="left" vertical="center" indent="1"/>
    </xf>
    <xf numFmtId="0" fontId="21" fillId="7" borderId="7" xfId="41" applyFont="1" applyFill="1" applyBorder="1" applyAlignment="1">
      <alignment vertical="center"/>
    </xf>
    <xf numFmtId="173" fontId="36" fillId="7" borderId="7" xfId="41" applyNumberFormat="1" applyFont="1" applyFill="1" applyBorder="1" applyAlignment="1">
      <alignment vertical="center"/>
    </xf>
    <xf numFmtId="173" fontId="29" fillId="7" borderId="7" xfId="41" applyNumberFormat="1" applyFont="1" applyFill="1" applyBorder="1" applyAlignment="1">
      <alignment vertical="center"/>
    </xf>
    <xf numFmtId="0" fontId="21" fillId="7" borderId="12" xfId="41" applyFont="1" applyFill="1" applyBorder="1" applyAlignment="1">
      <alignment vertical="center"/>
    </xf>
    <xf numFmtId="172" fontId="21" fillId="0" borderId="0" xfId="41" applyNumberFormat="1" applyFont="1" applyAlignment="1">
      <alignment vertical="center"/>
    </xf>
    <xf numFmtId="173" fontId="21" fillId="0" borderId="6" xfId="41" applyNumberFormat="1" applyFont="1" applyBorder="1" applyAlignment="1">
      <alignment vertical="center"/>
    </xf>
    <xf numFmtId="0" fontId="28" fillId="7" borderId="13" xfId="41" applyFont="1" applyFill="1" applyBorder="1" applyAlignment="1">
      <alignment vertical="center"/>
    </xf>
    <xf numFmtId="0" fontId="21" fillId="7" borderId="14" xfId="41" applyFont="1" applyFill="1" applyBorder="1" applyAlignment="1">
      <alignment vertical="center"/>
    </xf>
    <xf numFmtId="173" fontId="28" fillId="7" borderId="14" xfId="41" applyNumberFormat="1" applyFont="1" applyFill="1" applyBorder="1" applyAlignment="1">
      <alignment vertical="center"/>
    </xf>
    <xf numFmtId="0" fontId="21" fillId="7" borderId="15" xfId="41" applyFont="1" applyFill="1" applyBorder="1" applyAlignment="1">
      <alignment vertical="center"/>
    </xf>
    <xf numFmtId="0" fontId="37" fillId="0" borderId="0" xfId="24" applyFont="1" applyAlignment="1">
      <alignment vertical="center"/>
    </xf>
    <xf numFmtId="0" fontId="12" fillId="0" borderId="0" xfId="24"/>
    <xf numFmtId="175" fontId="38" fillId="15" borderId="16" xfId="41" applyNumberFormat="1" applyFont="1" applyFill="1" applyBorder="1" applyAlignment="1">
      <alignment horizontal="center" vertical="center"/>
    </xf>
    <xf numFmtId="0" fontId="39" fillId="0" borderId="17" xfId="24" applyFont="1" applyBorder="1" applyAlignment="1">
      <alignment horizontal="center" vertical="center"/>
    </xf>
    <xf numFmtId="177" fontId="21" fillId="0" borderId="5" xfId="41" applyNumberFormat="1" applyFont="1" applyBorder="1" applyAlignment="1">
      <alignment vertical="center"/>
    </xf>
    <xf numFmtId="173" fontId="40" fillId="0" borderId="0" xfId="41" applyNumberFormat="1" applyFont="1" applyAlignment="1">
      <alignment vertical="center"/>
    </xf>
    <xf numFmtId="0" fontId="21" fillId="0" borderId="0" xfId="41" applyFont="1" applyAlignment="1">
      <alignment horizontal="left" vertical="center" indent="1"/>
    </xf>
    <xf numFmtId="174" fontId="21" fillId="0" borderId="0" xfId="41" applyNumberFormat="1" applyFont="1" applyAlignment="1">
      <alignment vertical="center"/>
    </xf>
    <xf numFmtId="0" fontId="31" fillId="7" borderId="18" xfId="41" applyFont="1" applyFill="1" applyBorder="1" applyAlignment="1">
      <alignment vertical="center"/>
    </xf>
    <xf numFmtId="0" fontId="21" fillId="7" borderId="19" xfId="41" applyFont="1" applyFill="1" applyBorder="1" applyAlignment="1">
      <alignment vertical="center"/>
    </xf>
    <xf numFmtId="174" fontId="21" fillId="7" borderId="19" xfId="41" applyNumberFormat="1" applyFont="1" applyFill="1" applyBorder="1" applyAlignment="1">
      <alignment horizontal="center" vertical="center"/>
    </xf>
    <xf numFmtId="174" fontId="31" fillId="7" borderId="19" xfId="41" applyNumberFormat="1" applyFont="1" applyFill="1" applyBorder="1" applyAlignment="1">
      <alignment horizontal="center" vertical="center"/>
    </xf>
    <xf numFmtId="174" fontId="31" fillId="7" borderId="19" xfId="41" applyNumberFormat="1" applyFont="1" applyFill="1" applyBorder="1" applyAlignment="1">
      <alignment horizontal="right" vertical="center"/>
    </xf>
    <xf numFmtId="174" fontId="31" fillId="7" borderId="20" xfId="41" applyNumberFormat="1" applyFont="1" applyFill="1" applyBorder="1" applyAlignment="1">
      <alignment horizontal="right" vertical="center"/>
    </xf>
    <xf numFmtId="0" fontId="21" fillId="0" borderId="0" xfId="41" applyFont="1" applyAlignment="1">
      <alignment horizontal="right" vertical="center"/>
    </xf>
    <xf numFmtId="174" fontId="32" fillId="15" borderId="16" xfId="41" applyNumberFormat="1" applyFont="1" applyFill="1" applyBorder="1" applyAlignment="1">
      <alignment horizontal="right" vertical="center"/>
    </xf>
    <xf numFmtId="0" fontId="21" fillId="7" borderId="8" xfId="41" applyFont="1" applyFill="1" applyBorder="1" applyAlignment="1">
      <alignment vertical="center"/>
    </xf>
    <xf numFmtId="173" fontId="21" fillId="7" borderId="9" xfId="41" applyNumberFormat="1" applyFont="1" applyFill="1" applyBorder="1" applyAlignment="1">
      <alignment vertical="center"/>
    </xf>
    <xf numFmtId="173" fontId="21" fillId="7" borderId="10" xfId="41" applyNumberFormat="1" applyFont="1" applyFill="1" applyBorder="1" applyAlignment="1">
      <alignment vertical="center"/>
    </xf>
    <xf numFmtId="0" fontId="21" fillId="7" borderId="11" xfId="41" applyFont="1" applyFill="1" applyBorder="1" applyAlignment="1">
      <alignment vertical="center"/>
    </xf>
    <xf numFmtId="173" fontId="21" fillId="7" borderId="7" xfId="41" applyNumberFormat="1" applyFont="1" applyFill="1" applyBorder="1" applyAlignment="1">
      <alignment vertical="center"/>
    </xf>
    <xf numFmtId="173" fontId="21" fillId="7" borderId="12" xfId="41" applyNumberFormat="1" applyFont="1" applyFill="1" applyBorder="1" applyAlignment="1">
      <alignment vertical="center"/>
    </xf>
    <xf numFmtId="175" fontId="40" fillId="0" borderId="0" xfId="41" applyNumberFormat="1" applyFont="1" applyAlignment="1">
      <alignment vertical="center"/>
    </xf>
    <xf numFmtId="175" fontId="33" fillId="0" borderId="0" xfId="41" applyNumberFormat="1" applyFont="1" applyAlignment="1">
      <alignment vertical="center"/>
    </xf>
    <xf numFmtId="173" fontId="31" fillId="7" borderId="10" xfId="41" applyNumberFormat="1" applyFont="1" applyFill="1" applyBorder="1" applyAlignment="1">
      <alignment vertical="center"/>
    </xf>
    <xf numFmtId="173" fontId="41" fillId="7" borderId="7" xfId="41" applyNumberFormat="1" applyFont="1" applyFill="1" applyBorder="1" applyAlignment="1">
      <alignment vertical="center"/>
    </xf>
    <xf numFmtId="173" fontId="28" fillId="7" borderId="7" xfId="41" applyNumberFormat="1" applyFont="1" applyFill="1" applyBorder="1" applyAlignment="1">
      <alignment vertical="center"/>
    </xf>
    <xf numFmtId="173" fontId="28" fillId="7" borderId="12" xfId="41" applyNumberFormat="1" applyFont="1" applyFill="1" applyBorder="1" applyAlignment="1">
      <alignment vertical="center"/>
    </xf>
    <xf numFmtId="0" fontId="21" fillId="0" borderId="21" xfId="41" applyFont="1" applyBorder="1" applyAlignment="1">
      <alignment vertical="center"/>
    </xf>
    <xf numFmtId="175" fontId="32" fillId="15" borderId="16" xfId="41" applyNumberFormat="1" applyFont="1" applyFill="1" applyBorder="1" applyAlignment="1">
      <alignment horizontal="right" vertical="center"/>
    </xf>
    <xf numFmtId="175" fontId="42" fillId="15" borderId="16" xfId="41" applyNumberFormat="1" applyFont="1" applyFill="1" applyBorder="1" applyAlignment="1">
      <alignment horizontal="center" vertical="center"/>
    </xf>
    <xf numFmtId="0" fontId="21" fillId="0" borderId="0" xfId="41" applyFont="1" applyAlignment="1">
      <alignment horizontal="left" vertical="center"/>
    </xf>
    <xf numFmtId="174" fontId="32" fillId="15" borderId="16" xfId="41" applyNumberFormat="1" applyFont="1" applyFill="1" applyBorder="1" applyAlignment="1">
      <alignment horizontal="center" vertical="center"/>
    </xf>
    <xf numFmtId="178" fontId="32" fillId="15" borderId="16" xfId="41" applyNumberFormat="1" applyFont="1" applyFill="1" applyBorder="1" applyAlignment="1">
      <alignment horizontal="center" vertical="center"/>
    </xf>
    <xf numFmtId="14" fontId="32" fillId="15" borderId="16" xfId="41" applyNumberFormat="1" applyFont="1" applyFill="1" applyBorder="1" applyAlignment="1">
      <alignment horizontal="center" vertical="center"/>
    </xf>
    <xf numFmtId="179" fontId="32" fillId="15" borderId="16" xfId="41" applyNumberFormat="1" applyFont="1" applyFill="1" applyBorder="1" applyAlignment="1">
      <alignment horizontal="center" vertical="center"/>
    </xf>
    <xf numFmtId="173" fontId="40" fillId="0" borderId="16" xfId="41" applyNumberFormat="1" applyFont="1" applyBorder="1" applyAlignment="1">
      <alignment horizontal="center" vertical="center"/>
    </xf>
    <xf numFmtId="173" fontId="21" fillId="0" borderId="0" xfId="41" applyNumberFormat="1" applyFont="1" applyAlignment="1">
      <alignment horizontal="center" vertical="center"/>
    </xf>
    <xf numFmtId="178" fontId="32" fillId="15" borderId="22" xfId="41" applyNumberFormat="1" applyFont="1" applyFill="1" applyBorder="1" applyAlignment="1">
      <alignment horizontal="center" vertical="center"/>
    </xf>
    <xf numFmtId="0" fontId="33" fillId="0" borderId="0" xfId="41" applyFont="1" applyAlignment="1">
      <alignment horizontal="left" vertical="center" indent="1"/>
    </xf>
    <xf numFmtId="175" fontId="33" fillId="0" borderId="16" xfId="41" applyNumberFormat="1" applyFont="1" applyBorder="1" applyAlignment="1">
      <alignment horizontal="center" vertical="center"/>
    </xf>
    <xf numFmtId="175" fontId="21" fillId="0" borderId="0" xfId="41" applyNumberFormat="1" applyFont="1" applyAlignment="1">
      <alignment horizontal="center" vertical="center"/>
    </xf>
    <xf numFmtId="0" fontId="31" fillId="0" borderId="6" xfId="41" applyFont="1" applyBorder="1" applyAlignment="1">
      <alignment horizontal="left" vertical="center" indent="1"/>
    </xf>
    <xf numFmtId="173" fontId="31" fillId="0" borderId="6" xfId="41" applyNumberFormat="1" applyFont="1" applyBorder="1" applyAlignment="1">
      <alignment horizontal="center" vertical="center"/>
    </xf>
    <xf numFmtId="175" fontId="40" fillId="0" borderId="16" xfId="41" applyNumberFormat="1" applyFont="1" applyBorder="1" applyAlignment="1">
      <alignment horizontal="center" vertical="center"/>
    </xf>
    <xf numFmtId="0" fontId="43" fillId="0" borderId="6" xfId="41" applyFont="1" applyBorder="1" applyAlignment="1">
      <alignment horizontal="left" vertical="center" indent="1"/>
    </xf>
    <xf numFmtId="173" fontId="31" fillId="0" borderId="0" xfId="41" applyNumberFormat="1" applyFont="1" applyAlignment="1">
      <alignment horizontal="center" vertical="center"/>
    </xf>
    <xf numFmtId="180" fontId="32" fillId="15" borderId="16" xfId="23" applyNumberFormat="1" applyFont="1" applyFill="1" applyBorder="1" applyAlignment="1">
      <alignment horizontal="center" vertical="center"/>
    </xf>
    <xf numFmtId="0" fontId="31" fillId="0" borderId="0" xfId="41" applyFont="1" applyAlignment="1">
      <alignment horizontal="left" vertical="center" wrapText="1"/>
    </xf>
    <xf numFmtId="0" fontId="31" fillId="0" borderId="4" xfId="41" applyFont="1" applyBorder="1" applyAlignment="1">
      <alignment horizontal="left" vertical="center" wrapText="1"/>
    </xf>
    <xf numFmtId="0" fontId="31" fillId="0" borderId="0" xfId="41" applyFont="1" applyAlignment="1">
      <alignment horizontal="center" vertical="center" wrapText="1"/>
    </xf>
    <xf numFmtId="178" fontId="21" fillId="0" borderId="0" xfId="41" applyNumberFormat="1" applyFont="1" applyAlignment="1">
      <alignment vertical="center"/>
    </xf>
    <xf numFmtId="174" fontId="31" fillId="14" borderId="6" xfId="41" applyNumberFormat="1" applyFont="1" applyFill="1" applyBorder="1" applyAlignment="1">
      <alignment vertical="center"/>
    </xf>
    <xf numFmtId="178" fontId="31" fillId="14" borderId="6" xfId="41" applyNumberFormat="1" applyFont="1" applyFill="1" applyBorder="1" applyAlignment="1">
      <alignment vertical="center"/>
    </xf>
    <xf numFmtId="0" fontId="21" fillId="0" borderId="0" xfId="41" applyFont="1" applyAlignment="1">
      <alignment horizontal="center" vertical="center" wrapText="1"/>
    </xf>
    <xf numFmtId="173" fontId="33" fillId="0" borderId="22" xfId="41" applyNumberFormat="1" applyFont="1" applyBorder="1" applyAlignment="1">
      <alignment horizontal="center" vertical="center"/>
    </xf>
    <xf numFmtId="181" fontId="32" fillId="15" borderId="16" xfId="41" applyNumberFormat="1" applyFont="1" applyFill="1" applyBorder="1" applyAlignment="1">
      <alignment horizontal="center" vertical="center"/>
    </xf>
    <xf numFmtId="182" fontId="32" fillId="15" borderId="16" xfId="16" applyNumberFormat="1" applyFont="1" applyFill="1" applyBorder="1" applyAlignment="1">
      <alignment horizontal="center" vertical="center"/>
    </xf>
    <xf numFmtId="14" fontId="21" fillId="0" borderId="16" xfId="41" applyNumberFormat="1" applyFont="1" applyBorder="1" applyAlignment="1">
      <alignment horizontal="center" vertical="center"/>
    </xf>
    <xf numFmtId="14" fontId="21" fillId="0" borderId="0" xfId="41" applyNumberFormat="1" applyFont="1" applyAlignment="1">
      <alignment horizontal="center" vertical="center"/>
    </xf>
    <xf numFmtId="178" fontId="33" fillId="0" borderId="22" xfId="41" applyNumberFormat="1" applyFont="1" applyBorder="1" applyAlignment="1">
      <alignment horizontal="center" vertical="center"/>
    </xf>
    <xf numFmtId="181" fontId="32" fillId="15" borderId="22" xfId="41" applyNumberFormat="1" applyFont="1" applyFill="1" applyBorder="1" applyAlignment="1">
      <alignment horizontal="center" vertical="center"/>
    </xf>
    <xf numFmtId="182" fontId="32" fillId="15" borderId="22" xfId="16" applyNumberFormat="1" applyFont="1" applyFill="1" applyBorder="1" applyAlignment="1">
      <alignment horizontal="center" vertical="center"/>
    </xf>
    <xf numFmtId="174" fontId="32" fillId="15" borderId="22" xfId="41" applyNumberFormat="1" applyFont="1" applyFill="1" applyBorder="1" applyAlignment="1">
      <alignment horizontal="center" vertical="center"/>
    </xf>
    <xf numFmtId="14" fontId="21" fillId="0" borderId="22" xfId="41" applyNumberFormat="1" applyFont="1" applyBorder="1" applyAlignment="1">
      <alignment horizontal="center" vertical="center"/>
    </xf>
    <xf numFmtId="180" fontId="32" fillId="15" borderId="22" xfId="23" applyNumberFormat="1" applyFont="1" applyFill="1" applyBorder="1" applyAlignment="1">
      <alignment horizontal="center" vertical="center"/>
    </xf>
    <xf numFmtId="178" fontId="31" fillId="0" borderId="6" xfId="41" applyNumberFormat="1" applyFont="1" applyBorder="1" applyAlignment="1">
      <alignment horizontal="center" vertical="center"/>
    </xf>
    <xf numFmtId="173" fontId="32" fillId="15" borderId="16" xfId="41" applyNumberFormat="1" applyFont="1" applyFill="1" applyBorder="1" applyAlignment="1">
      <alignment horizontal="center" vertical="center"/>
    </xf>
    <xf numFmtId="14" fontId="21" fillId="0" borderId="27" xfId="41" applyNumberFormat="1" applyFont="1" applyBorder="1" applyAlignment="1">
      <alignment vertical="center"/>
    </xf>
    <xf numFmtId="172" fontId="21" fillId="0" borderId="30" xfId="41" applyNumberFormat="1" applyFont="1" applyBorder="1" applyAlignment="1">
      <alignment vertical="center"/>
    </xf>
    <xf numFmtId="0" fontId="21" fillId="7" borderId="31" xfId="41" applyFont="1" applyFill="1" applyBorder="1" applyAlignment="1">
      <alignment vertical="center"/>
    </xf>
    <xf numFmtId="0" fontId="21" fillId="7" borderId="32" xfId="41" applyFont="1" applyFill="1" applyBorder="1" applyAlignment="1">
      <alignment vertical="center"/>
    </xf>
    <xf numFmtId="0" fontId="21" fillId="0" borderId="27" xfId="41" applyFont="1" applyBorder="1" applyAlignment="1">
      <alignment vertical="center"/>
    </xf>
    <xf numFmtId="173" fontId="21" fillId="7" borderId="31" xfId="41" applyNumberFormat="1" applyFont="1" applyFill="1" applyBorder="1" applyAlignment="1">
      <alignment horizontal="center" vertical="center"/>
    </xf>
    <xf numFmtId="174" fontId="21" fillId="7" borderId="32" xfId="41" applyNumberFormat="1" applyFont="1" applyFill="1" applyBorder="1" applyAlignment="1">
      <alignment horizontal="center" vertical="center"/>
    </xf>
    <xf numFmtId="173" fontId="40" fillId="0" borderId="27" xfId="41" applyNumberFormat="1" applyFont="1" applyBorder="1" applyAlignment="1">
      <alignment vertical="center"/>
    </xf>
    <xf numFmtId="175" fontId="21" fillId="7" borderId="31" xfId="41" applyNumberFormat="1" applyFont="1" applyFill="1" applyBorder="1" applyAlignment="1">
      <alignment horizontal="center" vertical="center"/>
    </xf>
    <xf numFmtId="175" fontId="40" fillId="0" borderId="33" xfId="41" applyNumberFormat="1" applyFont="1" applyBorder="1" applyAlignment="1">
      <alignment vertical="center"/>
    </xf>
    <xf numFmtId="173" fontId="31" fillId="7" borderId="34" xfId="41" applyNumberFormat="1" applyFont="1" applyFill="1" applyBorder="1" applyAlignment="1">
      <alignment horizontal="center" vertical="center"/>
    </xf>
    <xf numFmtId="174" fontId="31" fillId="7" borderId="35" xfId="41" applyNumberFormat="1" applyFont="1" applyFill="1" applyBorder="1" applyAlignment="1">
      <alignment horizontal="center" vertical="center"/>
    </xf>
    <xf numFmtId="173" fontId="31" fillId="0" borderId="36" xfId="41" applyNumberFormat="1" applyFont="1" applyBorder="1" applyAlignment="1">
      <alignment vertical="center"/>
    </xf>
    <xf numFmtId="174" fontId="29" fillId="0" borderId="27" xfId="41" applyNumberFormat="1" applyFont="1" applyBorder="1" applyAlignment="1">
      <alignment vertical="center"/>
    </xf>
    <xf numFmtId="175" fontId="40" fillId="0" borderId="27" xfId="41" applyNumberFormat="1" applyFont="1" applyBorder="1" applyAlignment="1">
      <alignment vertical="center"/>
    </xf>
    <xf numFmtId="173" fontId="31" fillId="0" borderId="37" xfId="41" applyNumberFormat="1" applyFont="1" applyBorder="1" applyAlignment="1">
      <alignment vertical="center"/>
    </xf>
    <xf numFmtId="174" fontId="29" fillId="7" borderId="31" xfId="41" applyNumberFormat="1" applyFont="1" applyFill="1" applyBorder="1" applyAlignment="1">
      <alignment horizontal="center" vertical="center"/>
    </xf>
    <xf numFmtId="1" fontId="21" fillId="7" borderId="32" xfId="41" applyNumberFormat="1" applyFont="1" applyFill="1" applyBorder="1" applyAlignment="1">
      <alignment vertical="center"/>
    </xf>
    <xf numFmtId="173" fontId="31" fillId="14" borderId="37" xfId="41" applyNumberFormat="1" applyFont="1" applyFill="1" applyBorder="1" applyAlignment="1">
      <alignment vertical="center"/>
    </xf>
    <xf numFmtId="175" fontId="32" fillId="0" borderId="27" xfId="41" applyNumberFormat="1" applyFont="1" applyBorder="1" applyAlignment="1">
      <alignment vertical="center"/>
    </xf>
    <xf numFmtId="175" fontId="32" fillId="0" borderId="33" xfId="41" applyNumberFormat="1" applyFont="1" applyBorder="1" applyAlignment="1">
      <alignment vertical="center"/>
    </xf>
    <xf numFmtId="0" fontId="21" fillId="7" borderId="35" xfId="41" applyFont="1" applyFill="1" applyBorder="1" applyAlignment="1">
      <alignment vertical="center"/>
    </xf>
    <xf numFmtId="174" fontId="29" fillId="7" borderId="38" xfId="41" applyNumberFormat="1" applyFont="1" applyFill="1" applyBorder="1" applyAlignment="1">
      <alignment horizontal="center" vertical="center"/>
    </xf>
    <xf numFmtId="0" fontId="21" fillId="7" borderId="39" xfId="41" applyFont="1" applyFill="1" applyBorder="1" applyAlignment="1">
      <alignment vertical="center"/>
    </xf>
    <xf numFmtId="0" fontId="21" fillId="0" borderId="40" xfId="41" applyFont="1" applyBorder="1" applyAlignment="1">
      <alignment vertical="center"/>
    </xf>
    <xf numFmtId="173" fontId="21" fillId="0" borderId="27" xfId="41" applyNumberFormat="1" applyFont="1" applyBorder="1" applyAlignment="1">
      <alignment vertical="center"/>
    </xf>
    <xf numFmtId="175" fontId="21" fillId="0" borderId="27" xfId="41" applyNumberFormat="1" applyFont="1" applyBorder="1" applyAlignment="1">
      <alignment vertical="center"/>
    </xf>
    <xf numFmtId="175" fontId="33" fillId="0" borderId="27" xfId="41" applyNumberFormat="1" applyFont="1" applyBorder="1" applyAlignment="1">
      <alignment vertical="center"/>
    </xf>
    <xf numFmtId="173" fontId="31" fillId="7" borderId="41" xfId="41" applyNumberFormat="1" applyFont="1" applyFill="1" applyBorder="1" applyAlignment="1">
      <alignment horizontal="center" vertical="center"/>
    </xf>
    <xf numFmtId="0" fontId="21" fillId="7" borderId="42" xfId="41" applyFont="1" applyFill="1" applyBorder="1" applyAlignment="1">
      <alignment vertical="center"/>
    </xf>
    <xf numFmtId="0" fontId="28" fillId="14" borderId="13" xfId="41" applyFont="1" applyFill="1" applyBorder="1" applyAlignment="1">
      <alignment vertical="center"/>
    </xf>
    <xf numFmtId="0" fontId="21" fillId="14" borderId="14" xfId="41" applyFont="1" applyFill="1" applyBorder="1" applyAlignment="1">
      <alignment vertical="center"/>
    </xf>
    <xf numFmtId="173" fontId="28" fillId="14" borderId="14" xfId="41" applyNumberFormat="1" applyFont="1" applyFill="1" applyBorder="1" applyAlignment="1">
      <alignment vertical="center"/>
    </xf>
    <xf numFmtId="173" fontId="28" fillId="14" borderId="43" xfId="41" applyNumberFormat="1" applyFont="1" applyFill="1" applyBorder="1" applyAlignment="1">
      <alignment vertical="center"/>
    </xf>
    <xf numFmtId="173" fontId="28" fillId="14" borderId="15" xfId="41" applyNumberFormat="1" applyFont="1" applyFill="1" applyBorder="1" applyAlignment="1">
      <alignment vertical="center"/>
    </xf>
    <xf numFmtId="173" fontId="31" fillId="7" borderId="44" xfId="41" applyNumberFormat="1" applyFont="1" applyFill="1" applyBorder="1" applyAlignment="1">
      <alignment vertical="center"/>
    </xf>
    <xf numFmtId="0" fontId="29" fillId="7" borderId="11" xfId="41" applyFont="1" applyFill="1" applyBorder="1" applyAlignment="1">
      <alignment horizontal="left" vertical="center" indent="1"/>
    </xf>
    <xf numFmtId="174" fontId="29" fillId="7" borderId="7" xfId="41" applyNumberFormat="1" applyFont="1" applyFill="1" applyBorder="1" applyAlignment="1">
      <alignment vertical="center"/>
    </xf>
    <xf numFmtId="174" fontId="29" fillId="7" borderId="23" xfId="41" applyNumberFormat="1" applyFont="1" applyFill="1" applyBorder="1" applyAlignment="1">
      <alignment vertical="center"/>
    </xf>
    <xf numFmtId="174" fontId="29" fillId="7" borderId="12" xfId="41" applyNumberFormat="1" applyFont="1" applyFill="1" applyBorder="1" applyAlignment="1">
      <alignment vertical="center"/>
    </xf>
    <xf numFmtId="14" fontId="21" fillId="0" borderId="9" xfId="41" applyNumberFormat="1" applyFont="1" applyBorder="1" applyAlignment="1">
      <alignment vertical="center"/>
    </xf>
    <xf numFmtId="0" fontId="31" fillId="0" borderId="5" xfId="41" quotePrefix="1" applyFont="1" applyBorder="1" applyAlignment="1">
      <alignment horizontal="center" vertical="center" wrapText="1"/>
    </xf>
    <xf numFmtId="183" fontId="21" fillId="0" borderId="5" xfId="41" applyNumberFormat="1" applyFont="1" applyBorder="1" applyAlignment="1">
      <alignment vertical="center"/>
    </xf>
    <xf numFmtId="183" fontId="21" fillId="0" borderId="30" xfId="41" applyNumberFormat="1" applyFont="1" applyBorder="1" applyAlignment="1">
      <alignment vertical="center"/>
    </xf>
    <xf numFmtId="0" fontId="31" fillId="0" borderId="23" xfId="41" applyFont="1" applyBorder="1" applyAlignment="1">
      <alignment vertical="center"/>
    </xf>
    <xf numFmtId="184" fontId="21" fillId="0" borderId="0" xfId="41" applyNumberFormat="1" applyFont="1" applyAlignment="1">
      <alignment vertical="center"/>
    </xf>
    <xf numFmtId="170" fontId="20" fillId="0" borderId="0" xfId="20" applyNumberFormat="1" applyFont="1" applyAlignment="1">
      <alignment horizontal="left" vertical="center"/>
    </xf>
    <xf numFmtId="0" fontId="21" fillId="0" borderId="0" xfId="20" applyFont="1" applyAlignment="1">
      <alignment horizontal="left" vertical="center"/>
    </xf>
    <xf numFmtId="0" fontId="21" fillId="0" borderId="0" xfId="41" quotePrefix="1" applyFont="1" applyAlignment="1">
      <alignment horizontal="center" vertical="center" wrapText="1"/>
    </xf>
    <xf numFmtId="0" fontId="21" fillId="0" borderId="5" xfId="41" quotePrefix="1" applyFont="1" applyBorder="1" applyAlignment="1">
      <alignment horizontal="center" vertical="center" wrapText="1"/>
    </xf>
    <xf numFmtId="0" fontId="31" fillId="0" borderId="0" xfId="41" applyFont="1" applyAlignment="1">
      <alignment horizontal="right" vertical="center" wrapText="1"/>
    </xf>
    <xf numFmtId="0" fontId="31" fillId="0" borderId="4" xfId="41" applyFont="1" applyBorder="1" applyAlignment="1">
      <alignment horizontal="right" vertical="center" wrapText="1"/>
    </xf>
    <xf numFmtId="0" fontId="31" fillId="0" borderId="0" xfId="41" applyFont="1" applyAlignment="1">
      <alignment horizontal="left" vertical="center" wrapText="1"/>
    </xf>
    <xf numFmtId="0" fontId="31" fillId="0" borderId="4" xfId="41" applyFont="1" applyBorder="1" applyAlignment="1">
      <alignment horizontal="left" vertical="center" wrapText="1"/>
    </xf>
    <xf numFmtId="0" fontId="21" fillId="0" borderId="0" xfId="41" applyFont="1" applyAlignment="1">
      <alignment horizontal="center" vertical="center" wrapText="1"/>
    </xf>
    <xf numFmtId="0" fontId="21" fillId="0" borderId="5" xfId="41" applyFont="1" applyBorder="1" applyAlignment="1">
      <alignment horizontal="center" vertical="center" wrapText="1"/>
    </xf>
    <xf numFmtId="0" fontId="21" fillId="7" borderId="25" xfId="41" quotePrefix="1" applyFont="1" applyFill="1" applyBorder="1" applyAlignment="1">
      <alignment horizontal="center" vertical="center" wrapText="1"/>
    </xf>
    <xf numFmtId="0" fontId="21" fillId="7" borderId="28" xfId="41" quotePrefix="1" applyFont="1" applyFill="1" applyBorder="1" applyAlignment="1">
      <alignment horizontal="center" vertical="center" wrapText="1"/>
    </xf>
    <xf numFmtId="0" fontId="21" fillId="0" borderId="24" xfId="41" applyFont="1" applyBorder="1" applyAlignment="1">
      <alignment horizontal="center" vertical="center"/>
    </xf>
    <xf numFmtId="0" fontId="21" fillId="0" borderId="7" xfId="41" applyFont="1" applyBorder="1" applyAlignment="1">
      <alignment horizontal="center" vertical="center"/>
    </xf>
    <xf numFmtId="0" fontId="21" fillId="0" borderId="23" xfId="41" applyFont="1" applyBorder="1" applyAlignment="1">
      <alignment horizontal="center" vertical="center"/>
    </xf>
    <xf numFmtId="0" fontId="21" fillId="7" borderId="26" xfId="41" quotePrefix="1" applyFont="1" applyFill="1" applyBorder="1" applyAlignment="1">
      <alignment horizontal="center" vertical="center" wrapText="1"/>
    </xf>
    <xf numFmtId="0" fontId="21" fillId="7" borderId="29" xfId="41" quotePrefix="1" applyFont="1" applyFill="1" applyBorder="1" applyAlignment="1">
      <alignment horizontal="center" vertical="center" wrapText="1"/>
    </xf>
    <xf numFmtId="14" fontId="31" fillId="0" borderId="9" xfId="41" applyNumberFormat="1" applyFont="1" applyBorder="1" applyAlignment="1">
      <alignment horizontal="center" vertical="center"/>
    </xf>
  </cellXfs>
  <cellStyles count="49">
    <cellStyle name="0.00x" xfId="1" xr:uid="{00000000-0005-0000-0000-000001000000}"/>
    <cellStyle name="CHECK" xfId="2" xr:uid="{00000000-0005-0000-0000-000002000000}"/>
    <cellStyle name="Comma 2" xfId="3" xr:uid="{00000000-0005-0000-0000-000003000000}"/>
    <cellStyle name="Date" xfId="4" xr:uid="{00000000-0005-0000-0000-000004000000}"/>
    <cellStyle name="Formula" xfId="5" xr:uid="{00000000-0005-0000-0000-000005000000}"/>
    <cellStyle name="Hardcoded" xfId="6" xr:uid="{00000000-0005-0000-0000-000006000000}"/>
    <cellStyle name="Header 1" xfId="7" xr:uid="{00000000-0005-0000-0000-000007000000}"/>
    <cellStyle name="Header 2" xfId="8" xr:uid="{00000000-0005-0000-0000-000008000000}"/>
    <cellStyle name="Header 3" xfId="9" xr:uid="{00000000-0005-0000-0000-000009000000}"/>
    <cellStyle name="Hyperlink 2 2" xfId="10" xr:uid="{00000000-0005-0000-0000-00000A000000}"/>
    <cellStyle name="Input (%)" xfId="11" xr:uid="{00000000-0005-0000-0000-00000B000000}"/>
    <cellStyle name="Input (Date)" xfId="12" xr:uid="{00000000-0005-0000-0000-00000C000000}"/>
    <cellStyle name="Input 2" xfId="13" xr:uid="{00000000-0005-0000-0000-00000D000000}"/>
    <cellStyle name="inputCell" xfId="14" xr:uid="{00000000-0005-0000-0000-00000E000000}"/>
    <cellStyle name="No Comma" xfId="15" xr:uid="{00000000-0005-0000-0000-00000F000000}"/>
    <cellStyle name="Normal" xfId="0" builtinId="0"/>
    <cellStyle name="Normal 10 2" xfId="16" xr:uid="{00000000-0005-0000-0000-000010000000}"/>
    <cellStyle name="Normal 10 7" xfId="16" xr:uid="{00000000-0005-0000-0000-000011000000}"/>
    <cellStyle name="Normal 2" xfId="41" xr:uid="{00000000-0005-0000-0000-000012000000}"/>
    <cellStyle name="Normal 2 10" xfId="16" xr:uid="{00000000-0005-0000-0000-000013000000}"/>
    <cellStyle name="Normal 2 2" xfId="16" xr:uid="{00000000-0005-0000-0000-000014000000}"/>
    <cellStyle name="Normal 2 2 2 7" xfId="17" xr:uid="{00000000-0005-0000-0000-000015000000}"/>
    <cellStyle name="Normal 273" xfId="18" xr:uid="{00000000-0005-0000-0000-000016000000}"/>
    <cellStyle name="Normal 3" xfId="19" xr:uid="{00000000-0005-0000-0000-000017000000}"/>
    <cellStyle name="Normal 3 2" xfId="16" xr:uid="{00000000-0005-0000-0000-000018000000}"/>
    <cellStyle name="Normal 3 3" xfId="20" xr:uid="{00000000-0005-0000-0000-000019000000}"/>
    <cellStyle name="Normal 4" xfId="42" xr:uid="{00000000-0005-0000-0000-00001A000000}"/>
    <cellStyle name="Normal 4 2" xfId="21" xr:uid="{00000000-0005-0000-0000-00001B000000}"/>
    <cellStyle name="Normal 4 4" xfId="22" xr:uid="{00000000-0005-0000-0000-00001C000000}"/>
    <cellStyle name="Normal 5" xfId="23" xr:uid="{00000000-0005-0000-0000-00001D000000}"/>
    <cellStyle name="Normal 6" xfId="24" xr:uid="{00000000-0005-0000-0000-00001E000000}"/>
    <cellStyle name="Normal 9" xfId="43" xr:uid="{00000000-0005-0000-0000-00001F000000}"/>
    <cellStyle name="Normal 99" xfId="19" xr:uid="{00000000-0005-0000-0000-000020000000}"/>
    <cellStyle name="Offsheet" xfId="25" xr:uid="{00000000-0005-0000-0000-000021000000}"/>
    <cellStyle name="Offsheet Assm" xfId="26" xr:uid="{00000000-0005-0000-0000-000022000000}"/>
    <cellStyle name="Offsheet Assm (%)" xfId="27" xr:uid="{00000000-0005-0000-0000-000023000000}"/>
    <cellStyle name="Offsheet Assm (Date)" xfId="28" xr:uid="{00000000-0005-0000-0000-000024000000}"/>
    <cellStyle name="On / Off" xfId="29" xr:uid="{00000000-0005-0000-0000-000025000000}"/>
    <cellStyle name="Percent 2" xfId="30" xr:uid="{00000000-0005-0000-0000-000026000000}"/>
    <cellStyle name="Percent 3" xfId="31" xr:uid="{00000000-0005-0000-0000-000027000000}"/>
    <cellStyle name="PFactor" xfId="32" xr:uid="{00000000-0005-0000-0000-000028000000}"/>
    <cellStyle name="Scenario" xfId="33" xr:uid="{00000000-0005-0000-0000-000029000000}"/>
    <cellStyle name="Scenario (%)" xfId="34" xr:uid="{00000000-0005-0000-0000-00002A000000}"/>
    <cellStyle name="Style 21" xfId="35" xr:uid="{00000000-0005-0000-0000-00002B000000}"/>
    <cellStyle name="Style 26" xfId="36" xr:uid="{00000000-0005-0000-0000-00002C000000}"/>
    <cellStyle name="Sub Title" xfId="37" xr:uid="{00000000-0005-0000-0000-00002D000000}"/>
    <cellStyle name="Total 2" xfId="38" xr:uid="{00000000-0005-0000-0000-00002E000000}"/>
    <cellStyle name="UsedCell" xfId="39" xr:uid="{00000000-0005-0000-0000-00002F000000}"/>
    <cellStyle name="Years" xfId="40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1567-E348-BC0C-B1E1-4A8F61786902}">
  <sheetPr>
    <tabColor theme="1"/>
  </sheetPr>
  <dimension ref="A3:X58"/>
  <sheetViews>
    <sheetView showGridLines="0" zoomScale="70" workbookViewId="0"/>
  </sheetViews>
  <sheetFormatPr defaultColWidth="9.1796875" defaultRowHeight="12" customHeight="1" x14ac:dyDescent="0.35"/>
  <cols>
    <col min="1" max="2" width="2.26953125" style="16" customWidth="1"/>
    <col min="3" max="4" width="2.453125" style="16" customWidth="1"/>
    <col min="5" max="5" width="4.1796875" style="16" customWidth="1"/>
    <col min="6" max="6" width="17.81640625" style="16" customWidth="1"/>
    <col min="7" max="7" width="15.7265625" style="16" customWidth="1"/>
    <col min="8" max="12" width="9.1796875" style="16" customWidth="1"/>
    <col min="13" max="13" width="7.81640625" style="16" customWidth="1"/>
    <col min="14" max="19" width="9.1796875" style="16" customWidth="1"/>
    <col min="20" max="23" width="12.7265625" style="16" customWidth="1"/>
    <col min="24" max="24" width="2.453125" style="16" customWidth="1"/>
  </cols>
  <sheetData>
    <row r="3" spans="20:23" ht="15" customHeight="1" x14ac:dyDescent="0.35">
      <c r="T3"/>
      <c r="U3"/>
      <c r="V3"/>
      <c r="W3"/>
    </row>
    <row r="4" spans="20:23" ht="15" customHeight="1" x14ac:dyDescent="0.35">
      <c r="T4"/>
      <c r="U4"/>
      <c r="V4"/>
      <c r="W4"/>
    </row>
    <row r="5" spans="20:23" ht="15" customHeight="1" x14ac:dyDescent="0.35">
      <c r="T5"/>
      <c r="U5"/>
      <c r="V5"/>
      <c r="W5"/>
    </row>
    <row r="6" spans="20:23" ht="15" customHeight="1" x14ac:dyDescent="0.35">
      <c r="T6"/>
      <c r="U6"/>
      <c r="V6"/>
      <c r="W6"/>
    </row>
    <row r="7" spans="20:23" ht="15" customHeight="1" x14ac:dyDescent="0.35">
      <c r="T7"/>
      <c r="U7"/>
      <c r="V7"/>
      <c r="W7"/>
    </row>
    <row r="28" spans="4:24" ht="46.5" customHeight="1" x14ac:dyDescent="0.35">
      <c r="E28" s="1"/>
      <c r="F28" s="2" t="s"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4:24" ht="7.5" customHeight="1" x14ac:dyDescent="0.35">
      <c r="D29" s="3"/>
    </row>
    <row r="30" spans="4:24" ht="12" customHeight="1" x14ac:dyDescent="0.35">
      <c r="D30" s="3"/>
    </row>
    <row r="31" spans="4:24" ht="12" customHeight="1" x14ac:dyDescent="0.35">
      <c r="D31" s="3"/>
    </row>
    <row r="32" spans="4:24" ht="12" customHeight="1" x14ac:dyDescent="0.35">
      <c r="D32" s="3"/>
    </row>
    <row r="33" spans="4:7" ht="12" customHeight="1" x14ac:dyDescent="0.35">
      <c r="D33" s="3"/>
    </row>
    <row r="34" spans="4:7" ht="12" customHeight="1" x14ac:dyDescent="0.35">
      <c r="D34" s="3"/>
    </row>
    <row r="35" spans="4:7" ht="22.5" customHeight="1" x14ac:dyDescent="0.35">
      <c r="D35" s="3"/>
      <c r="F35" s="183">
        <f ca="1">TODAY()</f>
        <v>46081</v>
      </c>
      <c r="G35" s="184"/>
    </row>
    <row r="36" spans="4:7" ht="12" customHeight="1" x14ac:dyDescent="0.35">
      <c r="D36" s="3"/>
    </row>
    <row r="37" spans="4:7" ht="12" customHeight="1" x14ac:dyDescent="0.35">
      <c r="D37" s="3"/>
    </row>
    <row r="38" spans="4:7" ht="12" customHeight="1" x14ac:dyDescent="0.35">
      <c r="D38" s="3"/>
    </row>
    <row r="39" spans="4:7" ht="12" customHeight="1" x14ac:dyDescent="0.35">
      <c r="D39" s="3"/>
    </row>
    <row r="40" spans="4:7" ht="12" customHeight="1" x14ac:dyDescent="0.35">
      <c r="D40" s="3"/>
    </row>
    <row r="41" spans="4:7" ht="12" customHeight="1" x14ac:dyDescent="0.35">
      <c r="D41" s="3"/>
    </row>
    <row r="42" spans="4:7" ht="12" customHeight="1" x14ac:dyDescent="0.35">
      <c r="D42" s="3"/>
    </row>
    <row r="43" spans="4:7" ht="12" customHeight="1" x14ac:dyDescent="0.35">
      <c r="D43" s="3"/>
    </row>
    <row r="44" spans="4:7" ht="12" customHeight="1" x14ac:dyDescent="0.35">
      <c r="D44" s="3"/>
      <c r="F44" s="4"/>
      <c r="G44" s="5"/>
    </row>
    <row r="45" spans="4:7" ht="12.75" customHeight="1" x14ac:dyDescent="0.35">
      <c r="D45" s="3"/>
      <c r="F45" s="6"/>
      <c r="G45" s="7"/>
    </row>
    <row r="46" spans="4:7" ht="12" customHeight="1" x14ac:dyDescent="0.35">
      <c r="D46" s="3"/>
      <c r="F46" s="4"/>
    </row>
    <row r="47" spans="4:7" ht="12.75" customHeight="1" x14ac:dyDescent="0.35">
      <c r="D47" s="3"/>
      <c r="F47" s="7"/>
    </row>
    <row r="48" spans="4:7" ht="12.75" customHeight="1" x14ac:dyDescent="0.35">
      <c r="D48" s="3"/>
      <c r="F48" s="7"/>
    </row>
    <row r="49" spans="4:12" ht="12.75" customHeight="1" x14ac:dyDescent="0.35">
      <c r="D49" s="3"/>
      <c r="F49" s="7"/>
    </row>
    <row r="50" spans="4:12" ht="12.75" customHeight="1" x14ac:dyDescent="0.35">
      <c r="D50" s="3"/>
      <c r="F50" s="7"/>
      <c r="H50" s="7"/>
      <c r="I50" s="7"/>
      <c r="J50" s="7"/>
      <c r="K50" s="7"/>
      <c r="L50" s="7"/>
    </row>
    <row r="51" spans="4:12" ht="12.75" customHeight="1" x14ac:dyDescent="0.35">
      <c r="D51" s="3"/>
      <c r="F51" s="7"/>
      <c r="H51" s="7"/>
      <c r="I51" s="7"/>
      <c r="J51" s="7"/>
      <c r="K51" s="7"/>
      <c r="L51" s="7"/>
    </row>
    <row r="52" spans="4:12" ht="12.75" customHeight="1" x14ac:dyDescent="0.35">
      <c r="D52" s="3"/>
      <c r="F52" s="7"/>
      <c r="H52" s="7"/>
      <c r="I52" s="7"/>
      <c r="J52" s="7"/>
      <c r="K52" s="7"/>
      <c r="L52" s="7"/>
    </row>
    <row r="53" spans="4:12" ht="12.75" customHeight="1" x14ac:dyDescent="0.35">
      <c r="D53" s="3"/>
      <c r="F53" s="8"/>
      <c r="G53" s="7"/>
      <c r="H53" s="7"/>
      <c r="I53" s="7"/>
      <c r="J53" s="7"/>
      <c r="K53" s="7"/>
      <c r="L53" s="7"/>
    </row>
    <row r="54" spans="4:12" ht="12.75" customHeight="1" x14ac:dyDescent="0.35">
      <c r="D54" s="3"/>
      <c r="F54" s="7"/>
      <c r="G54" s="7"/>
      <c r="H54" s="7"/>
      <c r="I54" s="7"/>
      <c r="J54" s="7"/>
      <c r="K54" s="7"/>
      <c r="L54" s="7"/>
    </row>
    <row r="55" spans="4:12" ht="12" customHeight="1" x14ac:dyDescent="0.35">
      <c r="D55" s="3"/>
      <c r="F55" s="9"/>
      <c r="G55" s="10"/>
      <c r="H55" s="9"/>
      <c r="I55" s="10"/>
      <c r="J55" s="9"/>
      <c r="K55" s="10"/>
      <c r="L55" s="11"/>
    </row>
    <row r="56" spans="4:12" ht="12.75" customHeight="1" x14ac:dyDescent="0.35">
      <c r="D56" s="3"/>
      <c r="G56" s="12"/>
      <c r="H56" s="13"/>
      <c r="J56" s="14"/>
      <c r="K56" s="7"/>
      <c r="L56" s="7"/>
    </row>
    <row r="57" spans="4:12" ht="12" customHeight="1" x14ac:dyDescent="0.35">
      <c r="D57" s="3"/>
      <c r="F57" s="15"/>
      <c r="G57" s="12"/>
      <c r="H57" s="13"/>
      <c r="I57" s="10"/>
      <c r="J57" s="14"/>
    </row>
    <row r="58" spans="4:12" ht="12" customHeight="1" x14ac:dyDescent="0.35">
      <c r="D58" s="3"/>
      <c r="G58" s="12"/>
      <c r="H58" s="13"/>
    </row>
  </sheetData>
  <mergeCells count="1">
    <mergeCell ref="F35:G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D343-F4BB-B718-D581-B436BB9DF6A1}">
  <sheetPr>
    <tabColor theme="8" tint="-0.249977111117893"/>
  </sheetPr>
  <dimension ref="A2:L118"/>
  <sheetViews>
    <sheetView showGridLines="0" zoomScale="80" workbookViewId="0">
      <selection activeCell="E19" sqref="E19"/>
    </sheetView>
  </sheetViews>
  <sheetFormatPr defaultColWidth="20.7265625" defaultRowHeight="24" customHeight="1" x14ac:dyDescent="0.35"/>
  <cols>
    <col min="1" max="1" width="10.7265625" style="29" customWidth="1"/>
    <col min="2" max="2" width="59.26953125" style="29" customWidth="1"/>
    <col min="3" max="3" width="20.7265625" style="29" customWidth="1"/>
    <col min="4" max="8" width="22.7265625" style="29" customWidth="1"/>
    <col min="9" max="9" width="6.7265625" style="29" customWidth="1"/>
    <col min="10" max="10" width="22.7265625" style="29" customWidth="1"/>
    <col min="11" max="12" width="20.7265625" style="29" customWidth="1"/>
  </cols>
  <sheetData>
    <row r="2" spans="1:12" ht="24" customHeight="1" x14ac:dyDescent="0.35">
      <c r="B2" s="17" t="s">
        <v>1</v>
      </c>
      <c r="C2" s="18"/>
      <c r="D2" s="18"/>
      <c r="E2" s="18"/>
      <c r="F2" s="18"/>
      <c r="G2" s="18"/>
      <c r="H2" s="18"/>
      <c r="I2" s="18"/>
      <c r="J2" s="18"/>
    </row>
    <row r="3" spans="1:12" ht="24" customHeight="1" x14ac:dyDescent="0.35">
      <c r="B3" s="19" t="s">
        <v>2</v>
      </c>
      <c r="J3" s="20" t="s">
        <v>3</v>
      </c>
    </row>
    <row r="5" spans="1:12" ht="24" customHeight="1" x14ac:dyDescent="0.35">
      <c r="B5" s="21" t="s">
        <v>4</v>
      </c>
    </row>
    <row r="6" spans="1:12" ht="24" customHeight="1" x14ac:dyDescent="0.35">
      <c r="A6" s="22" t="s">
        <v>5</v>
      </c>
      <c r="B6" s="23" t="s">
        <v>6</v>
      </c>
      <c r="C6" s="23"/>
      <c r="D6" s="23"/>
      <c r="E6" s="23"/>
      <c r="F6" s="23"/>
      <c r="G6" s="23"/>
      <c r="H6" s="23"/>
      <c r="I6" s="23"/>
      <c r="J6" s="23"/>
      <c r="K6" s="22" t="s">
        <v>5</v>
      </c>
    </row>
    <row r="7" spans="1:12" ht="6" customHeight="1" x14ac:dyDescent="0.35">
      <c r="A7"/>
      <c r="B7"/>
      <c r="C7"/>
      <c r="D7"/>
      <c r="E7"/>
      <c r="F7"/>
      <c r="G7"/>
      <c r="H7"/>
      <c r="I7"/>
      <c r="J7"/>
      <c r="K7"/>
    </row>
    <row r="8" spans="1:12" ht="24" customHeight="1" x14ac:dyDescent="0.35">
      <c r="A8" s="22" t="s">
        <v>5</v>
      </c>
      <c r="B8" s="24" t="s">
        <v>7</v>
      </c>
      <c r="C8" s="24"/>
      <c r="D8" s="24"/>
      <c r="E8" s="24"/>
      <c r="F8" s="24"/>
      <c r="G8" s="24"/>
      <c r="H8" s="24"/>
      <c r="I8" s="24"/>
      <c r="J8" s="24"/>
      <c r="K8" s="22" t="s">
        <v>5</v>
      </c>
    </row>
    <row r="9" spans="1:12" ht="6" customHeight="1" x14ac:dyDescent="0.35"/>
    <row r="10" spans="1:12" ht="24" customHeight="1" x14ac:dyDescent="0.35">
      <c r="D10" s="25">
        <v>42004</v>
      </c>
      <c r="E10" s="25">
        <f t="shared" ref="E10:H96" si="0">EOMONTH(D10,12)</f>
        <v>42369</v>
      </c>
      <c r="F10" s="25">
        <f t="shared" si="0"/>
        <v>42735</v>
      </c>
      <c r="G10" s="25">
        <f t="shared" si="0"/>
        <v>43100</v>
      </c>
      <c r="H10" s="25">
        <f t="shared" si="0"/>
        <v>43465</v>
      </c>
      <c r="J10" s="185" t="str">
        <f>"'14A - '18A        CAGR"</f>
        <v>'14A - '18A        CAGR</v>
      </c>
    </row>
    <row r="11" spans="1:12" ht="24" customHeight="1" x14ac:dyDescent="0.35">
      <c r="B11" s="27"/>
      <c r="C11" s="27"/>
      <c r="D11" s="28">
        <f t="shared" ref="D11:H97" si="1">YEAR(D10)</f>
        <v>2014</v>
      </c>
      <c r="E11" s="28">
        <f t="shared" si="1"/>
        <v>2015</v>
      </c>
      <c r="F11" s="28">
        <f t="shared" si="1"/>
        <v>2016</v>
      </c>
      <c r="G11" s="28">
        <f t="shared" si="1"/>
        <v>2017</v>
      </c>
      <c r="H11" s="28">
        <f t="shared" si="1"/>
        <v>2018</v>
      </c>
      <c r="I11" s="27"/>
      <c r="J11" s="186"/>
    </row>
    <row r="12" spans="1:12" ht="6" customHeight="1" x14ac:dyDescent="0.35"/>
    <row r="13" spans="1:12" ht="24" customHeight="1" x14ac:dyDescent="0.35">
      <c r="B13" s="29" t="s">
        <v>8</v>
      </c>
      <c r="D13" s="30">
        <v>236.27699999999999</v>
      </c>
      <c r="E13" s="30">
        <v>148.565</v>
      </c>
      <c r="F13" s="30">
        <v>134.755</v>
      </c>
      <c r="G13" s="30">
        <v>211.31299999999999</v>
      </c>
      <c r="H13" s="30">
        <v>238.459</v>
      </c>
      <c r="J13" s="31">
        <f t="shared" ref="J13:J35" si="2">RATE($H$11-$D$11,0,-$D13,$H13)</f>
        <v>2.3007783000187111E-3</v>
      </c>
    </row>
    <row r="14" spans="1:12" ht="24" customHeight="1" x14ac:dyDescent="0.35">
      <c r="B14" s="29" t="s">
        <v>9</v>
      </c>
      <c r="D14" s="32">
        <v>298.66500000000002</v>
      </c>
      <c r="E14" s="32">
        <v>208.28299999999999</v>
      </c>
      <c r="F14" s="32">
        <v>243.91</v>
      </c>
      <c r="G14" s="32">
        <v>301.65600000000001</v>
      </c>
      <c r="H14" s="32">
        <v>314.68</v>
      </c>
      <c r="J14" s="31">
        <f t="shared" si="2"/>
        <v>1.3144059972949491E-2</v>
      </c>
    </row>
    <row r="15" spans="1:12" ht="24" customHeight="1" x14ac:dyDescent="0.35">
      <c r="B15" s="33" t="s">
        <v>10</v>
      </c>
      <c r="C15" s="34"/>
      <c r="D15" s="35">
        <f t="shared" ref="D15:H107" si="3">SUM(D13:D14)</f>
        <v>534.94200000000001</v>
      </c>
      <c r="E15" s="35">
        <f t="shared" si="3"/>
        <v>356.84799999999996</v>
      </c>
      <c r="F15" s="35">
        <f t="shared" si="3"/>
        <v>378.66499999999996</v>
      </c>
      <c r="G15" s="35">
        <f t="shared" si="3"/>
        <v>512.96900000000005</v>
      </c>
      <c r="H15" s="35">
        <f t="shared" si="3"/>
        <v>553.13900000000001</v>
      </c>
      <c r="I15" s="34"/>
      <c r="J15" s="36">
        <f t="shared" si="2"/>
        <v>8.3978145605085753E-3</v>
      </c>
      <c r="L15" s="37"/>
    </row>
    <row r="16" spans="1:12" ht="24" customHeight="1" x14ac:dyDescent="0.35">
      <c r="B16" s="38" t="s">
        <v>11</v>
      </c>
      <c r="E16" s="39">
        <f t="shared" ref="E16:H16" si="4">E15/D15-1</f>
        <v>-0.33292207379491623</v>
      </c>
      <c r="F16" s="39">
        <f t="shared" si="4"/>
        <v>6.1138075595211339E-2</v>
      </c>
      <c r="G16" s="39">
        <f t="shared" si="4"/>
        <v>0.3546776174190911</v>
      </c>
      <c r="H16" s="39">
        <f t="shared" si="4"/>
        <v>7.8308825679524352E-2</v>
      </c>
    </row>
    <row r="17" spans="2:10" ht="6" customHeight="1" x14ac:dyDescent="0.35"/>
    <row r="18" spans="2:10" ht="24" customHeight="1" x14ac:dyDescent="0.35">
      <c r="B18" s="40" t="s">
        <v>12</v>
      </c>
      <c r="D18" s="32">
        <v>-141.08298690831094</v>
      </c>
      <c r="E18" s="32">
        <v>-101.54866807961822</v>
      </c>
      <c r="F18" s="32">
        <v>-85.732824714477331</v>
      </c>
      <c r="G18" s="32">
        <v>-140.56916428323314</v>
      </c>
      <c r="H18" s="32">
        <v>-158.40880034009211</v>
      </c>
    </row>
    <row r="19" spans="2:10" ht="24" customHeight="1" x14ac:dyDescent="0.35">
      <c r="B19" s="40" t="s">
        <v>13</v>
      </c>
      <c r="D19" s="32">
        <v>-227.01604607011376</v>
      </c>
      <c r="E19" s="32">
        <v>-184.62581482514247</v>
      </c>
      <c r="F19" s="32">
        <v>-185.29517528552267</v>
      </c>
      <c r="G19" s="32">
        <v>-229.76383571676689</v>
      </c>
      <c r="H19" s="32">
        <v>-219.66119965990799</v>
      </c>
    </row>
    <row r="20" spans="2:10" ht="24" customHeight="1" x14ac:dyDescent="0.35">
      <c r="B20" s="33" t="s">
        <v>14</v>
      </c>
      <c r="C20" s="34"/>
      <c r="D20" s="35">
        <f t="shared" ref="D20:H25" si="5">SUM(D15,D18:D19)</f>
        <v>166.8429670215753</v>
      </c>
      <c r="E20" s="35">
        <f t="shared" si="5"/>
        <v>70.673517095239276</v>
      </c>
      <c r="F20" s="35">
        <f t="shared" si="5"/>
        <v>107.63699999999997</v>
      </c>
      <c r="G20" s="35">
        <f t="shared" si="5"/>
        <v>142.63600000000002</v>
      </c>
      <c r="H20" s="35">
        <f t="shared" si="5"/>
        <v>175.0689999999999</v>
      </c>
      <c r="I20" s="34"/>
      <c r="J20" s="36">
        <f t="shared" si="2"/>
        <v>1.2104455343630839E-2</v>
      </c>
    </row>
    <row r="21" spans="2:10" ht="24" customHeight="1" x14ac:dyDescent="0.35">
      <c r="B21" s="38" t="s">
        <v>15</v>
      </c>
      <c r="D21" s="39">
        <f t="shared" ref="D21:H21" si="6">D20/D15</f>
        <v>0.31188982547935162</v>
      </c>
      <c r="E21" s="39">
        <f t="shared" si="6"/>
        <v>0.19804935741615276</v>
      </c>
      <c r="F21" s="39">
        <f t="shared" si="6"/>
        <v>0.28425389196255263</v>
      </c>
      <c r="G21" s="39">
        <f t="shared" si="6"/>
        <v>0.27805968781739249</v>
      </c>
      <c r="H21" s="39">
        <f t="shared" si="6"/>
        <v>0.3165009156830379</v>
      </c>
    </row>
    <row r="22" spans="2:10" ht="6" customHeight="1" x14ac:dyDescent="0.35">
      <c r="B22" s="38"/>
      <c r="D22" s="41"/>
      <c r="E22" s="41"/>
      <c r="F22" s="41"/>
      <c r="G22" s="41"/>
      <c r="H22" s="41"/>
    </row>
    <row r="23" spans="2:10" ht="24" customHeight="1" x14ac:dyDescent="0.35">
      <c r="B23" s="40" t="s">
        <v>16</v>
      </c>
      <c r="D23" s="32">
        <v>-49.069000000000003</v>
      </c>
      <c r="E23" s="32">
        <v>-43.734999999999999</v>
      </c>
      <c r="F23" s="32">
        <v>-47.116999999999997</v>
      </c>
      <c r="G23" s="32">
        <v>-49.146000000000001</v>
      </c>
      <c r="H23" s="32">
        <v>-44.828000000000003</v>
      </c>
    </row>
    <row r="24" spans="2:10" ht="24" customHeight="1" x14ac:dyDescent="0.35">
      <c r="B24" s="40" t="s">
        <v>17</v>
      </c>
      <c r="D24" s="32">
        <v>-11.048999999999999</v>
      </c>
      <c r="E24" s="32">
        <v>-7.431</v>
      </c>
      <c r="F24" s="32">
        <v>-9.0749999999999993</v>
      </c>
      <c r="G24" s="32">
        <v>-12.512</v>
      </c>
      <c r="H24" s="32">
        <v>-10.457000000000001</v>
      </c>
    </row>
    <row r="25" spans="2:10" ht="24" customHeight="1" x14ac:dyDescent="0.35">
      <c r="B25" s="42" t="s">
        <v>18</v>
      </c>
      <c r="C25" s="43"/>
      <c r="D25" s="44">
        <f t="shared" si="5"/>
        <v>106.72496702157531</v>
      </c>
      <c r="E25" s="44">
        <f t="shared" si="5"/>
        <v>19.507517095239276</v>
      </c>
      <c r="F25" s="44">
        <f t="shared" si="5"/>
        <v>51.444999999999979</v>
      </c>
      <c r="G25" s="44">
        <f t="shared" si="5"/>
        <v>80.978000000000023</v>
      </c>
      <c r="H25" s="44">
        <f t="shared" si="5"/>
        <v>119.78399999999991</v>
      </c>
      <c r="I25" s="43"/>
      <c r="J25" s="45">
        <f t="shared" si="2"/>
        <v>2.9279197798311184E-2</v>
      </c>
    </row>
    <row r="26" spans="2:10" ht="24" customHeight="1" x14ac:dyDescent="0.35">
      <c r="B26" s="38" t="s">
        <v>19</v>
      </c>
      <c r="D26" s="39">
        <f t="shared" ref="D26:H26" si="7">D25/D15</f>
        <v>0.19950754852222355</v>
      </c>
      <c r="E26" s="39">
        <f t="shared" si="7"/>
        <v>5.4666180265096842E-2</v>
      </c>
      <c r="F26" s="39">
        <f t="shared" si="7"/>
        <v>0.13585887261827734</v>
      </c>
      <c r="G26" s="39">
        <f t="shared" si="7"/>
        <v>0.15786139123416817</v>
      </c>
      <c r="H26" s="39">
        <f t="shared" si="7"/>
        <v>0.21655316294819188</v>
      </c>
    </row>
    <row r="27" spans="2:10" ht="6" customHeight="1" x14ac:dyDescent="0.35">
      <c r="B27" s="38"/>
      <c r="D27" s="39"/>
      <c r="E27" s="39"/>
      <c r="F27" s="39"/>
      <c r="G27" s="39"/>
      <c r="H27" s="39"/>
    </row>
    <row r="28" spans="2:10" ht="24" customHeight="1" x14ac:dyDescent="0.35">
      <c r="B28" s="40" t="s">
        <v>20</v>
      </c>
      <c r="D28" s="32">
        <v>-31.877967021575273</v>
      </c>
      <c r="E28" s="32">
        <v>-33.936517095239331</v>
      </c>
      <c r="F28" s="32">
        <v>-36.128</v>
      </c>
      <c r="G28" s="32">
        <v>-38.460999999999999</v>
      </c>
      <c r="H28" s="32">
        <v>-42.988999999999997</v>
      </c>
    </row>
    <row r="29" spans="2:10" ht="24" customHeight="1" x14ac:dyDescent="0.35">
      <c r="B29" s="33" t="s">
        <v>21</v>
      </c>
      <c r="C29" s="34"/>
      <c r="D29" s="35">
        <f t="shared" ref="D29:H33" si="8">SUM(D25,D28)</f>
        <v>74.847000000000037</v>
      </c>
      <c r="E29" s="35">
        <f t="shared" si="8"/>
        <v>-14.429000000000055</v>
      </c>
      <c r="F29" s="35">
        <f t="shared" si="8"/>
        <v>15.316999999999979</v>
      </c>
      <c r="G29" s="35">
        <f t="shared" si="8"/>
        <v>42.517000000000024</v>
      </c>
      <c r="H29" s="35">
        <f t="shared" si="8"/>
        <v>76.794999999999902</v>
      </c>
      <c r="I29" s="34"/>
      <c r="J29" s="36">
        <f t="shared" si="2"/>
        <v>6.444050115115665E-3</v>
      </c>
    </row>
    <row r="30" spans="2:10" ht="24" customHeight="1" x14ac:dyDescent="0.35">
      <c r="B30" s="38" t="s">
        <v>22</v>
      </c>
      <c r="D30" s="39">
        <f t="shared" ref="D30:H30" si="9">D29/D15</f>
        <v>0.13991610305416294</v>
      </c>
      <c r="E30" s="39">
        <f t="shared" si="9"/>
        <v>-4.0434582791552869E-2</v>
      </c>
      <c r="F30" s="39">
        <f t="shared" si="9"/>
        <v>4.0450001980642469E-2</v>
      </c>
      <c r="G30" s="39">
        <f t="shared" si="9"/>
        <v>8.2884150894108652E-2</v>
      </c>
      <c r="H30" s="39">
        <f t="shared" si="9"/>
        <v>0.13883490406570481</v>
      </c>
    </row>
    <row r="31" spans="2:10" ht="6" customHeight="1" x14ac:dyDescent="0.35">
      <c r="B31" s="38"/>
      <c r="D31" s="41"/>
      <c r="E31" s="41"/>
      <c r="F31" s="41"/>
      <c r="G31" s="41"/>
      <c r="H31" s="41"/>
    </row>
    <row r="32" spans="2:10" ht="24" customHeight="1" x14ac:dyDescent="0.35">
      <c r="B32" s="40" t="s">
        <v>23</v>
      </c>
      <c r="D32" s="32">
        <v>-2.5</v>
      </c>
      <c r="E32" s="32">
        <f t="shared" ref="E32:H32" si="10">D32-0.4</f>
        <v>-2.9</v>
      </c>
      <c r="F32" s="32">
        <f t="shared" si="10"/>
        <v>-3.3</v>
      </c>
      <c r="G32" s="32">
        <f t="shared" si="10"/>
        <v>-3.6999999999999997</v>
      </c>
      <c r="H32" s="32">
        <f t="shared" si="10"/>
        <v>-4.0999999999999996</v>
      </c>
      <c r="I32" s="46"/>
    </row>
    <row r="33" spans="1:12" ht="24" customHeight="1" x14ac:dyDescent="0.35">
      <c r="B33" s="33" t="s">
        <v>24</v>
      </c>
      <c r="C33" s="34"/>
      <c r="D33" s="35">
        <f t="shared" si="8"/>
        <v>72.347000000000037</v>
      </c>
      <c r="E33" s="35">
        <f t="shared" si="8"/>
        <v>-17.329000000000054</v>
      </c>
      <c r="F33" s="35">
        <f t="shared" si="8"/>
        <v>12.016999999999978</v>
      </c>
      <c r="G33" s="35">
        <f t="shared" si="8"/>
        <v>38.817000000000021</v>
      </c>
      <c r="H33" s="35">
        <f t="shared" si="8"/>
        <v>72.694999999999908</v>
      </c>
      <c r="I33" s="34"/>
      <c r="J33" s="34"/>
    </row>
    <row r="34" spans="1:12" ht="24" customHeight="1" x14ac:dyDescent="0.35">
      <c r="B34" s="40" t="s">
        <v>25</v>
      </c>
      <c r="D34" s="32">
        <v>-20.849</v>
      </c>
      <c r="E34" s="32">
        <v>12.34</v>
      </c>
      <c r="F34" s="32">
        <v>-6.7770000000000001</v>
      </c>
      <c r="G34" s="32">
        <v>-14.276</v>
      </c>
      <c r="H34" s="32">
        <v>-24.780999999999999</v>
      </c>
    </row>
    <row r="35" spans="1:12" ht="24" customHeight="1" x14ac:dyDescent="0.35">
      <c r="B35" s="33" t="s">
        <v>26</v>
      </c>
      <c r="C35" s="34"/>
      <c r="D35" s="35">
        <f t="shared" si="3"/>
        <v>51.498000000000033</v>
      </c>
      <c r="E35" s="35">
        <f t="shared" si="3"/>
        <v>-4.9890000000000541</v>
      </c>
      <c r="F35" s="35">
        <f t="shared" si="3"/>
        <v>5.239999999999978</v>
      </c>
      <c r="G35" s="35">
        <f t="shared" si="3"/>
        <v>24.541000000000022</v>
      </c>
      <c r="H35" s="35">
        <f t="shared" si="3"/>
        <v>47.913999999999909</v>
      </c>
      <c r="I35" s="34"/>
      <c r="J35" s="36">
        <f t="shared" si="2"/>
        <v>-1.7872172637965218E-2</v>
      </c>
    </row>
    <row r="36" spans="1:12" ht="24" customHeight="1" x14ac:dyDescent="0.35">
      <c r="B36" s="38" t="s">
        <v>27</v>
      </c>
      <c r="D36" s="39">
        <f t="shared" ref="D36:H36" si="11">D35/D15</f>
        <v>9.6268380497325001E-2</v>
      </c>
      <c r="E36" s="39">
        <f t="shared" si="11"/>
        <v>-1.3980742501008987E-2</v>
      </c>
      <c r="F36" s="39">
        <f t="shared" si="11"/>
        <v>1.383808907609623E-2</v>
      </c>
      <c r="G36" s="39">
        <f t="shared" si="11"/>
        <v>4.7841097610187011E-2</v>
      </c>
      <c r="H36" s="39">
        <f t="shared" si="11"/>
        <v>8.6621988324815116E-2</v>
      </c>
    </row>
    <row r="38" spans="1:12" ht="24" customHeight="1" x14ac:dyDescent="0.35">
      <c r="A38" s="22" t="s">
        <v>5</v>
      </c>
      <c r="B38" s="24" t="s">
        <v>28</v>
      </c>
      <c r="C38" s="24"/>
      <c r="D38" s="24"/>
      <c r="E38" s="24"/>
      <c r="F38" s="24"/>
      <c r="G38" s="24"/>
      <c r="H38" s="24"/>
      <c r="I38" s="24"/>
      <c r="J38" s="24"/>
      <c r="K38" s="22" t="s">
        <v>5</v>
      </c>
    </row>
    <row r="39" spans="1:12" ht="6" customHeight="1" x14ac:dyDescent="0.35"/>
    <row r="40" spans="1:12" ht="24" customHeight="1" x14ac:dyDescent="0.35">
      <c r="D40" s="25">
        <v>42004</v>
      </c>
      <c r="E40" s="25">
        <f t="shared" si="0"/>
        <v>42369</v>
      </c>
      <c r="F40" s="25">
        <f t="shared" si="0"/>
        <v>42735</v>
      </c>
      <c r="G40" s="25">
        <f t="shared" si="0"/>
        <v>43100</v>
      </c>
      <c r="H40" s="25">
        <f t="shared" si="0"/>
        <v>43465</v>
      </c>
      <c r="J40" s="185"/>
    </row>
    <row r="41" spans="1:12" ht="24" customHeight="1" x14ac:dyDescent="0.35">
      <c r="B41" s="27"/>
      <c r="C41" s="27"/>
      <c r="D41" s="28">
        <f t="shared" si="1"/>
        <v>2014</v>
      </c>
      <c r="E41" s="28">
        <f t="shared" si="1"/>
        <v>2015</v>
      </c>
      <c r="F41" s="28">
        <f t="shared" si="1"/>
        <v>2016</v>
      </c>
      <c r="G41" s="28">
        <f t="shared" si="1"/>
        <v>2017</v>
      </c>
      <c r="H41" s="28">
        <f t="shared" si="1"/>
        <v>2018</v>
      </c>
      <c r="I41" s="27"/>
      <c r="J41" s="186"/>
    </row>
    <row r="42" spans="1:12" ht="6" customHeight="1" x14ac:dyDescent="0.35"/>
    <row r="43" spans="1:12" ht="24" customHeight="1" x14ac:dyDescent="0.35">
      <c r="B43" s="47" t="s">
        <v>29</v>
      </c>
      <c r="C43" s="48"/>
      <c r="D43" s="48"/>
      <c r="E43" s="48"/>
      <c r="F43" s="48"/>
      <c r="G43" s="48"/>
      <c r="H43" s="48"/>
      <c r="I43" s="48"/>
      <c r="J43" s="48"/>
    </row>
    <row r="44" spans="1:12" ht="6" customHeight="1" x14ac:dyDescent="0.35">
      <c r="B44" s="49"/>
    </row>
    <row r="45" spans="1:12" ht="24" customHeight="1" x14ac:dyDescent="0.35">
      <c r="B45" s="29" t="s">
        <v>30</v>
      </c>
      <c r="D45" s="30">
        <v>35.936999999999998</v>
      </c>
      <c r="E45" s="50">
        <f t="shared" ref="E45:H45" si="12">D45+E114</f>
        <v>39.93</v>
      </c>
      <c r="F45" s="50">
        <f t="shared" si="12"/>
        <v>60.603000000000002</v>
      </c>
      <c r="G45" s="50">
        <f t="shared" si="12"/>
        <v>23.068999999999996</v>
      </c>
      <c r="H45" s="50">
        <f t="shared" si="12"/>
        <v>22.013999999999992</v>
      </c>
      <c r="L45" s="51"/>
    </row>
    <row r="46" spans="1:12" ht="24" customHeight="1" x14ac:dyDescent="0.35">
      <c r="B46" s="29" t="s">
        <v>31</v>
      </c>
      <c r="D46" s="32">
        <v>48.573</v>
      </c>
      <c r="E46" s="32">
        <v>53.97</v>
      </c>
      <c r="F46" s="32">
        <v>72.971000000000004</v>
      </c>
      <c r="G46" s="32">
        <v>117.711</v>
      </c>
      <c r="H46" s="32">
        <v>130.76900000000001</v>
      </c>
      <c r="L46" s="51"/>
    </row>
    <row r="47" spans="1:12" ht="24" customHeight="1" x14ac:dyDescent="0.35">
      <c r="B47" s="29" t="s">
        <v>32</v>
      </c>
      <c r="D47" s="32">
        <v>66.905100000000004</v>
      </c>
      <c r="E47" s="32">
        <v>74.338999999999999</v>
      </c>
      <c r="F47" s="32">
        <v>59.19</v>
      </c>
      <c r="G47" s="32">
        <v>111.76900000000001</v>
      </c>
      <c r="H47" s="32">
        <v>124.506</v>
      </c>
      <c r="L47" s="51"/>
    </row>
    <row r="48" spans="1:12" ht="24" customHeight="1" x14ac:dyDescent="0.35">
      <c r="B48" s="29" t="s">
        <v>33</v>
      </c>
      <c r="D48" s="32">
        <v>9.8505000000000003</v>
      </c>
      <c r="E48" s="32">
        <v>10.945</v>
      </c>
      <c r="F48" s="32">
        <v>2.343</v>
      </c>
      <c r="G48" s="32">
        <v>3.02</v>
      </c>
      <c r="H48" s="32">
        <v>4.2279999999999998</v>
      </c>
      <c r="L48" s="51"/>
    </row>
    <row r="49" spans="2:12" ht="24" customHeight="1" x14ac:dyDescent="0.35">
      <c r="B49" s="29" t="s">
        <v>34</v>
      </c>
      <c r="D49" s="32">
        <v>12.452400000000001</v>
      </c>
      <c r="E49" s="32">
        <v>13.836</v>
      </c>
      <c r="F49" s="32">
        <v>8.11</v>
      </c>
      <c r="G49" s="32">
        <v>4.9089999999999998</v>
      </c>
      <c r="H49" s="32">
        <v>4.367</v>
      </c>
      <c r="L49" s="51"/>
    </row>
    <row r="50" spans="2:12" ht="24" customHeight="1" x14ac:dyDescent="0.35">
      <c r="B50" s="29" t="s">
        <v>35</v>
      </c>
      <c r="D50" s="32">
        <v>16.812000000000001</v>
      </c>
      <c r="E50" s="32">
        <v>18.68</v>
      </c>
      <c r="F50" s="32">
        <v>22.768000000000001</v>
      </c>
      <c r="G50" s="32">
        <v>33.326000000000001</v>
      </c>
      <c r="H50" s="32">
        <v>40.331000000000003</v>
      </c>
      <c r="L50" s="51"/>
    </row>
    <row r="51" spans="2:12" ht="24" customHeight="1" x14ac:dyDescent="0.35">
      <c r="B51" s="33" t="s">
        <v>36</v>
      </c>
      <c r="C51" s="34"/>
      <c r="D51" s="35">
        <f t="shared" ref="D51:H51" si="13">SUM(D45:D50)</f>
        <v>190.53000000000003</v>
      </c>
      <c r="E51" s="35">
        <f t="shared" si="13"/>
        <v>211.70000000000002</v>
      </c>
      <c r="F51" s="35">
        <f t="shared" si="13"/>
        <v>225.98499999999999</v>
      </c>
      <c r="G51" s="35">
        <f t="shared" si="13"/>
        <v>293.80400000000003</v>
      </c>
      <c r="H51" s="35">
        <f t="shared" si="13"/>
        <v>326.21500000000003</v>
      </c>
      <c r="I51" s="34"/>
      <c r="J51" s="34"/>
    </row>
    <row r="52" spans="2:12" ht="6" customHeight="1" x14ac:dyDescent="0.35"/>
    <row r="53" spans="2:12" ht="24" customHeight="1" x14ac:dyDescent="0.35">
      <c r="B53" s="29" t="s">
        <v>37</v>
      </c>
      <c r="D53" s="30">
        <v>178</v>
      </c>
      <c r="E53" s="30">
        <v>183.02500000000001</v>
      </c>
      <c r="F53" s="30">
        <v>182.68600000000001</v>
      </c>
      <c r="G53" s="30">
        <v>203.06800000000001</v>
      </c>
      <c r="H53" s="30">
        <v>209.93299999999999</v>
      </c>
    </row>
    <row r="54" spans="2:12" ht="24" customHeight="1" x14ac:dyDescent="0.35">
      <c r="B54" s="29" t="s">
        <v>38</v>
      </c>
      <c r="D54" s="32">
        <v>29.393999999999998</v>
      </c>
      <c r="E54" s="32">
        <v>29.393999999999998</v>
      </c>
      <c r="F54" s="32">
        <v>29.393999999999998</v>
      </c>
      <c r="G54" s="32">
        <v>32.731999999999999</v>
      </c>
      <c r="H54" s="32">
        <v>32.731999999999999</v>
      </c>
    </row>
    <row r="55" spans="2:12" ht="24" customHeight="1" x14ac:dyDescent="0.35">
      <c r="B55" s="29" t="s">
        <v>34</v>
      </c>
      <c r="D55" s="32">
        <v>12.6</v>
      </c>
      <c r="E55" s="32">
        <v>12.986000000000001</v>
      </c>
      <c r="F55" s="32">
        <v>12.69</v>
      </c>
      <c r="G55" s="32">
        <v>12.416</v>
      </c>
      <c r="H55" s="32">
        <v>11.792</v>
      </c>
    </row>
    <row r="56" spans="2:12" ht="24" customHeight="1" x14ac:dyDescent="0.35">
      <c r="B56" s="29" t="s">
        <v>39</v>
      </c>
      <c r="D56" s="32">
        <v>5.4</v>
      </c>
      <c r="E56" s="32">
        <v>5.45</v>
      </c>
      <c r="F56" s="32">
        <v>4.1529999999999996</v>
      </c>
      <c r="G56" s="32">
        <v>7.1950000000000003</v>
      </c>
      <c r="H56" s="32">
        <v>6.4379999999999997</v>
      </c>
    </row>
    <row r="57" spans="2:12" ht="24" customHeight="1" x14ac:dyDescent="0.35">
      <c r="B57" s="42" t="s">
        <v>40</v>
      </c>
      <c r="C57" s="43"/>
      <c r="D57" s="44">
        <f t="shared" ref="D57:H57" si="14">SUM(D51,D53:D56)</f>
        <v>415.92400000000004</v>
      </c>
      <c r="E57" s="44">
        <f t="shared" si="14"/>
        <v>442.55500000000001</v>
      </c>
      <c r="F57" s="44">
        <f t="shared" si="14"/>
        <v>454.90800000000002</v>
      </c>
      <c r="G57" s="44">
        <f t="shared" si="14"/>
        <v>549.21500000000015</v>
      </c>
      <c r="H57" s="44">
        <f t="shared" si="14"/>
        <v>587.11</v>
      </c>
      <c r="I57" s="43"/>
      <c r="J57" s="43"/>
    </row>
    <row r="59" spans="2:12" ht="24" customHeight="1" x14ac:dyDescent="0.35">
      <c r="B59" s="47" t="s">
        <v>41</v>
      </c>
      <c r="C59" s="48"/>
      <c r="D59" s="48"/>
      <c r="E59" s="48"/>
      <c r="F59" s="48"/>
      <c r="G59" s="48"/>
      <c r="H59" s="48"/>
      <c r="I59" s="48"/>
      <c r="J59" s="48"/>
    </row>
    <row r="60" spans="2:12" ht="6" customHeight="1" x14ac:dyDescent="0.35"/>
    <row r="61" spans="2:12" ht="24" customHeight="1" x14ac:dyDescent="0.35">
      <c r="B61" s="29" t="s">
        <v>42</v>
      </c>
      <c r="D61" s="30">
        <v>13</v>
      </c>
      <c r="E61" s="30">
        <v>15.992000000000001</v>
      </c>
      <c r="F61" s="30">
        <v>23.785</v>
      </c>
      <c r="G61" s="30">
        <v>57.442999999999998</v>
      </c>
      <c r="H61" s="30">
        <v>43.603000000000002</v>
      </c>
    </row>
    <row r="62" spans="2:12" ht="24" customHeight="1" x14ac:dyDescent="0.35">
      <c r="B62" s="29" t="s">
        <v>43</v>
      </c>
      <c r="D62" s="32">
        <v>16</v>
      </c>
      <c r="E62" s="32">
        <v>14.007</v>
      </c>
      <c r="F62" s="32">
        <v>11.987</v>
      </c>
      <c r="G62" s="32">
        <v>25.923999999999999</v>
      </c>
      <c r="H62" s="32">
        <v>10.65</v>
      </c>
    </row>
    <row r="63" spans="2:12" ht="24" customHeight="1" x14ac:dyDescent="0.35">
      <c r="B63" s="29" t="s">
        <v>44</v>
      </c>
      <c r="D63" s="32">
        <v>2.5</v>
      </c>
      <c r="E63" s="32">
        <v>2.2509999999999999</v>
      </c>
      <c r="F63" s="32">
        <v>1.698</v>
      </c>
      <c r="G63" s="32">
        <v>3.1030000000000002</v>
      </c>
      <c r="H63" s="32">
        <v>3.7189999999999999</v>
      </c>
    </row>
    <row r="64" spans="2:12" ht="24" customHeight="1" x14ac:dyDescent="0.35">
      <c r="B64" s="29" t="s">
        <v>45</v>
      </c>
      <c r="D64" s="32">
        <v>0</v>
      </c>
      <c r="E64" s="32">
        <v>0</v>
      </c>
      <c r="F64" s="32">
        <v>3.4329999999999998</v>
      </c>
      <c r="G64" s="32">
        <v>2.3359999999999999</v>
      </c>
      <c r="H64" s="32">
        <v>6.8940000000000001</v>
      </c>
    </row>
    <row r="65" spans="2:10" ht="24" customHeight="1" x14ac:dyDescent="0.35">
      <c r="B65" s="29" t="s">
        <v>46</v>
      </c>
      <c r="D65" s="32">
        <v>23</v>
      </c>
      <c r="E65" s="32">
        <v>27.074999999999999</v>
      </c>
      <c r="F65" s="32">
        <v>32.289000000000001</v>
      </c>
      <c r="G65" s="32">
        <v>34.069000000000003</v>
      </c>
      <c r="H65" s="32">
        <v>41.572000000000003</v>
      </c>
    </row>
    <row r="66" spans="2:10" ht="24" customHeight="1" x14ac:dyDescent="0.35">
      <c r="B66" s="33" t="s">
        <v>47</v>
      </c>
      <c r="C66" s="34"/>
      <c r="D66" s="35">
        <f t="shared" ref="D66:H89" si="15">SUM(D61:D65)</f>
        <v>54.5</v>
      </c>
      <c r="E66" s="35">
        <f t="shared" si="15"/>
        <v>59.325000000000003</v>
      </c>
      <c r="F66" s="35">
        <f t="shared" si="15"/>
        <v>73.192000000000007</v>
      </c>
      <c r="G66" s="35">
        <f t="shared" si="15"/>
        <v>122.87499999999999</v>
      </c>
      <c r="H66" s="35">
        <f t="shared" si="15"/>
        <v>106.438</v>
      </c>
      <c r="I66" s="34"/>
      <c r="J66" s="34"/>
    </row>
    <row r="67" spans="2:10" ht="6" customHeight="1" x14ac:dyDescent="0.35"/>
    <row r="68" spans="2:10" ht="24" customHeight="1" x14ac:dyDescent="0.35">
      <c r="B68" s="29" t="s">
        <v>48</v>
      </c>
      <c r="D68" s="30">
        <v>6</v>
      </c>
      <c r="E68" s="30">
        <v>8.6</v>
      </c>
      <c r="F68" s="30">
        <v>0</v>
      </c>
      <c r="G68" s="30">
        <v>6.625</v>
      </c>
      <c r="H68" s="30">
        <v>0.26100000000000001</v>
      </c>
    </row>
    <row r="69" spans="2:10" ht="24" customHeight="1" x14ac:dyDescent="0.35">
      <c r="B69" s="29" t="s">
        <v>49</v>
      </c>
      <c r="D69" s="32">
        <v>0</v>
      </c>
      <c r="E69" s="32">
        <v>0</v>
      </c>
      <c r="F69" s="32">
        <v>1.1679999999999999</v>
      </c>
      <c r="G69" s="32">
        <v>2.4340000000000002</v>
      </c>
      <c r="H69" s="32">
        <v>2.4159999999999999</v>
      </c>
    </row>
    <row r="70" spans="2:10" ht="24" customHeight="1" x14ac:dyDescent="0.35">
      <c r="B70" s="29" t="s">
        <v>50</v>
      </c>
      <c r="D70" s="32">
        <v>6.7</v>
      </c>
      <c r="E70" s="32">
        <v>12.471</v>
      </c>
      <c r="F70" s="32">
        <v>4.8789999999999996</v>
      </c>
      <c r="G70" s="32">
        <v>4.4740000000000002</v>
      </c>
      <c r="H70" s="32">
        <v>8.4870000000000001</v>
      </c>
    </row>
    <row r="71" spans="2:10" ht="24" customHeight="1" x14ac:dyDescent="0.35">
      <c r="B71" s="33" t="s">
        <v>51</v>
      </c>
      <c r="C71" s="34"/>
      <c r="D71" s="35">
        <f t="shared" ref="D71:H71" si="16">D66+SUM(D68:D70)</f>
        <v>67.2</v>
      </c>
      <c r="E71" s="35">
        <f t="shared" si="16"/>
        <v>80.396000000000001</v>
      </c>
      <c r="F71" s="35">
        <f t="shared" si="16"/>
        <v>79.239000000000004</v>
      </c>
      <c r="G71" s="35">
        <f t="shared" si="16"/>
        <v>136.40799999999999</v>
      </c>
      <c r="H71" s="35">
        <f t="shared" si="16"/>
        <v>117.602</v>
      </c>
      <c r="I71" s="34"/>
      <c r="J71" s="34"/>
    </row>
    <row r="72" spans="2:10" ht="6" customHeight="1" x14ac:dyDescent="0.35">
      <c r="B72" s="49"/>
      <c r="E72" s="41"/>
      <c r="F72" s="41"/>
      <c r="G72" s="41"/>
      <c r="H72" s="41"/>
    </row>
    <row r="73" spans="2:10" ht="24" customHeight="1" x14ac:dyDescent="0.35">
      <c r="B73" s="29" t="s">
        <v>52</v>
      </c>
      <c r="D73" s="32">
        <v>348.72400000000005</v>
      </c>
      <c r="E73" s="32">
        <v>362.15899999999999</v>
      </c>
      <c r="F73" s="32">
        <v>375.66899999999998</v>
      </c>
      <c r="G73" s="32">
        <v>412.80700000000002</v>
      </c>
      <c r="H73" s="32">
        <v>469.50799999999998</v>
      </c>
    </row>
    <row r="74" spans="2:10" ht="24" customHeight="1" x14ac:dyDescent="0.35">
      <c r="B74" s="42" t="s">
        <v>53</v>
      </c>
      <c r="C74" s="43"/>
      <c r="D74" s="44">
        <f t="shared" ref="D74:H74" si="17">SUM(D71,D73)</f>
        <v>415.92400000000004</v>
      </c>
      <c r="E74" s="44">
        <f t="shared" si="17"/>
        <v>442.55500000000001</v>
      </c>
      <c r="F74" s="44">
        <f t="shared" si="17"/>
        <v>454.90800000000002</v>
      </c>
      <c r="G74" s="44">
        <f t="shared" si="17"/>
        <v>549.21500000000003</v>
      </c>
      <c r="H74" s="44">
        <f t="shared" si="17"/>
        <v>587.11</v>
      </c>
      <c r="I74" s="43"/>
      <c r="J74" s="43"/>
    </row>
    <row r="75" spans="2:10" ht="24" customHeight="1" x14ac:dyDescent="0.35">
      <c r="D75" s="46"/>
    </row>
    <row r="76" spans="2:10" ht="24" customHeight="1" x14ac:dyDescent="0.35">
      <c r="B76" s="52" t="s">
        <v>54</v>
      </c>
      <c r="D76" s="46"/>
    </row>
    <row r="77" spans="2:10" ht="24" customHeight="1" x14ac:dyDescent="0.35">
      <c r="B77" s="29" t="s">
        <v>31</v>
      </c>
      <c r="D77" s="46">
        <f t="shared" ref="D77:H81" si="18">D46</f>
        <v>48.573</v>
      </c>
      <c r="E77" s="46">
        <f t="shared" si="18"/>
        <v>53.97</v>
      </c>
      <c r="F77" s="46">
        <f t="shared" si="18"/>
        <v>72.971000000000004</v>
      </c>
      <c r="G77" s="46">
        <f t="shared" si="18"/>
        <v>117.711</v>
      </c>
      <c r="H77" s="46">
        <f t="shared" si="18"/>
        <v>130.76900000000001</v>
      </c>
    </row>
    <row r="78" spans="2:10" ht="24" customHeight="1" x14ac:dyDescent="0.35">
      <c r="B78" s="29" t="s">
        <v>32</v>
      </c>
      <c r="D78" s="53">
        <f t="shared" si="18"/>
        <v>66.905100000000004</v>
      </c>
      <c r="E78" s="53">
        <f t="shared" si="18"/>
        <v>74.338999999999999</v>
      </c>
      <c r="F78" s="53">
        <f t="shared" si="18"/>
        <v>59.19</v>
      </c>
      <c r="G78" s="53">
        <f t="shared" si="18"/>
        <v>111.76900000000001</v>
      </c>
      <c r="H78" s="53">
        <f t="shared" si="18"/>
        <v>124.506</v>
      </c>
    </row>
    <row r="79" spans="2:10" ht="24" customHeight="1" x14ac:dyDescent="0.35">
      <c r="B79" s="29" t="s">
        <v>33</v>
      </c>
      <c r="D79" s="53">
        <f t="shared" si="18"/>
        <v>9.8505000000000003</v>
      </c>
      <c r="E79" s="53">
        <f t="shared" si="18"/>
        <v>10.945</v>
      </c>
      <c r="F79" s="53">
        <f t="shared" si="18"/>
        <v>2.343</v>
      </c>
      <c r="G79" s="53">
        <f t="shared" si="18"/>
        <v>3.02</v>
      </c>
      <c r="H79" s="53">
        <f t="shared" si="18"/>
        <v>4.2279999999999998</v>
      </c>
    </row>
    <row r="80" spans="2:10" ht="24" customHeight="1" x14ac:dyDescent="0.35">
      <c r="B80" s="29" t="s">
        <v>34</v>
      </c>
      <c r="D80" s="53">
        <f t="shared" si="18"/>
        <v>12.452400000000001</v>
      </c>
      <c r="E80" s="53">
        <f t="shared" si="18"/>
        <v>13.836</v>
      </c>
      <c r="F80" s="53">
        <f t="shared" si="18"/>
        <v>8.11</v>
      </c>
      <c r="G80" s="53">
        <f t="shared" si="18"/>
        <v>4.9089999999999998</v>
      </c>
      <c r="H80" s="53">
        <f t="shared" si="18"/>
        <v>4.367</v>
      </c>
    </row>
    <row r="81" spans="1:11" ht="24" customHeight="1" x14ac:dyDescent="0.35">
      <c r="B81" s="29" t="s">
        <v>35</v>
      </c>
      <c r="D81" s="53">
        <f t="shared" si="18"/>
        <v>16.812000000000001</v>
      </c>
      <c r="E81" s="53">
        <f t="shared" si="18"/>
        <v>18.68</v>
      </c>
      <c r="F81" s="53">
        <f t="shared" si="18"/>
        <v>22.768000000000001</v>
      </c>
      <c r="G81" s="53">
        <f t="shared" si="18"/>
        <v>33.326000000000001</v>
      </c>
      <c r="H81" s="53">
        <f t="shared" si="18"/>
        <v>40.331000000000003</v>
      </c>
    </row>
    <row r="82" spans="1:11" ht="24" customHeight="1" x14ac:dyDescent="0.35">
      <c r="B82" s="33" t="s">
        <v>55</v>
      </c>
      <c r="C82" s="34"/>
      <c r="D82" s="35">
        <f t="shared" si="15"/>
        <v>154.59300000000002</v>
      </c>
      <c r="E82" s="35">
        <f t="shared" si="15"/>
        <v>171.77</v>
      </c>
      <c r="F82" s="35">
        <f t="shared" si="15"/>
        <v>165.38199999999998</v>
      </c>
      <c r="G82" s="35">
        <f t="shared" si="15"/>
        <v>270.73500000000001</v>
      </c>
      <c r="H82" s="35">
        <f t="shared" si="15"/>
        <v>304.20100000000002</v>
      </c>
      <c r="I82" s="34"/>
      <c r="J82" s="34"/>
    </row>
    <row r="83" spans="1:11" ht="6" customHeight="1" x14ac:dyDescent="0.35">
      <c r="D83" s="46"/>
    </row>
    <row r="84" spans="1:11" ht="24" customHeight="1" x14ac:dyDescent="0.35">
      <c r="B84" s="29" t="s">
        <v>42</v>
      </c>
      <c r="D84" s="46">
        <f t="shared" ref="D84:H88" si="19">D61</f>
        <v>13</v>
      </c>
      <c r="E84" s="46">
        <f t="shared" si="19"/>
        <v>15.992000000000001</v>
      </c>
      <c r="F84" s="46">
        <f t="shared" si="19"/>
        <v>23.785</v>
      </c>
      <c r="G84" s="46">
        <f t="shared" si="19"/>
        <v>57.442999999999998</v>
      </c>
      <c r="H84" s="46">
        <f t="shared" si="19"/>
        <v>43.603000000000002</v>
      </c>
    </row>
    <row r="85" spans="1:11" ht="24" customHeight="1" x14ac:dyDescent="0.35">
      <c r="B85" s="29" t="s">
        <v>43</v>
      </c>
      <c r="D85" s="53">
        <f t="shared" si="19"/>
        <v>16</v>
      </c>
      <c r="E85" s="53">
        <f t="shared" si="19"/>
        <v>14.007</v>
      </c>
      <c r="F85" s="53">
        <f t="shared" si="19"/>
        <v>11.987</v>
      </c>
      <c r="G85" s="53">
        <f t="shared" si="19"/>
        <v>25.923999999999999</v>
      </c>
      <c r="H85" s="53">
        <f t="shared" si="19"/>
        <v>10.65</v>
      </c>
    </row>
    <row r="86" spans="1:11" ht="24" customHeight="1" x14ac:dyDescent="0.35">
      <c r="B86" s="29" t="s">
        <v>44</v>
      </c>
      <c r="D86" s="53">
        <f t="shared" si="19"/>
        <v>2.5</v>
      </c>
      <c r="E86" s="53">
        <f t="shared" si="19"/>
        <v>2.2509999999999999</v>
      </c>
      <c r="F86" s="53">
        <f t="shared" si="19"/>
        <v>1.698</v>
      </c>
      <c r="G86" s="53">
        <f t="shared" si="19"/>
        <v>3.1030000000000002</v>
      </c>
      <c r="H86" s="53">
        <f t="shared" si="19"/>
        <v>3.7189999999999999</v>
      </c>
    </row>
    <row r="87" spans="1:11" ht="24" customHeight="1" x14ac:dyDescent="0.35">
      <c r="B87" s="29" t="s">
        <v>45</v>
      </c>
      <c r="D87" s="53">
        <f t="shared" si="19"/>
        <v>0</v>
      </c>
      <c r="E87" s="53">
        <f t="shared" si="19"/>
        <v>0</v>
      </c>
      <c r="F87" s="53">
        <f t="shared" si="19"/>
        <v>3.4329999999999998</v>
      </c>
      <c r="G87" s="53">
        <f t="shared" si="19"/>
        <v>2.3359999999999999</v>
      </c>
      <c r="H87" s="53">
        <f t="shared" si="19"/>
        <v>6.8940000000000001</v>
      </c>
    </row>
    <row r="88" spans="1:11" ht="24" customHeight="1" x14ac:dyDescent="0.35">
      <c r="B88" s="29" t="s">
        <v>46</v>
      </c>
      <c r="D88" s="53">
        <f t="shared" si="19"/>
        <v>23</v>
      </c>
      <c r="E88" s="53">
        <f t="shared" si="19"/>
        <v>27.074999999999999</v>
      </c>
      <c r="F88" s="53">
        <f t="shared" si="19"/>
        <v>32.289000000000001</v>
      </c>
      <c r="G88" s="53">
        <f t="shared" si="19"/>
        <v>34.069000000000003</v>
      </c>
      <c r="H88" s="53">
        <f t="shared" si="19"/>
        <v>41.572000000000003</v>
      </c>
    </row>
    <row r="89" spans="1:11" ht="24" customHeight="1" x14ac:dyDescent="0.35">
      <c r="B89" s="33" t="s">
        <v>56</v>
      </c>
      <c r="C89" s="34"/>
      <c r="D89" s="35">
        <f t="shared" si="15"/>
        <v>54.5</v>
      </c>
      <c r="E89" s="35">
        <f t="shared" si="15"/>
        <v>59.325000000000003</v>
      </c>
      <c r="F89" s="35">
        <f t="shared" si="15"/>
        <v>73.192000000000007</v>
      </c>
      <c r="G89" s="35">
        <f t="shared" si="15"/>
        <v>122.87499999999999</v>
      </c>
      <c r="H89" s="35">
        <f t="shared" si="15"/>
        <v>106.438</v>
      </c>
      <c r="I89" s="34"/>
      <c r="J89" s="34"/>
    </row>
    <row r="90" spans="1:11" ht="6" customHeight="1" x14ac:dyDescent="0.35">
      <c r="B90" s="49"/>
      <c r="D90" s="46"/>
    </row>
    <row r="91" spans="1:11" ht="24" customHeight="1" x14ac:dyDescent="0.35">
      <c r="B91" s="54" t="s">
        <v>57</v>
      </c>
      <c r="C91" s="55"/>
      <c r="D91" s="56">
        <f t="shared" ref="D91:H91" si="20">D82-D89</f>
        <v>100.09300000000002</v>
      </c>
      <c r="E91" s="56">
        <f t="shared" si="20"/>
        <v>112.44500000000001</v>
      </c>
      <c r="F91" s="56">
        <f t="shared" si="20"/>
        <v>92.189999999999969</v>
      </c>
      <c r="G91" s="56">
        <f t="shared" si="20"/>
        <v>147.86000000000001</v>
      </c>
      <c r="H91" s="56">
        <f t="shared" si="20"/>
        <v>197.76300000000003</v>
      </c>
      <c r="I91" s="55"/>
      <c r="J91" s="57"/>
    </row>
    <row r="92" spans="1:11" ht="24" customHeight="1" x14ac:dyDescent="0.35">
      <c r="B92" s="58" t="s">
        <v>58</v>
      </c>
      <c r="C92" s="59"/>
      <c r="D92" s="60">
        <v>-8.6999999999999993</v>
      </c>
      <c r="E92" s="61">
        <f t="shared" ref="E92:H92" si="21">D91-E91</f>
        <v>-12.35199999999999</v>
      </c>
      <c r="F92" s="61">
        <f t="shared" si="21"/>
        <v>20.255000000000038</v>
      </c>
      <c r="G92" s="61">
        <f t="shared" si="21"/>
        <v>-55.670000000000044</v>
      </c>
      <c r="H92" s="61">
        <f t="shared" si="21"/>
        <v>-49.90300000000002</v>
      </c>
      <c r="I92" s="59"/>
      <c r="J92" s="62"/>
    </row>
    <row r="93" spans="1:11" ht="24" customHeight="1" x14ac:dyDescent="0.35">
      <c r="D93" s="46"/>
    </row>
    <row r="94" spans="1:11" ht="24" customHeight="1" x14ac:dyDescent="0.35">
      <c r="A94" s="22" t="s">
        <v>5</v>
      </c>
      <c r="B94" s="24" t="s">
        <v>59</v>
      </c>
      <c r="C94" s="24"/>
      <c r="D94" s="24"/>
      <c r="E94" s="24"/>
      <c r="F94" s="24"/>
      <c r="G94" s="24"/>
      <c r="H94" s="24"/>
      <c r="I94" s="24"/>
      <c r="J94" s="24"/>
      <c r="K94" s="22" t="s">
        <v>5</v>
      </c>
    </row>
    <row r="95" spans="1:11" ht="6" customHeight="1" x14ac:dyDescent="0.35"/>
    <row r="96" spans="1:11" ht="24" customHeight="1" x14ac:dyDescent="0.35">
      <c r="D96" s="25">
        <v>42004</v>
      </c>
      <c r="E96" s="25">
        <f t="shared" si="0"/>
        <v>42369</v>
      </c>
      <c r="F96" s="25">
        <f t="shared" si="0"/>
        <v>42735</v>
      </c>
      <c r="G96" s="25">
        <f t="shared" si="0"/>
        <v>43100</v>
      </c>
      <c r="H96" s="25">
        <f t="shared" si="0"/>
        <v>43465</v>
      </c>
      <c r="J96" s="185"/>
    </row>
    <row r="97" spans="2:10" ht="24" customHeight="1" x14ac:dyDescent="0.35">
      <c r="B97" s="27"/>
      <c r="C97" s="27"/>
      <c r="D97" s="28">
        <f t="shared" si="1"/>
        <v>2014</v>
      </c>
      <c r="E97" s="28">
        <f t="shared" si="1"/>
        <v>2015</v>
      </c>
      <c r="F97" s="28">
        <f t="shared" si="1"/>
        <v>2016</v>
      </c>
      <c r="G97" s="28">
        <f t="shared" si="1"/>
        <v>2017</v>
      </c>
      <c r="H97" s="28">
        <f t="shared" si="1"/>
        <v>2018</v>
      </c>
      <c r="I97" s="27"/>
      <c r="J97" s="186"/>
    </row>
    <row r="98" spans="2:10" ht="6" customHeight="1" x14ac:dyDescent="0.35">
      <c r="D98" s="63"/>
      <c r="E98" s="63"/>
      <c r="F98" s="63"/>
      <c r="G98" s="63"/>
      <c r="H98" s="63"/>
      <c r="J98" s="26"/>
    </row>
    <row r="99" spans="2:10" ht="24" customHeight="1" x14ac:dyDescent="0.35">
      <c r="B99" s="29" t="s">
        <v>26</v>
      </c>
      <c r="D99" s="46">
        <f t="shared" ref="D99:H99" si="22">D35</f>
        <v>51.498000000000033</v>
      </c>
      <c r="E99" s="46">
        <f t="shared" si="22"/>
        <v>-4.9890000000000541</v>
      </c>
      <c r="F99" s="46">
        <f t="shared" si="22"/>
        <v>5.239999999999978</v>
      </c>
      <c r="G99" s="46">
        <f t="shared" si="22"/>
        <v>24.541000000000022</v>
      </c>
      <c r="H99" s="46">
        <f t="shared" si="22"/>
        <v>47.913999999999909</v>
      </c>
    </row>
    <row r="100" spans="2:10" ht="24" customHeight="1" x14ac:dyDescent="0.35">
      <c r="B100" s="29" t="s">
        <v>60</v>
      </c>
      <c r="D100" s="53">
        <f t="shared" ref="D100:H100" si="23">-D28</f>
        <v>31.877967021575273</v>
      </c>
      <c r="E100" s="53">
        <f t="shared" si="23"/>
        <v>33.936517095239331</v>
      </c>
      <c r="F100" s="53">
        <f t="shared" si="23"/>
        <v>36.128</v>
      </c>
      <c r="G100" s="53">
        <f t="shared" si="23"/>
        <v>38.460999999999999</v>
      </c>
      <c r="H100" s="53">
        <f t="shared" si="23"/>
        <v>42.988999999999997</v>
      </c>
    </row>
    <row r="101" spans="2:10" ht="24" customHeight="1" x14ac:dyDescent="0.35">
      <c r="B101" s="34" t="s">
        <v>61</v>
      </c>
      <c r="C101" s="34"/>
      <c r="D101" s="64">
        <f t="shared" si="3"/>
        <v>83.375967021575306</v>
      </c>
      <c r="E101" s="64">
        <f t="shared" si="3"/>
        <v>28.947517095239277</v>
      </c>
      <c r="F101" s="64">
        <f t="shared" si="3"/>
        <v>41.367999999999981</v>
      </c>
      <c r="G101" s="64">
        <f t="shared" si="3"/>
        <v>63.002000000000024</v>
      </c>
      <c r="H101" s="64">
        <f t="shared" si="3"/>
        <v>90.902999999999906</v>
      </c>
      <c r="I101" s="34"/>
      <c r="J101" s="34"/>
    </row>
    <row r="102" spans="2:10" ht="24" customHeight="1" x14ac:dyDescent="0.35">
      <c r="B102" s="29" t="s">
        <v>62</v>
      </c>
      <c r="D102" s="53">
        <f t="shared" ref="D102:H102" si="24">D92</f>
        <v>-8.6999999999999993</v>
      </c>
      <c r="E102" s="53">
        <f t="shared" si="24"/>
        <v>-12.35199999999999</v>
      </c>
      <c r="F102" s="53">
        <f t="shared" si="24"/>
        <v>20.255000000000038</v>
      </c>
      <c r="G102" s="53">
        <f t="shared" si="24"/>
        <v>-55.670000000000044</v>
      </c>
      <c r="H102" s="53">
        <f t="shared" si="24"/>
        <v>-49.90300000000002</v>
      </c>
    </row>
    <row r="103" spans="2:10" ht="24" customHeight="1" x14ac:dyDescent="0.35">
      <c r="B103" s="33" t="s">
        <v>63</v>
      </c>
      <c r="C103" s="34"/>
      <c r="D103" s="35">
        <f t="shared" si="3"/>
        <v>74.675967021575303</v>
      </c>
      <c r="E103" s="35">
        <f t="shared" si="3"/>
        <v>16.595517095239288</v>
      </c>
      <c r="F103" s="35">
        <f t="shared" si="3"/>
        <v>61.623000000000019</v>
      </c>
      <c r="G103" s="35">
        <f t="shared" si="3"/>
        <v>7.3319999999999794</v>
      </c>
      <c r="H103" s="35">
        <f t="shared" si="3"/>
        <v>40.999999999999886</v>
      </c>
      <c r="I103" s="34"/>
      <c r="J103" s="34"/>
    </row>
    <row r="104" spans="2:10" ht="6" customHeight="1" x14ac:dyDescent="0.35"/>
    <row r="105" spans="2:10" ht="24" customHeight="1" x14ac:dyDescent="0.35">
      <c r="B105" s="29" t="s">
        <v>64</v>
      </c>
      <c r="D105" s="32">
        <v>-52.373218454306603</v>
      </c>
      <c r="E105" s="32">
        <v>-34.9370179551847</v>
      </c>
      <c r="F105" s="32">
        <v>-37.073</v>
      </c>
      <c r="G105" s="32">
        <v>-47.387</v>
      </c>
      <c r="H105" s="32">
        <v>-63.661999999999999</v>
      </c>
    </row>
    <row r="106" spans="2:10" ht="24" customHeight="1" x14ac:dyDescent="0.35">
      <c r="B106" s="29" t="s">
        <v>65</v>
      </c>
      <c r="D106" s="32">
        <v>0</v>
      </c>
      <c r="E106" s="32">
        <v>19.734500859945413</v>
      </c>
      <c r="F106" s="32">
        <v>4.722999999999983</v>
      </c>
      <c r="G106" s="32">
        <v>0</v>
      </c>
      <c r="H106" s="32">
        <v>27.971000000000114</v>
      </c>
    </row>
    <row r="107" spans="2:10" ht="24" customHeight="1" x14ac:dyDescent="0.35">
      <c r="B107" s="33" t="s">
        <v>66</v>
      </c>
      <c r="C107" s="34"/>
      <c r="D107" s="35">
        <f t="shared" si="3"/>
        <v>-52.373218454306603</v>
      </c>
      <c r="E107" s="35">
        <f t="shared" si="3"/>
        <v>-15.202517095239287</v>
      </c>
      <c r="F107" s="35">
        <f t="shared" si="3"/>
        <v>-32.350000000000016</v>
      </c>
      <c r="G107" s="35">
        <f t="shared" si="3"/>
        <v>-47.387</v>
      </c>
      <c r="H107" s="35">
        <f t="shared" si="3"/>
        <v>-35.690999999999889</v>
      </c>
      <c r="I107" s="34"/>
      <c r="J107" s="34"/>
    </row>
    <row r="108" spans="2:10" ht="6" customHeight="1" x14ac:dyDescent="0.35"/>
    <row r="109" spans="2:10" ht="24" customHeight="1" x14ac:dyDescent="0.35">
      <c r="B109" s="29" t="s">
        <v>67</v>
      </c>
      <c r="D109" s="46">
        <f t="shared" ref="D109:H109" si="25">D68-C68</f>
        <v>6</v>
      </c>
      <c r="E109" s="46">
        <f t="shared" si="25"/>
        <v>2.5999999999999996</v>
      </c>
      <c r="F109" s="46">
        <f t="shared" si="25"/>
        <v>-8.6</v>
      </c>
      <c r="G109" s="46">
        <f t="shared" si="25"/>
        <v>6.625</v>
      </c>
      <c r="H109" s="46">
        <f t="shared" si="25"/>
        <v>-6.3639999999999999</v>
      </c>
    </row>
    <row r="110" spans="2:10" ht="24" customHeight="1" x14ac:dyDescent="0.35">
      <c r="B110" s="29" t="s">
        <v>68</v>
      </c>
      <c r="D110" s="32">
        <v>0</v>
      </c>
      <c r="E110" s="32">
        <v>0</v>
      </c>
      <c r="F110" s="32">
        <v>0</v>
      </c>
      <c r="G110" s="32">
        <v>0</v>
      </c>
      <c r="H110" s="32">
        <v>0</v>
      </c>
    </row>
    <row r="111" spans="2:10" ht="24" customHeight="1" x14ac:dyDescent="0.35">
      <c r="B111" s="29" t="s">
        <v>69</v>
      </c>
      <c r="D111" s="32">
        <v>0</v>
      </c>
      <c r="E111" s="32">
        <v>0</v>
      </c>
      <c r="F111" s="32">
        <v>0</v>
      </c>
      <c r="G111" s="32">
        <v>-4.103999999999985</v>
      </c>
      <c r="H111" s="32">
        <v>0</v>
      </c>
    </row>
    <row r="112" spans="2:10" ht="24" customHeight="1" x14ac:dyDescent="0.35">
      <c r="B112" s="33" t="s">
        <v>70</v>
      </c>
      <c r="C112" s="34"/>
      <c r="D112" s="35">
        <f t="shared" ref="D112:H112" si="26">SUM(D109:D111)</f>
        <v>6</v>
      </c>
      <c r="E112" s="35">
        <f t="shared" si="26"/>
        <v>2.5999999999999996</v>
      </c>
      <c r="F112" s="35">
        <f t="shared" si="26"/>
        <v>-8.6</v>
      </c>
      <c r="G112" s="35">
        <f t="shared" si="26"/>
        <v>2.521000000000015</v>
      </c>
      <c r="H112" s="35">
        <f t="shared" si="26"/>
        <v>-6.3639999999999999</v>
      </c>
      <c r="I112" s="34"/>
      <c r="J112" s="34"/>
    </row>
    <row r="114" spans="2:10" ht="24" customHeight="1" x14ac:dyDescent="0.35">
      <c r="B114" s="65" t="s">
        <v>71</v>
      </c>
      <c r="C114" s="66"/>
      <c r="D114" s="67">
        <f t="shared" ref="D114:H114" si="27">SUM(D103,D107,D112)</f>
        <v>28.302748567268701</v>
      </c>
      <c r="E114" s="67">
        <f t="shared" si="27"/>
        <v>3.9930000000000003</v>
      </c>
      <c r="F114" s="67">
        <f t="shared" si="27"/>
        <v>20.673000000000002</v>
      </c>
      <c r="G114" s="67">
        <f t="shared" si="27"/>
        <v>-37.534000000000006</v>
      </c>
      <c r="H114" s="67">
        <f t="shared" si="27"/>
        <v>-1.0550000000000024</v>
      </c>
      <c r="I114" s="66"/>
      <c r="J114" s="68"/>
    </row>
    <row r="118" spans="2:10" ht="24" customHeight="1" x14ac:dyDescent="0.35">
      <c r="E118" s="46"/>
      <c r="F118" s="46"/>
      <c r="G118" s="46"/>
      <c r="H118" s="46"/>
    </row>
  </sheetData>
  <mergeCells count="3">
    <mergeCell ref="J10:J11"/>
    <mergeCell ref="J40:J41"/>
    <mergeCell ref="J96:J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56AA-1008-1383-E057-C4BDDAEA113E}">
  <sheetPr>
    <tabColor theme="8" tint="-0.249977111117893"/>
  </sheetPr>
  <dimension ref="A2:N64"/>
  <sheetViews>
    <sheetView showGridLines="0" topLeftCell="A2" zoomScale="57" zoomScaleNormal="80" workbookViewId="0">
      <selection activeCell="E17" sqref="E17"/>
    </sheetView>
  </sheetViews>
  <sheetFormatPr defaultColWidth="20.7265625" defaultRowHeight="24" customHeight="1" x14ac:dyDescent="0.35"/>
  <cols>
    <col min="1" max="1" width="10.7265625" style="29" customWidth="1"/>
    <col min="2" max="2" width="59.26953125" style="29" customWidth="1"/>
    <col min="3" max="3" width="20.7265625" style="29" customWidth="1"/>
    <col min="4" max="13" width="16.7265625" style="29" customWidth="1"/>
    <col min="14" max="14" width="20.7265625" style="29" customWidth="1"/>
  </cols>
  <sheetData>
    <row r="2" spans="1:14" ht="24" customHeight="1" x14ac:dyDescent="0.35">
      <c r="B2" s="17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ht="24" customHeight="1" x14ac:dyDescent="0.35">
      <c r="B3" s="19" t="s">
        <v>72</v>
      </c>
      <c r="L3" s="20"/>
      <c r="M3" s="20" t="s">
        <v>3</v>
      </c>
    </row>
    <row r="5" spans="1:14" ht="24" customHeight="1" x14ac:dyDescent="0.35">
      <c r="B5" s="21" t="s">
        <v>4</v>
      </c>
    </row>
    <row r="6" spans="1:14" ht="24" customHeight="1" x14ac:dyDescent="0.35">
      <c r="A6" s="22" t="s">
        <v>5</v>
      </c>
      <c r="B6" s="23" t="s">
        <v>73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2" t="s">
        <v>5</v>
      </c>
    </row>
    <row r="7" spans="1:14" ht="6" customHeight="1" x14ac:dyDescent="0.35">
      <c r="A7"/>
      <c r="B7"/>
      <c r="C7"/>
      <c r="D7"/>
      <c r="E7"/>
      <c r="F7"/>
      <c r="G7"/>
      <c r="H7"/>
      <c r="I7"/>
      <c r="J7"/>
      <c r="K7"/>
      <c r="L7"/>
    </row>
    <row r="8" spans="1:14" ht="24" customHeight="1" x14ac:dyDescent="0.35">
      <c r="A8"/>
      <c r="B8" s="69" t="s">
        <v>74</v>
      </c>
      <c r="C8" s="70"/>
      <c r="D8" s="70"/>
      <c r="E8" s="71">
        <f>'P&amp;L Drivers'!$E$8</f>
        <v>1</v>
      </c>
      <c r="F8"/>
      <c r="G8"/>
      <c r="H8"/>
      <c r="I8"/>
      <c r="J8"/>
      <c r="K8"/>
      <c r="L8"/>
    </row>
    <row r="9" spans="1:14" ht="6" customHeight="1" x14ac:dyDescent="0.35">
      <c r="A9"/>
      <c r="B9" s="70"/>
      <c r="C9" s="70"/>
      <c r="D9" s="70"/>
      <c r="E9" s="70"/>
      <c r="F9"/>
      <c r="G9"/>
      <c r="H9"/>
      <c r="I9"/>
      <c r="J9"/>
      <c r="K9"/>
      <c r="L9"/>
    </row>
    <row r="10" spans="1:14" ht="24" customHeight="1" x14ac:dyDescent="0.35">
      <c r="A10"/>
      <c r="B10" s="69" t="s">
        <v>75</v>
      </c>
      <c r="C10" s="70"/>
      <c r="D10" s="70"/>
      <c r="E10" s="72" t="str">
        <f>CHOOSE($E$8,B22,B23,B24)</f>
        <v>Base Case</v>
      </c>
      <c r="F10"/>
      <c r="G10"/>
      <c r="H10"/>
      <c r="I10"/>
      <c r="J10"/>
      <c r="K10"/>
      <c r="L10"/>
    </row>
    <row r="11" spans="1:14" ht="24" customHeight="1" x14ac:dyDescent="0.35">
      <c r="A11"/>
      <c r="B11"/>
      <c r="C11"/>
      <c r="D11"/>
      <c r="E11"/>
      <c r="F11"/>
      <c r="G11"/>
      <c r="H11"/>
      <c r="I11"/>
      <c r="J11"/>
      <c r="K11"/>
      <c r="L11"/>
    </row>
    <row r="12" spans="1:14" ht="24" customHeight="1" x14ac:dyDescent="0.35">
      <c r="D12" s="25">
        <v>42004</v>
      </c>
      <c r="E12" s="25">
        <f t="shared" ref="E12:M28" si="0">EOMONTH(D12,12)</f>
        <v>42369</v>
      </c>
      <c r="F12" s="25">
        <f t="shared" si="0"/>
        <v>42735</v>
      </c>
      <c r="G12" s="25">
        <f t="shared" si="0"/>
        <v>43100</v>
      </c>
      <c r="H12" s="25">
        <f t="shared" si="0"/>
        <v>43465</v>
      </c>
      <c r="I12" s="25">
        <f t="shared" si="0"/>
        <v>43830</v>
      </c>
      <c r="J12" s="25">
        <f t="shared" si="0"/>
        <v>44196</v>
      </c>
      <c r="K12" s="25">
        <f t="shared" si="0"/>
        <v>44561</v>
      </c>
      <c r="L12" s="25">
        <f t="shared" si="0"/>
        <v>44926</v>
      </c>
      <c r="M12" s="25">
        <f t="shared" si="0"/>
        <v>45291</v>
      </c>
    </row>
    <row r="13" spans="1:14" ht="24" customHeight="1" x14ac:dyDescent="0.35">
      <c r="B13" s="27"/>
      <c r="C13" s="27"/>
      <c r="D13" s="28">
        <f t="shared" ref="D13:M29" si="1">YEAR(D12)</f>
        <v>2014</v>
      </c>
      <c r="E13" s="28">
        <f t="shared" si="1"/>
        <v>2015</v>
      </c>
      <c r="F13" s="28">
        <f t="shared" si="1"/>
        <v>2016</v>
      </c>
      <c r="G13" s="28">
        <f t="shared" si="1"/>
        <v>2017</v>
      </c>
      <c r="H13" s="28">
        <f t="shared" si="1"/>
        <v>2018</v>
      </c>
      <c r="I13" s="73">
        <f t="shared" si="1"/>
        <v>2019</v>
      </c>
      <c r="J13" s="73">
        <f t="shared" si="1"/>
        <v>2020</v>
      </c>
      <c r="K13" s="73">
        <f t="shared" si="1"/>
        <v>2021</v>
      </c>
      <c r="L13" s="73">
        <f t="shared" si="1"/>
        <v>2022</v>
      </c>
      <c r="M13" s="73">
        <f t="shared" si="1"/>
        <v>2023</v>
      </c>
    </row>
    <row r="14" spans="1:14" ht="6" customHeight="1" x14ac:dyDescent="0.35"/>
    <row r="15" spans="1:14" ht="24" customHeight="1" x14ac:dyDescent="0.35">
      <c r="A15" s="22" t="s">
        <v>5</v>
      </c>
      <c r="B15" s="24" t="s">
        <v>77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2" t="s">
        <v>5</v>
      </c>
    </row>
    <row r="16" spans="1:14" ht="6" customHeight="1" x14ac:dyDescent="0.35"/>
    <row r="17" spans="1:14" ht="24" customHeight="1" x14ac:dyDescent="0.35">
      <c r="B17" s="29" t="s">
        <v>78</v>
      </c>
      <c r="D17" s="74">
        <f>'Historical Financials'!D105</f>
        <v>-52.373218454306603</v>
      </c>
      <c r="E17" s="74">
        <f>'Historical Financials'!E105</f>
        <v>-34.9370179551847</v>
      </c>
      <c r="F17" s="74">
        <f>'Historical Financials'!F105</f>
        <v>-37.073</v>
      </c>
      <c r="G17" s="74">
        <f>'Historical Financials'!G105</f>
        <v>-47.387</v>
      </c>
      <c r="H17" s="74">
        <f>'Historical Financials'!H105</f>
        <v>-63.661999999999999</v>
      </c>
      <c r="I17" s="74">
        <f>-PRODUCT(I$20,SUM('P&amp;L Drivers'!I17,'P&amp;L Drivers'!I28))</f>
        <v>-74.902428</v>
      </c>
      <c r="J17" s="74">
        <f>-PRODUCT(J$20,SUM('P&amp;L Drivers'!J17,'P&amp;L Drivers'!J28))</f>
        <v>-84.563962799999999</v>
      </c>
      <c r="K17" s="74">
        <f>-PRODUCT(K$20,SUM('P&amp;L Drivers'!K17,'P&amp;L Drivers'!K28))</f>
        <v>-95.517344879999982</v>
      </c>
      <c r="L17" s="74">
        <f>-PRODUCT(L$20,SUM('P&amp;L Drivers'!L17,'P&amp;L Drivers'!L28))</f>
        <v>-107.940613038</v>
      </c>
      <c r="M17" s="74">
        <f>-PRODUCT(M$20,SUM('P&amp;L Drivers'!M17,'P&amp;L Drivers'!M28))</f>
        <v>-122.03693806229997</v>
      </c>
    </row>
    <row r="18" spans="1:14" ht="24" customHeight="1" x14ac:dyDescent="0.35">
      <c r="B18" s="75" t="s">
        <v>79</v>
      </c>
      <c r="D18" s="76">
        <f>-D17/'Historical Financials'!D15</f>
        <v>9.7904480213381273E-2</v>
      </c>
      <c r="E18" s="76">
        <f>-E17/'Historical Financials'!E15</f>
        <v>9.7904480213381342E-2</v>
      </c>
      <c r="F18" s="76">
        <f>-F17/'Historical Financials'!F15</f>
        <v>9.7904480213381231E-2</v>
      </c>
      <c r="G18" s="76">
        <f>-G17/'Historical Financials'!G15</f>
        <v>9.2377901978482127E-2</v>
      </c>
      <c r="H18" s="76">
        <f>-H17/'Historical Financials'!H15</f>
        <v>0.11509222817411174</v>
      </c>
      <c r="I18" s="76">
        <f>-I17/SUM('P&amp;L Drivers'!I17,'P&amp;L Drivers'!I28)</f>
        <v>0.12</v>
      </c>
      <c r="J18" s="76">
        <f>-J17/SUM('P&amp;L Drivers'!J17,'P&amp;L Drivers'!J28)</f>
        <v>0.12</v>
      </c>
      <c r="K18" s="76">
        <f>-K17/SUM('P&amp;L Drivers'!K17,'P&amp;L Drivers'!K28)</f>
        <v>0.11999999999999998</v>
      </c>
      <c r="L18" s="76">
        <f>-L17/SUM('P&amp;L Drivers'!L17,'P&amp;L Drivers'!L28)</f>
        <v>0.12</v>
      </c>
      <c r="M18" s="76">
        <f>-M17/SUM('P&amp;L Drivers'!M17,'P&amp;L Drivers'!M28)</f>
        <v>0.12</v>
      </c>
    </row>
    <row r="20" spans="1:14" ht="24" customHeight="1" x14ac:dyDescent="0.35">
      <c r="B20" s="77" t="str">
        <f>"Operating Scenario: "&amp;$E$10&amp;" % of Total Revenue"</f>
        <v>Operating Scenario: Base Case % of Total Revenue</v>
      </c>
      <c r="C20" s="78"/>
      <c r="D20" s="78"/>
      <c r="E20" s="79"/>
      <c r="F20" s="79"/>
      <c r="G20" s="79"/>
      <c r="H20" s="80"/>
      <c r="I20" s="81">
        <f t="shared" ref="I20:M20" si="2">INDEX(I$22:I$24,MATCH($E$10,$B$22:$B$24,0),0)</f>
        <v>0.12</v>
      </c>
      <c r="J20" s="81">
        <f t="shared" si="2"/>
        <v>0.12</v>
      </c>
      <c r="K20" s="81">
        <f t="shared" si="2"/>
        <v>0.12</v>
      </c>
      <c r="L20" s="81">
        <f t="shared" si="2"/>
        <v>0.12</v>
      </c>
      <c r="M20" s="82">
        <f t="shared" si="2"/>
        <v>0.12</v>
      </c>
    </row>
    <row r="21" spans="1:14" ht="6" customHeight="1" x14ac:dyDescent="0.35">
      <c r="I21" s="83"/>
      <c r="J21" s="83"/>
      <c r="K21" s="83"/>
      <c r="L21" s="83"/>
      <c r="M21" s="83"/>
    </row>
    <row r="22" spans="1:14" ht="24" customHeight="1" x14ac:dyDescent="0.35">
      <c r="B22" s="75" t="s">
        <v>76</v>
      </c>
      <c r="I22" s="84">
        <v>0.12</v>
      </c>
      <c r="J22" s="84">
        <v>0.12</v>
      </c>
      <c r="K22" s="84">
        <v>0.12</v>
      </c>
      <c r="L22" s="84">
        <v>0.12</v>
      </c>
      <c r="M22" s="84">
        <v>0.12</v>
      </c>
    </row>
    <row r="23" spans="1:14" ht="24" customHeight="1" x14ac:dyDescent="0.35">
      <c r="B23" s="75" t="s">
        <v>80</v>
      </c>
      <c r="I23" s="84">
        <v>0.1</v>
      </c>
      <c r="J23" s="84">
        <v>0.1</v>
      </c>
      <c r="K23" s="84">
        <v>0.1</v>
      </c>
      <c r="L23" s="84">
        <v>0.1</v>
      </c>
      <c r="M23" s="84">
        <v>0.1</v>
      </c>
    </row>
    <row r="24" spans="1:14" ht="24" customHeight="1" x14ac:dyDescent="0.35">
      <c r="B24" s="75" t="s">
        <v>81</v>
      </c>
      <c r="I24" s="84">
        <v>0.15</v>
      </c>
      <c r="J24" s="84">
        <v>0.15</v>
      </c>
      <c r="K24" s="84">
        <v>0.15</v>
      </c>
      <c r="L24" s="84">
        <v>0.15</v>
      </c>
      <c r="M24" s="84">
        <v>0.15</v>
      </c>
    </row>
    <row r="26" spans="1:14" ht="24" customHeight="1" x14ac:dyDescent="0.35">
      <c r="A26" s="22" t="s">
        <v>5</v>
      </c>
      <c r="B26" s="23" t="s">
        <v>82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2" t="s">
        <v>5</v>
      </c>
    </row>
    <row r="27" spans="1:14" ht="6" customHeight="1" x14ac:dyDescent="0.35"/>
    <row r="28" spans="1:14" ht="24" customHeight="1" x14ac:dyDescent="0.35">
      <c r="D28" s="25">
        <v>42004</v>
      </c>
      <c r="E28" s="25">
        <f t="shared" si="0"/>
        <v>42369</v>
      </c>
      <c r="F28" s="25">
        <f t="shared" si="0"/>
        <v>42735</v>
      </c>
      <c r="G28" s="25">
        <f t="shared" si="0"/>
        <v>43100</v>
      </c>
      <c r="H28" s="25">
        <f t="shared" si="0"/>
        <v>43465</v>
      </c>
      <c r="I28" s="25">
        <f t="shared" si="0"/>
        <v>43830</v>
      </c>
      <c r="J28" s="25">
        <f t="shared" si="0"/>
        <v>44196</v>
      </c>
      <c r="K28" s="25">
        <f t="shared" si="0"/>
        <v>44561</v>
      </c>
      <c r="L28" s="25">
        <f t="shared" si="0"/>
        <v>44926</v>
      </c>
      <c r="M28" s="25">
        <f t="shared" si="0"/>
        <v>45291</v>
      </c>
    </row>
    <row r="29" spans="1:14" ht="24" customHeight="1" x14ac:dyDescent="0.35">
      <c r="B29" s="27"/>
      <c r="C29" s="27"/>
      <c r="D29" s="28">
        <f t="shared" si="1"/>
        <v>2014</v>
      </c>
      <c r="E29" s="28">
        <f t="shared" si="1"/>
        <v>2015</v>
      </c>
      <c r="F29" s="28">
        <f t="shared" si="1"/>
        <v>2016</v>
      </c>
      <c r="G29" s="28">
        <f t="shared" si="1"/>
        <v>2017</v>
      </c>
      <c r="H29" s="28">
        <f t="shared" si="1"/>
        <v>2018</v>
      </c>
      <c r="I29" s="73">
        <f t="shared" si="1"/>
        <v>2019</v>
      </c>
      <c r="J29" s="73">
        <f t="shared" si="1"/>
        <v>2020</v>
      </c>
      <c r="K29" s="73">
        <f t="shared" si="1"/>
        <v>2021</v>
      </c>
      <c r="L29" s="73">
        <f t="shared" si="1"/>
        <v>2022</v>
      </c>
      <c r="M29" s="73">
        <f t="shared" si="1"/>
        <v>2023</v>
      </c>
    </row>
    <row r="30" spans="1:14" ht="6" customHeight="1" x14ac:dyDescent="0.35"/>
    <row r="31" spans="1:14" ht="24" customHeight="1" x14ac:dyDescent="0.35">
      <c r="B31" s="85" t="s">
        <v>10</v>
      </c>
      <c r="C31" s="55"/>
      <c r="D31" s="86">
        <f>SUM('P&amp;L Drivers'!D17,'P&amp;L Drivers'!D28)</f>
        <v>534.94200000000001</v>
      </c>
      <c r="E31" s="86">
        <f>SUM('P&amp;L Drivers'!E17,'P&amp;L Drivers'!E28)</f>
        <v>356.84799999999996</v>
      </c>
      <c r="F31" s="86">
        <f>SUM('P&amp;L Drivers'!F17,'P&amp;L Drivers'!F28)</f>
        <v>378.66499999999996</v>
      </c>
      <c r="G31" s="86">
        <f>SUM('P&amp;L Drivers'!G17,'P&amp;L Drivers'!G28)</f>
        <v>512.96900000000005</v>
      </c>
      <c r="H31" s="86">
        <f>SUM('P&amp;L Drivers'!H17,'P&amp;L Drivers'!H28)</f>
        <v>553.13900000000001</v>
      </c>
      <c r="I31" s="86">
        <f>SUM('P&amp;L Drivers'!I17,'P&amp;L Drivers'!I28)</f>
        <v>624.18690000000004</v>
      </c>
      <c r="J31" s="86">
        <f>SUM('P&amp;L Drivers'!J17,'P&amp;L Drivers'!J28)</f>
        <v>704.69969000000003</v>
      </c>
      <c r="K31" s="86">
        <f>SUM('P&amp;L Drivers'!K17,'P&amp;L Drivers'!K28)</f>
        <v>795.97787399999993</v>
      </c>
      <c r="L31" s="86">
        <f>SUM('P&amp;L Drivers'!L17,'P&amp;L Drivers'!L28)</f>
        <v>899.50510865000001</v>
      </c>
      <c r="M31" s="87">
        <f>SUM('P&amp;L Drivers'!M17,'P&amp;L Drivers'!M28)</f>
        <v>1016.9744838524998</v>
      </c>
    </row>
    <row r="32" spans="1:14" ht="24" customHeight="1" x14ac:dyDescent="0.35">
      <c r="B32" s="88" t="s">
        <v>83</v>
      </c>
      <c r="C32" s="59"/>
      <c r="D32" s="89">
        <f>-SUM('P&amp;L Drivers'!D41,'P&amp;L Drivers'!D52)</f>
        <v>368.0990329784247</v>
      </c>
      <c r="E32" s="89">
        <f>-SUM('P&amp;L Drivers'!E41,'P&amp;L Drivers'!E52)</f>
        <v>286.17448290476068</v>
      </c>
      <c r="F32" s="89">
        <f>-SUM('P&amp;L Drivers'!F41,'P&amp;L Drivers'!F52)</f>
        <v>271.02800000000002</v>
      </c>
      <c r="G32" s="89">
        <f>-SUM('P&amp;L Drivers'!G41,'P&amp;L Drivers'!G52)</f>
        <v>370.33300000000003</v>
      </c>
      <c r="H32" s="89">
        <f>-SUM('P&amp;L Drivers'!H41,'P&amp;L Drivers'!H52)</f>
        <v>378.07000000000011</v>
      </c>
      <c r="I32" s="89">
        <f>-SUM('P&amp;L Drivers'!I41,'P&amp;L Drivers'!I52)</f>
        <v>405.72148500000003</v>
      </c>
      <c r="J32" s="89">
        <f>-SUM('P&amp;L Drivers'!J41,'P&amp;L Drivers'!J52)</f>
        <v>458.05479850000006</v>
      </c>
      <c r="K32" s="89">
        <f>-SUM('P&amp;L Drivers'!K41,'P&amp;L Drivers'!K52)</f>
        <v>517.38561809999999</v>
      </c>
      <c r="L32" s="89">
        <f>-SUM('P&amp;L Drivers'!L41,'P&amp;L Drivers'!L52)</f>
        <v>584.6783206225</v>
      </c>
      <c r="M32" s="90">
        <f>-SUM('P&amp;L Drivers'!M41,'P&amp;L Drivers'!M52)</f>
        <v>661.03341450412495</v>
      </c>
    </row>
    <row r="34" spans="2:13" ht="24" customHeight="1" x14ac:dyDescent="0.35">
      <c r="B34" s="52" t="s">
        <v>54</v>
      </c>
    </row>
    <row r="35" spans="2:13" ht="24" customHeight="1" x14ac:dyDescent="0.35">
      <c r="B35" s="29" t="s">
        <v>31</v>
      </c>
      <c r="D35" s="74">
        <f>'Historical Financials'!D77</f>
        <v>48.573</v>
      </c>
      <c r="E35" s="74">
        <f>'Historical Financials'!E77</f>
        <v>53.97</v>
      </c>
      <c r="F35" s="74">
        <f>'Historical Financials'!F77</f>
        <v>72.971000000000004</v>
      </c>
      <c r="G35" s="74">
        <f>'Historical Financials'!G77</f>
        <v>117.711</v>
      </c>
      <c r="H35" s="74">
        <f>'Historical Financials'!H77</f>
        <v>130.76900000000001</v>
      </c>
      <c r="I35" s="50">
        <f t="shared" ref="I35:M35" si="3">PRODUCT(I$54/365.25)*I$31</f>
        <v>145.25910061601644</v>
      </c>
      <c r="J35" s="50">
        <f t="shared" si="3"/>
        <v>163.99582108145106</v>
      </c>
      <c r="K35" s="50">
        <f t="shared" si="3"/>
        <v>185.23783515400407</v>
      </c>
      <c r="L35" s="50">
        <f t="shared" si="3"/>
        <v>209.33041542847363</v>
      </c>
      <c r="M35" s="50">
        <f t="shared" si="3"/>
        <v>236.66757324425046</v>
      </c>
    </row>
    <row r="36" spans="2:13" ht="24" customHeight="1" x14ac:dyDescent="0.35">
      <c r="B36" s="29" t="s">
        <v>32</v>
      </c>
      <c r="D36" s="91">
        <f>'Historical Financials'!D78</f>
        <v>66.905100000000004</v>
      </c>
      <c r="E36" s="91">
        <f>'Historical Financials'!E78</f>
        <v>74.338999999999999</v>
      </c>
      <c r="F36" s="91">
        <f>'Historical Financials'!F78</f>
        <v>59.19</v>
      </c>
      <c r="G36" s="91">
        <f>'Historical Financials'!G78</f>
        <v>111.76900000000001</v>
      </c>
      <c r="H36" s="91">
        <f>'Historical Financials'!H78</f>
        <v>124.506</v>
      </c>
      <c r="I36" s="92">
        <f t="shared" ref="I36:M36" si="4">PRODUCT(I$55/365.25)*I$32</f>
        <v>111.0804887063655</v>
      </c>
      <c r="J36" s="92">
        <f t="shared" si="4"/>
        <v>125.40856906228612</v>
      </c>
      <c r="K36" s="92">
        <f t="shared" si="4"/>
        <v>141.65246217659137</v>
      </c>
      <c r="L36" s="92">
        <f t="shared" si="4"/>
        <v>160.07620003353867</v>
      </c>
      <c r="M36" s="92">
        <f t="shared" si="4"/>
        <v>180.9810854220739</v>
      </c>
    </row>
    <row r="37" spans="2:13" ht="24" customHeight="1" x14ac:dyDescent="0.35">
      <c r="B37" s="29" t="s">
        <v>33</v>
      </c>
      <c r="D37" s="91">
        <f>'Historical Financials'!D79</f>
        <v>9.8505000000000003</v>
      </c>
      <c r="E37" s="91">
        <f>'Historical Financials'!E79</f>
        <v>10.945</v>
      </c>
      <c r="F37" s="91">
        <f>'Historical Financials'!F79</f>
        <v>2.343</v>
      </c>
      <c r="G37" s="91">
        <f>'Historical Financials'!G79</f>
        <v>3.02</v>
      </c>
      <c r="H37" s="91">
        <f>'Historical Financials'!H79</f>
        <v>4.2279999999999998</v>
      </c>
      <c r="I37" s="92">
        <f t="shared" ref="I37:M37" si="5">PRODUCT(I$56,I$31)</f>
        <v>6.2418690000000003</v>
      </c>
      <c r="J37" s="92">
        <f t="shared" si="5"/>
        <v>7.0469969000000008</v>
      </c>
      <c r="K37" s="92">
        <f t="shared" si="5"/>
        <v>7.9597787399999991</v>
      </c>
      <c r="L37" s="92">
        <f t="shared" si="5"/>
        <v>8.9950510865000002</v>
      </c>
      <c r="M37" s="92">
        <f t="shared" si="5"/>
        <v>10.169744838524998</v>
      </c>
    </row>
    <row r="38" spans="2:13" ht="24" customHeight="1" x14ac:dyDescent="0.35">
      <c r="B38" s="29" t="s">
        <v>34</v>
      </c>
      <c r="D38" s="91">
        <f>'Historical Financials'!D80</f>
        <v>12.452400000000001</v>
      </c>
      <c r="E38" s="91">
        <f>'Historical Financials'!E80</f>
        <v>13.836</v>
      </c>
      <c r="F38" s="91">
        <f>'Historical Financials'!F80</f>
        <v>8.11</v>
      </c>
      <c r="G38" s="91">
        <f>'Historical Financials'!G80</f>
        <v>4.9089999999999998</v>
      </c>
      <c r="H38" s="91">
        <f>'Historical Financials'!H80</f>
        <v>4.367</v>
      </c>
      <c r="I38" s="92">
        <f t="shared" ref="I38:M38" si="6">PRODUCT(I$57,I$31)</f>
        <v>9.3628035000000001</v>
      </c>
      <c r="J38" s="92">
        <f t="shared" si="6"/>
        <v>10.57049535</v>
      </c>
      <c r="K38" s="92">
        <f t="shared" si="6"/>
        <v>11.939668109999998</v>
      </c>
      <c r="L38" s="92">
        <f t="shared" si="6"/>
        <v>13.492576629749999</v>
      </c>
      <c r="M38" s="92">
        <f t="shared" si="6"/>
        <v>15.254617257787496</v>
      </c>
    </row>
    <row r="39" spans="2:13" ht="24" customHeight="1" x14ac:dyDescent="0.35">
      <c r="B39" s="29" t="s">
        <v>35</v>
      </c>
      <c r="D39" s="91">
        <f>'Historical Financials'!D81</f>
        <v>16.812000000000001</v>
      </c>
      <c r="E39" s="91">
        <f>'Historical Financials'!E81</f>
        <v>18.68</v>
      </c>
      <c r="F39" s="91">
        <f>'Historical Financials'!F81</f>
        <v>22.768000000000001</v>
      </c>
      <c r="G39" s="91">
        <f>'Historical Financials'!G81</f>
        <v>33.326000000000001</v>
      </c>
      <c r="H39" s="91">
        <f>'Historical Financials'!H81</f>
        <v>40.331000000000003</v>
      </c>
      <c r="I39" s="92">
        <f>PRODUCT(I$58,I$32)</f>
        <v>34.486326225000006</v>
      </c>
      <c r="J39" s="92">
        <f t="shared" ref="J39:M39" si="7">PRODUCT(J$58,J32)</f>
        <v>38.934657872500011</v>
      </c>
      <c r="K39" s="92">
        <f t="shared" si="7"/>
        <v>43.9777775385</v>
      </c>
      <c r="L39" s="92">
        <f t="shared" si="7"/>
        <v>49.697657252912506</v>
      </c>
      <c r="M39" s="92">
        <f t="shared" si="7"/>
        <v>56.187840232850625</v>
      </c>
    </row>
    <row r="40" spans="2:13" ht="24" customHeight="1" x14ac:dyDescent="0.35">
      <c r="B40" s="33" t="s">
        <v>55</v>
      </c>
      <c r="C40" s="34"/>
      <c r="D40" s="35">
        <f t="shared" ref="D40:M47" si="8">SUM(D35:D39)</f>
        <v>154.59300000000002</v>
      </c>
      <c r="E40" s="35">
        <f t="shared" si="8"/>
        <v>171.77</v>
      </c>
      <c r="F40" s="35">
        <f t="shared" si="8"/>
        <v>165.38199999999998</v>
      </c>
      <c r="G40" s="35">
        <f t="shared" si="8"/>
        <v>270.73500000000001</v>
      </c>
      <c r="H40" s="35">
        <f t="shared" si="8"/>
        <v>304.20100000000002</v>
      </c>
      <c r="I40" s="35">
        <f t="shared" si="8"/>
        <v>306.43058804738195</v>
      </c>
      <c r="J40" s="35">
        <f t="shared" si="8"/>
        <v>345.95654026623714</v>
      </c>
      <c r="K40" s="35">
        <f t="shared" si="8"/>
        <v>390.76752171909544</v>
      </c>
      <c r="L40" s="35">
        <f t="shared" si="8"/>
        <v>441.59190043117474</v>
      </c>
      <c r="M40" s="35">
        <f t="shared" si="8"/>
        <v>499.26086099548752</v>
      </c>
    </row>
    <row r="42" spans="2:13" ht="24" customHeight="1" x14ac:dyDescent="0.35">
      <c r="B42" s="29" t="s">
        <v>42</v>
      </c>
      <c r="D42" s="74">
        <f>'Historical Financials'!D84</f>
        <v>13</v>
      </c>
      <c r="E42" s="74">
        <f>'Historical Financials'!E84</f>
        <v>15.992000000000001</v>
      </c>
      <c r="F42" s="74">
        <f>'Historical Financials'!F84</f>
        <v>23.785</v>
      </c>
      <c r="G42" s="74">
        <f>'Historical Financials'!G84</f>
        <v>57.442999999999998</v>
      </c>
      <c r="H42" s="74">
        <f>'Historical Financials'!H84</f>
        <v>43.603000000000002</v>
      </c>
      <c r="I42" s="50">
        <f t="shared" ref="I42:M42" si="9">(I60/365.25)*I32</f>
        <v>44.432195482546206</v>
      </c>
      <c r="J42" s="50">
        <f t="shared" si="9"/>
        <v>50.163427624914448</v>
      </c>
      <c r="K42" s="50">
        <f t="shared" si="9"/>
        <v>56.660984870636547</v>
      </c>
      <c r="L42" s="50">
        <f t="shared" si="9"/>
        <v>64.03048001341547</v>
      </c>
      <c r="M42" s="50">
        <f t="shared" si="9"/>
        <v>72.392434168829553</v>
      </c>
    </row>
    <row r="43" spans="2:13" ht="24" customHeight="1" x14ac:dyDescent="0.35">
      <c r="B43" s="29" t="s">
        <v>43</v>
      </c>
      <c r="D43" s="91">
        <f>'Historical Financials'!D85</f>
        <v>16</v>
      </c>
      <c r="E43" s="91">
        <f>'Historical Financials'!E85</f>
        <v>14.007</v>
      </c>
      <c r="F43" s="91">
        <f>'Historical Financials'!F85</f>
        <v>11.987</v>
      </c>
      <c r="G43" s="91">
        <f>'Historical Financials'!G85</f>
        <v>25.923999999999999</v>
      </c>
      <c r="H43" s="91">
        <f>'Historical Financials'!H85</f>
        <v>10.65</v>
      </c>
      <c r="I43" s="53">
        <f t="shared" ref="I43:M43" si="10">PRODUCT(I$61,I$31)</f>
        <v>18.725607</v>
      </c>
      <c r="J43" s="53">
        <f t="shared" si="10"/>
        <v>21.1409907</v>
      </c>
      <c r="K43" s="53">
        <f t="shared" si="10"/>
        <v>23.879336219999995</v>
      </c>
      <c r="L43" s="53">
        <f t="shared" si="10"/>
        <v>26.985153259499999</v>
      </c>
      <c r="M43" s="53">
        <f t="shared" si="10"/>
        <v>30.509234515574992</v>
      </c>
    </row>
    <row r="44" spans="2:13" ht="24" customHeight="1" x14ac:dyDescent="0.35">
      <c r="B44" s="29" t="s">
        <v>44</v>
      </c>
      <c r="D44" s="91">
        <f>'Historical Financials'!D86</f>
        <v>2.5</v>
      </c>
      <c r="E44" s="91">
        <f>'Historical Financials'!E86</f>
        <v>2.2509999999999999</v>
      </c>
      <c r="F44" s="91">
        <f>'Historical Financials'!F86</f>
        <v>1.698</v>
      </c>
      <c r="G44" s="91">
        <f>'Historical Financials'!G86</f>
        <v>3.1030000000000002</v>
      </c>
      <c r="H44" s="91">
        <f>'Historical Financials'!H86</f>
        <v>3.7189999999999999</v>
      </c>
      <c r="I44" s="53">
        <f t="shared" ref="I44:M44" si="11">PRODUCT(I$62,I$31)</f>
        <v>3.1209345000000002</v>
      </c>
      <c r="J44" s="53">
        <f t="shared" si="11"/>
        <v>3.5234984500000004</v>
      </c>
      <c r="K44" s="53">
        <f t="shared" si="11"/>
        <v>3.9798893699999995</v>
      </c>
      <c r="L44" s="53">
        <f t="shared" si="11"/>
        <v>4.4975255432500001</v>
      </c>
      <c r="M44" s="53">
        <f t="shared" si="11"/>
        <v>5.0848724192624992</v>
      </c>
    </row>
    <row r="45" spans="2:13" ht="24" customHeight="1" x14ac:dyDescent="0.35">
      <c r="B45" s="29" t="s">
        <v>45</v>
      </c>
      <c r="D45" s="91">
        <f>'Historical Financials'!D87</f>
        <v>0</v>
      </c>
      <c r="E45" s="91">
        <f>'Historical Financials'!E87</f>
        <v>0</v>
      </c>
      <c r="F45" s="91">
        <f>'Historical Financials'!F87</f>
        <v>3.4329999999999998</v>
      </c>
      <c r="G45" s="91">
        <f>'Historical Financials'!G87</f>
        <v>2.3359999999999999</v>
      </c>
      <c r="H45" s="91">
        <f>'Historical Financials'!H87</f>
        <v>6.8940000000000001</v>
      </c>
      <c r="I45" s="53">
        <f t="shared" ref="I45:M45" si="12">PRODUCT(I$63,I$32)</f>
        <v>4.0572148500000003</v>
      </c>
      <c r="J45" s="53">
        <f t="shared" si="12"/>
        <v>4.5805479850000008</v>
      </c>
      <c r="K45" s="53">
        <f t="shared" si="12"/>
        <v>5.1738561809999997</v>
      </c>
      <c r="L45" s="53">
        <f t="shared" si="12"/>
        <v>5.846783206225</v>
      </c>
      <c r="M45" s="53">
        <f t="shared" si="12"/>
        <v>6.6103341450412501</v>
      </c>
    </row>
    <row r="46" spans="2:13" ht="24" customHeight="1" x14ac:dyDescent="0.35">
      <c r="B46" s="29" t="s">
        <v>46</v>
      </c>
      <c r="D46" s="91">
        <f>'Historical Financials'!D88</f>
        <v>23</v>
      </c>
      <c r="E46" s="91">
        <f>'Historical Financials'!E88</f>
        <v>27.074999999999999</v>
      </c>
      <c r="F46" s="91">
        <f>'Historical Financials'!F88</f>
        <v>32.289000000000001</v>
      </c>
      <c r="G46" s="91">
        <f>'Historical Financials'!G88</f>
        <v>34.069000000000003</v>
      </c>
      <c r="H46" s="91">
        <f>'Historical Financials'!H88</f>
        <v>41.572000000000003</v>
      </c>
      <c r="I46" s="53">
        <f t="shared" ref="I46:M46" si="13">PRODUCT(I$64,I$32)</f>
        <v>40.572148500000004</v>
      </c>
      <c r="J46" s="53">
        <f t="shared" si="13"/>
        <v>45.805479850000012</v>
      </c>
      <c r="K46" s="53">
        <f t="shared" si="13"/>
        <v>51.73856181</v>
      </c>
      <c r="L46" s="53">
        <f t="shared" si="13"/>
        <v>58.467832062250004</v>
      </c>
      <c r="M46" s="53">
        <f t="shared" si="13"/>
        <v>66.103341450412501</v>
      </c>
    </row>
    <row r="47" spans="2:13" ht="24" customHeight="1" x14ac:dyDescent="0.35">
      <c r="B47" s="33" t="s">
        <v>56</v>
      </c>
      <c r="C47" s="34"/>
      <c r="D47" s="35">
        <f t="shared" si="8"/>
        <v>54.5</v>
      </c>
      <c r="E47" s="35">
        <f t="shared" si="8"/>
        <v>59.325000000000003</v>
      </c>
      <c r="F47" s="35">
        <f t="shared" si="8"/>
        <v>73.192000000000007</v>
      </c>
      <c r="G47" s="35">
        <f t="shared" si="8"/>
        <v>122.87499999999999</v>
      </c>
      <c r="H47" s="35">
        <f t="shared" si="8"/>
        <v>106.438</v>
      </c>
      <c r="I47" s="35">
        <f t="shared" si="8"/>
        <v>110.90810033254621</v>
      </c>
      <c r="J47" s="35">
        <f t="shared" si="8"/>
        <v>125.21394460991446</v>
      </c>
      <c r="K47" s="35">
        <f t="shared" si="8"/>
        <v>141.43262845163653</v>
      </c>
      <c r="L47" s="35">
        <f t="shared" si="8"/>
        <v>159.82777408464048</v>
      </c>
      <c r="M47" s="35">
        <f t="shared" si="8"/>
        <v>180.7002166991208</v>
      </c>
    </row>
    <row r="48" spans="2:13" ht="24" customHeight="1" x14ac:dyDescent="0.35">
      <c r="B48" s="49"/>
    </row>
    <row r="49" spans="2:13" ht="24" customHeight="1" x14ac:dyDescent="0.35">
      <c r="B49" s="54" t="s">
        <v>57</v>
      </c>
      <c r="C49" s="55"/>
      <c r="D49" s="56">
        <f t="shared" ref="D49:M49" si="14">D40-D47</f>
        <v>100.09300000000002</v>
      </c>
      <c r="E49" s="56">
        <f t="shared" si="14"/>
        <v>112.44500000000001</v>
      </c>
      <c r="F49" s="56">
        <f t="shared" si="14"/>
        <v>92.189999999999969</v>
      </c>
      <c r="G49" s="56">
        <f t="shared" si="14"/>
        <v>147.86000000000001</v>
      </c>
      <c r="H49" s="56">
        <f t="shared" si="14"/>
        <v>197.76300000000003</v>
      </c>
      <c r="I49" s="56">
        <f t="shared" si="14"/>
        <v>195.52248771483573</v>
      </c>
      <c r="J49" s="56">
        <f t="shared" si="14"/>
        <v>220.74259565632269</v>
      </c>
      <c r="K49" s="56">
        <f t="shared" si="14"/>
        <v>249.33489326745891</v>
      </c>
      <c r="L49" s="56">
        <f t="shared" si="14"/>
        <v>281.76412634653423</v>
      </c>
      <c r="M49" s="93">
        <f t="shared" si="14"/>
        <v>318.56064429636672</v>
      </c>
    </row>
    <row r="50" spans="2:13" ht="24" customHeight="1" x14ac:dyDescent="0.35">
      <c r="B50" s="58" t="s">
        <v>58</v>
      </c>
      <c r="C50" s="59"/>
      <c r="D50" s="94">
        <f>'Historical Financials'!D92</f>
        <v>-8.6999999999999993</v>
      </c>
      <c r="E50" s="95">
        <f t="shared" ref="E50:M50" si="15">D49-E49</f>
        <v>-12.35199999999999</v>
      </c>
      <c r="F50" s="95">
        <f t="shared" si="15"/>
        <v>20.255000000000038</v>
      </c>
      <c r="G50" s="95">
        <f t="shared" si="15"/>
        <v>-55.670000000000044</v>
      </c>
      <c r="H50" s="95">
        <f t="shared" si="15"/>
        <v>-49.90300000000002</v>
      </c>
      <c r="I50" s="95">
        <f t="shared" si="15"/>
        <v>2.2405122851643</v>
      </c>
      <c r="J50" s="95">
        <f t="shared" si="15"/>
        <v>-25.220107941486958</v>
      </c>
      <c r="K50" s="95">
        <f t="shared" si="15"/>
        <v>-28.592297611136217</v>
      </c>
      <c r="L50" s="95">
        <f t="shared" si="15"/>
        <v>-32.429233079075317</v>
      </c>
      <c r="M50" s="96">
        <f t="shared" si="15"/>
        <v>-36.796517949832491</v>
      </c>
    </row>
    <row r="52" spans="2:13" ht="24" customHeight="1" x14ac:dyDescent="0.35">
      <c r="B52" s="97" t="s">
        <v>82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</row>
    <row r="53" spans="2:13" ht="6" customHeight="1" x14ac:dyDescent="0.35"/>
    <row r="54" spans="2:13" ht="24" customHeight="1" x14ac:dyDescent="0.35">
      <c r="B54" s="75" t="s">
        <v>84</v>
      </c>
      <c r="D54" s="53">
        <f t="shared" ref="D54:H55" si="16">D35/D31*365.25</f>
        <v>33.164881893738013</v>
      </c>
      <c r="E54" s="53">
        <f t="shared" si="16"/>
        <v>55.24072574317357</v>
      </c>
      <c r="F54" s="53">
        <f t="shared" si="16"/>
        <v>70.385849629619855</v>
      </c>
      <c r="G54" s="53">
        <f t="shared" si="16"/>
        <v>83.813920041951846</v>
      </c>
      <c r="H54" s="53">
        <f t="shared" si="16"/>
        <v>86.349682900681387</v>
      </c>
      <c r="I54" s="98">
        <v>85</v>
      </c>
      <c r="J54" s="53">
        <f t="shared" ref="J54:M54" si="17">$I$54</f>
        <v>85</v>
      </c>
      <c r="K54" s="53">
        <f t="shared" si="17"/>
        <v>85</v>
      </c>
      <c r="L54" s="53">
        <f t="shared" si="17"/>
        <v>85</v>
      </c>
      <c r="M54" s="53">
        <f t="shared" si="17"/>
        <v>85</v>
      </c>
    </row>
    <row r="55" spans="2:13" ht="24" customHeight="1" x14ac:dyDescent="0.35">
      <c r="B55" s="75" t="s">
        <v>85</v>
      </c>
      <c r="D55" s="53">
        <f t="shared" si="16"/>
        <v>66.387264256769527</v>
      </c>
      <c r="E55" s="53">
        <f t="shared" si="16"/>
        <v>94.88029636463547</v>
      </c>
      <c r="F55" s="53">
        <f t="shared" si="16"/>
        <v>79.76721039892557</v>
      </c>
      <c r="G55" s="53">
        <f t="shared" si="16"/>
        <v>110.23491627805247</v>
      </c>
      <c r="H55" s="53">
        <f t="shared" si="16"/>
        <v>120.28411802047236</v>
      </c>
      <c r="I55" s="98">
        <v>100</v>
      </c>
      <c r="J55" s="53">
        <f t="shared" ref="J55:M55" si="18">$I$55</f>
        <v>100</v>
      </c>
      <c r="K55" s="53">
        <f t="shared" si="18"/>
        <v>100</v>
      </c>
      <c r="L55" s="53">
        <f t="shared" si="18"/>
        <v>100</v>
      </c>
      <c r="M55" s="53">
        <f t="shared" si="18"/>
        <v>100</v>
      </c>
    </row>
    <row r="56" spans="2:13" ht="24" customHeight="1" x14ac:dyDescent="0.35">
      <c r="B56" s="75" t="s">
        <v>86</v>
      </c>
      <c r="D56" s="76">
        <f t="shared" ref="D56:H56" si="19">D37/D31</f>
        <v>1.8414145832632324E-2</v>
      </c>
      <c r="E56" s="76">
        <f t="shared" si="19"/>
        <v>3.0671322243644359E-2</v>
      </c>
      <c r="F56" s="76">
        <f t="shared" si="19"/>
        <v>6.1875272338346565E-3</v>
      </c>
      <c r="G56" s="76">
        <f t="shared" si="19"/>
        <v>5.8872953336361455E-3</v>
      </c>
      <c r="H56" s="76">
        <f t="shared" si="19"/>
        <v>7.6436483415561005E-3</v>
      </c>
      <c r="I56" s="84">
        <v>0.01</v>
      </c>
      <c r="J56" s="76">
        <f t="shared" ref="J56:M56" si="20">$I$56</f>
        <v>0.01</v>
      </c>
      <c r="K56" s="76">
        <f t="shared" si="20"/>
        <v>0.01</v>
      </c>
      <c r="L56" s="76">
        <f t="shared" si="20"/>
        <v>0.01</v>
      </c>
      <c r="M56" s="76">
        <f t="shared" si="20"/>
        <v>0.01</v>
      </c>
    </row>
    <row r="57" spans="2:13" ht="24" customHeight="1" x14ac:dyDescent="0.35">
      <c r="B57" s="75" t="s">
        <v>87</v>
      </c>
      <c r="D57" s="76">
        <f t="shared" ref="D57:H58" si="21">D38/D31</f>
        <v>2.3278037619031598E-2</v>
      </c>
      <c r="E57" s="76">
        <f t="shared" si="21"/>
        <v>3.8772810832623419E-2</v>
      </c>
      <c r="F57" s="76">
        <f t="shared" si="21"/>
        <v>2.1417347787622304E-2</v>
      </c>
      <c r="G57" s="76">
        <f t="shared" si="21"/>
        <v>9.5697790704701441E-3</v>
      </c>
      <c r="H57" s="76">
        <f t="shared" si="21"/>
        <v>7.8949414161720646E-3</v>
      </c>
      <c r="I57" s="84">
        <v>1.4999999999999999E-2</v>
      </c>
      <c r="J57" s="76">
        <f t="shared" ref="J57:M57" si="22">$I$57</f>
        <v>1.4999999999999999E-2</v>
      </c>
      <c r="K57" s="76">
        <f t="shared" si="22"/>
        <v>1.4999999999999999E-2</v>
      </c>
      <c r="L57" s="76">
        <f t="shared" si="22"/>
        <v>1.4999999999999999E-2</v>
      </c>
      <c r="M57" s="76">
        <f t="shared" si="22"/>
        <v>1.4999999999999999E-2</v>
      </c>
    </row>
    <row r="58" spans="2:13" ht="24" customHeight="1" x14ac:dyDescent="0.35">
      <c r="B58" s="75" t="s">
        <v>88</v>
      </c>
      <c r="D58" s="76">
        <f t="shared" si="21"/>
        <v>4.5672491622615587E-2</v>
      </c>
      <c r="E58" s="76">
        <f t="shared" si="21"/>
        <v>6.5274862420968305E-2</v>
      </c>
      <c r="F58" s="76">
        <f t="shared" si="21"/>
        <v>8.4006080552562826E-2</v>
      </c>
      <c r="G58" s="76">
        <f t="shared" si="21"/>
        <v>8.9989279918343754E-2</v>
      </c>
      <c r="H58" s="76">
        <f t="shared" si="21"/>
        <v>0.10667601237866002</v>
      </c>
      <c r="I58" s="84">
        <v>8.5000000000000006E-2</v>
      </c>
      <c r="J58" s="76">
        <f t="shared" ref="J58:M58" si="23">$I$58</f>
        <v>8.5000000000000006E-2</v>
      </c>
      <c r="K58" s="76">
        <f t="shared" si="23"/>
        <v>8.5000000000000006E-2</v>
      </c>
      <c r="L58" s="76">
        <f t="shared" si="23"/>
        <v>8.5000000000000006E-2</v>
      </c>
      <c r="M58" s="76">
        <f t="shared" si="23"/>
        <v>8.5000000000000006E-2</v>
      </c>
    </row>
    <row r="60" spans="2:13" ht="24" customHeight="1" x14ac:dyDescent="0.35">
      <c r="B60" s="75" t="s">
        <v>89</v>
      </c>
      <c r="D60" s="53">
        <f t="shared" ref="D60:H60" si="24">D42/D32*365.25</f>
        <v>12.899381890737832</v>
      </c>
      <c r="E60" s="53">
        <f t="shared" si="24"/>
        <v>20.4108973683161</v>
      </c>
      <c r="F60" s="53">
        <f t="shared" si="24"/>
        <v>32.053777653969327</v>
      </c>
      <c r="G60" s="53">
        <f t="shared" si="24"/>
        <v>56.654566970807352</v>
      </c>
      <c r="H60" s="53">
        <f t="shared" si="24"/>
        <v>42.12446306239584</v>
      </c>
      <c r="I60" s="98">
        <v>40</v>
      </c>
      <c r="J60" s="53">
        <f t="shared" ref="J60:M60" si="25">$I$60</f>
        <v>40</v>
      </c>
      <c r="K60" s="53">
        <f t="shared" si="25"/>
        <v>40</v>
      </c>
      <c r="L60" s="53">
        <f t="shared" si="25"/>
        <v>40</v>
      </c>
      <c r="M60" s="53">
        <f t="shared" si="25"/>
        <v>40</v>
      </c>
    </row>
    <row r="61" spans="2:13" ht="24" customHeight="1" x14ac:dyDescent="0.35">
      <c r="B61" s="75" t="s">
        <v>90</v>
      </c>
      <c r="D61" s="76">
        <f t="shared" ref="D61:H61" si="26">D43/D31</f>
        <v>2.9909784612163561E-2</v>
      </c>
      <c r="E61" s="76">
        <f t="shared" si="26"/>
        <v>3.9252006456530514E-2</v>
      </c>
      <c r="F61" s="76">
        <f t="shared" si="26"/>
        <v>3.165594918991721E-2</v>
      </c>
      <c r="G61" s="76">
        <f t="shared" si="26"/>
        <v>5.053716696330577E-2</v>
      </c>
      <c r="H61" s="76">
        <f t="shared" si="26"/>
        <v>1.9253749961582894E-2</v>
      </c>
      <c r="I61" s="84">
        <v>0.03</v>
      </c>
      <c r="J61" s="76">
        <f t="shared" ref="J61:M61" si="27">$I$61</f>
        <v>0.03</v>
      </c>
      <c r="K61" s="76">
        <f t="shared" si="27"/>
        <v>0.03</v>
      </c>
      <c r="L61" s="76">
        <f t="shared" si="27"/>
        <v>0.03</v>
      </c>
      <c r="M61" s="76">
        <f t="shared" si="27"/>
        <v>0.03</v>
      </c>
    </row>
    <row r="62" spans="2:13" ht="24" customHeight="1" x14ac:dyDescent="0.35">
      <c r="B62" s="75" t="s">
        <v>91</v>
      </c>
      <c r="D62" s="76">
        <f t="shared" ref="D62:H63" si="28">D44/D31</f>
        <v>4.6734038456505561E-3</v>
      </c>
      <c r="E62" s="76">
        <f t="shared" si="28"/>
        <v>6.3080078913150704E-3</v>
      </c>
      <c r="F62" s="76">
        <f t="shared" si="28"/>
        <v>4.4841746662617355E-3</v>
      </c>
      <c r="G62" s="76">
        <f t="shared" si="28"/>
        <v>6.0490984835340923E-3</v>
      </c>
      <c r="H62" s="76">
        <f t="shared" si="28"/>
        <v>6.7234456438616695E-3</v>
      </c>
      <c r="I62" s="84">
        <v>5.0000000000000001E-3</v>
      </c>
      <c r="J62" s="76">
        <f t="shared" ref="J62:M62" si="29">$I$62</f>
        <v>5.0000000000000001E-3</v>
      </c>
      <c r="K62" s="76">
        <f t="shared" si="29"/>
        <v>5.0000000000000001E-3</v>
      </c>
      <c r="L62" s="76">
        <f t="shared" si="29"/>
        <v>5.0000000000000001E-3</v>
      </c>
      <c r="M62" s="76">
        <f t="shared" si="29"/>
        <v>5.0000000000000001E-3</v>
      </c>
    </row>
    <row r="63" spans="2:13" ht="24" customHeight="1" x14ac:dyDescent="0.35">
      <c r="B63" s="75" t="s">
        <v>92</v>
      </c>
      <c r="D63" s="76">
        <f t="shared" si="28"/>
        <v>0</v>
      </c>
      <c r="E63" s="76">
        <f t="shared" si="28"/>
        <v>0</v>
      </c>
      <c r="F63" s="76">
        <f t="shared" si="28"/>
        <v>1.266658795401213E-2</v>
      </c>
      <c r="G63" s="76">
        <f t="shared" si="28"/>
        <v>6.3078364606988834E-3</v>
      </c>
      <c r="H63" s="76">
        <f t="shared" si="28"/>
        <v>1.8234718438384423E-2</v>
      </c>
      <c r="I63" s="84">
        <v>0.01</v>
      </c>
      <c r="J63" s="76">
        <f t="shared" ref="J63:M63" si="30">$I$63</f>
        <v>0.01</v>
      </c>
      <c r="K63" s="76">
        <f t="shared" si="30"/>
        <v>0.01</v>
      </c>
      <c r="L63" s="76">
        <f t="shared" si="30"/>
        <v>0.01</v>
      </c>
      <c r="M63" s="76">
        <f t="shared" si="30"/>
        <v>0.01</v>
      </c>
    </row>
    <row r="64" spans="2:13" ht="24" customHeight="1" x14ac:dyDescent="0.35">
      <c r="B64" s="75" t="s">
        <v>93</v>
      </c>
      <c r="D64" s="76">
        <f t="shared" ref="D64:H64" si="31">D46/D32</f>
        <v>6.248318506543888E-2</v>
      </c>
      <c r="E64" s="76">
        <f t="shared" si="31"/>
        <v>9.4610112422254644E-2</v>
      </c>
      <c r="F64" s="76">
        <f t="shared" si="31"/>
        <v>0.11913529229452308</v>
      </c>
      <c r="G64" s="76">
        <f t="shared" si="31"/>
        <v>9.1995582354259545E-2</v>
      </c>
      <c r="H64" s="76">
        <f t="shared" si="31"/>
        <v>0.10995847329859547</v>
      </c>
      <c r="I64" s="84">
        <v>0.1</v>
      </c>
      <c r="J64" s="76">
        <f t="shared" ref="J64:M64" si="32">$I$64</f>
        <v>0.1</v>
      </c>
      <c r="K64" s="76">
        <f t="shared" si="32"/>
        <v>0.1</v>
      </c>
      <c r="L64" s="76">
        <f t="shared" si="32"/>
        <v>0.1</v>
      </c>
      <c r="M64" s="76">
        <f t="shared" si="32"/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33D7-CDCB-B626-D30C-3E257F226D17}">
  <sheetPr>
    <tabColor theme="8" tint="-0.249977111117893"/>
  </sheetPr>
  <dimension ref="A2:N92"/>
  <sheetViews>
    <sheetView showGridLines="0" zoomScale="80" workbookViewId="0"/>
  </sheetViews>
  <sheetFormatPr defaultColWidth="20.7265625" defaultRowHeight="24" customHeight="1" x14ac:dyDescent="0.35"/>
  <cols>
    <col min="1" max="1" width="10.7265625" style="29" customWidth="1"/>
    <col min="2" max="2" width="59.26953125" style="29" customWidth="1"/>
    <col min="3" max="3" width="20.7265625" style="29" customWidth="1"/>
    <col min="4" max="13" width="16.7265625" style="29" customWidth="1"/>
    <col min="14" max="14" width="20.7265625" style="29" customWidth="1"/>
  </cols>
  <sheetData>
    <row r="2" spans="1:14" ht="24" customHeight="1" x14ac:dyDescent="0.35">
      <c r="B2" s="17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ht="24" customHeight="1" x14ac:dyDescent="0.35">
      <c r="B3" s="19" t="s">
        <v>94</v>
      </c>
      <c r="L3" s="20"/>
      <c r="M3" s="20" t="s">
        <v>3</v>
      </c>
    </row>
    <row r="5" spans="1:14" ht="24" customHeight="1" x14ac:dyDescent="0.35">
      <c r="B5" s="21" t="s">
        <v>4</v>
      </c>
    </row>
    <row r="6" spans="1:14" ht="24" customHeight="1" x14ac:dyDescent="0.35">
      <c r="A6" s="22" t="s">
        <v>5</v>
      </c>
      <c r="B6" s="23" t="s">
        <v>95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2" t="s">
        <v>5</v>
      </c>
    </row>
    <row r="7" spans="1:14" ht="6" customHeight="1" x14ac:dyDescent="0.35">
      <c r="A7"/>
      <c r="B7"/>
      <c r="C7"/>
      <c r="D7"/>
      <c r="E7"/>
      <c r="F7"/>
      <c r="G7"/>
      <c r="H7"/>
      <c r="I7"/>
      <c r="J7"/>
      <c r="K7"/>
      <c r="L7"/>
    </row>
    <row r="8" spans="1:14" ht="24" customHeight="1" x14ac:dyDescent="0.35">
      <c r="A8"/>
      <c r="B8" s="69" t="s">
        <v>74</v>
      </c>
      <c r="C8" s="70"/>
      <c r="D8" s="70"/>
      <c r="E8" s="99">
        <v>1</v>
      </c>
      <c r="F8"/>
      <c r="G8"/>
      <c r="H8"/>
      <c r="I8"/>
      <c r="J8"/>
      <c r="K8"/>
      <c r="L8"/>
    </row>
    <row r="9" spans="1:14" ht="6" customHeight="1" x14ac:dyDescent="0.35">
      <c r="A9"/>
      <c r="B9" s="70"/>
      <c r="C9" s="70"/>
      <c r="D9" s="70"/>
      <c r="E9" s="70"/>
      <c r="F9"/>
      <c r="G9"/>
      <c r="H9"/>
      <c r="I9"/>
      <c r="J9"/>
      <c r="K9"/>
      <c r="L9"/>
    </row>
    <row r="10" spans="1:14" ht="24" customHeight="1" x14ac:dyDescent="0.35">
      <c r="A10"/>
      <c r="B10" s="69" t="s">
        <v>75</v>
      </c>
      <c r="C10" s="70"/>
      <c r="D10" s="70"/>
      <c r="E10" s="72" t="str">
        <f>CHOOSE($E$8,B22,B23,B24)</f>
        <v>Base Case</v>
      </c>
      <c r="F10"/>
      <c r="G10"/>
      <c r="H10"/>
      <c r="I10"/>
      <c r="J10"/>
      <c r="K10"/>
      <c r="L10"/>
    </row>
    <row r="11" spans="1:14" ht="24" customHeight="1" x14ac:dyDescent="0.35">
      <c r="A11"/>
      <c r="B11"/>
      <c r="C11"/>
      <c r="D11"/>
      <c r="E11"/>
      <c r="F11"/>
      <c r="G11"/>
      <c r="H11"/>
      <c r="I11"/>
      <c r="J11"/>
      <c r="K11"/>
      <c r="L11"/>
    </row>
    <row r="12" spans="1:14" ht="24" customHeight="1" x14ac:dyDescent="0.35">
      <c r="D12" s="25">
        <v>42004</v>
      </c>
      <c r="E12" s="25">
        <f t="shared" ref="E12:M12" si="0">EOMONTH(D12,12)</f>
        <v>42369</v>
      </c>
      <c r="F12" s="25">
        <f t="shared" si="0"/>
        <v>42735</v>
      </c>
      <c r="G12" s="25">
        <f t="shared" si="0"/>
        <v>43100</v>
      </c>
      <c r="H12" s="25">
        <f t="shared" si="0"/>
        <v>43465</v>
      </c>
      <c r="I12" s="25">
        <f t="shared" si="0"/>
        <v>43830</v>
      </c>
      <c r="J12" s="25">
        <f t="shared" si="0"/>
        <v>44196</v>
      </c>
      <c r="K12" s="25">
        <f t="shared" si="0"/>
        <v>44561</v>
      </c>
      <c r="L12" s="25">
        <f t="shared" si="0"/>
        <v>44926</v>
      </c>
      <c r="M12" s="25">
        <f t="shared" si="0"/>
        <v>45291</v>
      </c>
    </row>
    <row r="13" spans="1:14" ht="24" customHeight="1" x14ac:dyDescent="0.35">
      <c r="B13" s="27"/>
      <c r="C13" s="27"/>
      <c r="D13" s="28">
        <f t="shared" ref="D13:M13" si="1">YEAR(D12)</f>
        <v>2014</v>
      </c>
      <c r="E13" s="28">
        <f t="shared" si="1"/>
        <v>2015</v>
      </c>
      <c r="F13" s="28">
        <f t="shared" si="1"/>
        <v>2016</v>
      </c>
      <c r="G13" s="28">
        <f t="shared" si="1"/>
        <v>2017</v>
      </c>
      <c r="H13" s="28">
        <f t="shared" si="1"/>
        <v>2018</v>
      </c>
      <c r="I13" s="73">
        <f t="shared" si="1"/>
        <v>2019</v>
      </c>
      <c r="J13" s="73">
        <f t="shared" si="1"/>
        <v>2020</v>
      </c>
      <c r="K13" s="73">
        <f t="shared" si="1"/>
        <v>2021</v>
      </c>
      <c r="L13" s="73">
        <f t="shared" si="1"/>
        <v>2022</v>
      </c>
      <c r="M13" s="73">
        <f t="shared" si="1"/>
        <v>2023</v>
      </c>
    </row>
    <row r="14" spans="1:14" ht="6" customHeight="1" x14ac:dyDescent="0.35"/>
    <row r="15" spans="1:14" ht="24" customHeight="1" x14ac:dyDescent="0.35">
      <c r="A15" s="22" t="s">
        <v>5</v>
      </c>
      <c r="B15" s="24" t="s">
        <v>96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2" t="s">
        <v>5</v>
      </c>
    </row>
    <row r="16" spans="1:14" ht="6" customHeight="1" x14ac:dyDescent="0.35"/>
    <row r="17" spans="1:14" ht="24" customHeight="1" x14ac:dyDescent="0.35">
      <c r="B17" s="29" t="s">
        <v>8</v>
      </c>
      <c r="D17" s="74">
        <f>'Historical Financials'!D13</f>
        <v>236.27699999999999</v>
      </c>
      <c r="E17" s="74">
        <f>'Historical Financials'!E13</f>
        <v>148.565</v>
      </c>
      <c r="F17" s="74">
        <f>'Historical Financials'!F13</f>
        <v>134.755</v>
      </c>
      <c r="G17" s="74">
        <f>'Historical Financials'!G13</f>
        <v>211.31299999999999</v>
      </c>
      <c r="H17" s="74">
        <f>'Historical Financials'!H13</f>
        <v>238.459</v>
      </c>
      <c r="I17" s="50">
        <f t="shared" ref="I17:M17" si="2">PRODUCT(H17,1+I$20)</f>
        <v>262.30490000000003</v>
      </c>
      <c r="J17" s="50">
        <f t="shared" si="2"/>
        <v>288.53539000000006</v>
      </c>
      <c r="K17" s="50">
        <f t="shared" si="2"/>
        <v>317.38892900000008</v>
      </c>
      <c r="L17" s="50">
        <f t="shared" si="2"/>
        <v>349.12782190000013</v>
      </c>
      <c r="M17" s="50">
        <f t="shared" si="2"/>
        <v>384.04060409000016</v>
      </c>
    </row>
    <row r="18" spans="1:14" ht="24" customHeight="1" x14ac:dyDescent="0.35">
      <c r="B18" s="38" t="s">
        <v>97</v>
      </c>
      <c r="E18" s="39">
        <f t="shared" ref="E18:M29" si="3">E17/D17-1</f>
        <v>-0.37122529911925406</v>
      </c>
      <c r="F18" s="39">
        <f t="shared" si="3"/>
        <v>-9.2955945209167723E-2</v>
      </c>
      <c r="G18" s="39">
        <f t="shared" si="3"/>
        <v>0.56812734221364702</v>
      </c>
      <c r="H18" s="39">
        <f t="shared" si="3"/>
        <v>0.12846346415033638</v>
      </c>
      <c r="I18" s="39">
        <f t="shared" si="3"/>
        <v>0.10000000000000009</v>
      </c>
      <c r="J18" s="39">
        <f t="shared" si="3"/>
        <v>0.10000000000000009</v>
      </c>
      <c r="K18" s="39">
        <f t="shared" si="3"/>
        <v>0.10000000000000009</v>
      </c>
      <c r="L18" s="39">
        <f t="shared" si="3"/>
        <v>0.10000000000000009</v>
      </c>
      <c r="M18" s="39">
        <f t="shared" si="3"/>
        <v>0.10000000000000009</v>
      </c>
    </row>
    <row r="20" spans="1:14" ht="24" customHeight="1" x14ac:dyDescent="0.35">
      <c r="B20" s="77" t="str">
        <f t="shared" ref="B20:B31" si="4">"Operating Scenario: "&amp;$E$10&amp;" Escalation Factors Per Annum"</f>
        <v>Operating Scenario: Base Case Escalation Factors Per Annum</v>
      </c>
      <c r="C20" s="78"/>
      <c r="D20" s="78"/>
      <c r="E20" s="79"/>
      <c r="F20" s="79"/>
      <c r="G20" s="79"/>
      <c r="H20" s="80"/>
      <c r="I20" s="81">
        <f t="shared" ref="I20:M20" si="5">INDEX(I$22:I$24,MATCH($E$10,$B$22:$B$24,0),0)</f>
        <v>0.1</v>
      </c>
      <c r="J20" s="81">
        <f t="shared" si="5"/>
        <v>0.1</v>
      </c>
      <c r="K20" s="81">
        <f t="shared" si="5"/>
        <v>0.1</v>
      </c>
      <c r="L20" s="81">
        <f t="shared" si="5"/>
        <v>0.1</v>
      </c>
      <c r="M20" s="82">
        <f t="shared" si="5"/>
        <v>0.1</v>
      </c>
    </row>
    <row r="21" spans="1:14" ht="6" customHeight="1" x14ac:dyDescent="0.35">
      <c r="I21" s="83"/>
      <c r="J21" s="83"/>
      <c r="K21" s="83"/>
      <c r="L21" s="83"/>
      <c r="M21" s="83"/>
    </row>
    <row r="22" spans="1:14" ht="24" customHeight="1" x14ac:dyDescent="0.35">
      <c r="B22" s="75" t="s">
        <v>76</v>
      </c>
      <c r="I22" s="84">
        <v>0.1</v>
      </c>
      <c r="J22" s="84">
        <v>0.1</v>
      </c>
      <c r="K22" s="84">
        <v>0.1</v>
      </c>
      <c r="L22" s="84">
        <v>0.1</v>
      </c>
      <c r="M22" s="84">
        <v>0.1</v>
      </c>
    </row>
    <row r="23" spans="1:14" ht="24" customHeight="1" x14ac:dyDescent="0.35">
      <c r="B23" s="75" t="s">
        <v>80</v>
      </c>
      <c r="I23" s="84">
        <v>0.2</v>
      </c>
      <c r="J23" s="84">
        <v>0.2</v>
      </c>
      <c r="K23" s="84">
        <v>0.2</v>
      </c>
      <c r="L23" s="84">
        <v>0.2</v>
      </c>
      <c r="M23" s="84">
        <v>0.2</v>
      </c>
    </row>
    <row r="24" spans="1:14" ht="24" customHeight="1" x14ac:dyDescent="0.35">
      <c r="B24" s="75" t="s">
        <v>81</v>
      </c>
      <c r="I24" s="84">
        <v>0.05</v>
      </c>
      <c r="J24" s="84">
        <v>0.05</v>
      </c>
      <c r="K24" s="84">
        <v>0.05</v>
      </c>
      <c r="L24" s="84">
        <v>0.05</v>
      </c>
      <c r="M24" s="84">
        <v>0.05</v>
      </c>
    </row>
    <row r="26" spans="1:14" ht="24" customHeight="1" x14ac:dyDescent="0.35">
      <c r="A26" s="22" t="s">
        <v>5</v>
      </c>
      <c r="B26" s="24" t="s">
        <v>98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2" t="s">
        <v>5</v>
      </c>
    </row>
    <row r="27" spans="1:14" ht="6" customHeight="1" x14ac:dyDescent="0.35"/>
    <row r="28" spans="1:14" ht="24" customHeight="1" x14ac:dyDescent="0.35">
      <c r="B28" s="29" t="s">
        <v>99</v>
      </c>
      <c r="D28" s="74">
        <f>'Historical Financials'!D14</f>
        <v>298.66500000000002</v>
      </c>
      <c r="E28" s="74">
        <f>'Historical Financials'!E14</f>
        <v>208.28299999999999</v>
      </c>
      <c r="F28" s="74">
        <f>'Historical Financials'!F14</f>
        <v>243.91</v>
      </c>
      <c r="G28" s="74">
        <f>'Historical Financials'!G14</f>
        <v>301.65600000000001</v>
      </c>
      <c r="H28" s="74">
        <f>'Historical Financials'!H14</f>
        <v>314.68</v>
      </c>
      <c r="I28" s="50">
        <f t="shared" ref="I28:M28" si="6">PRODUCT(H28,1+I$31)</f>
        <v>361.88200000000001</v>
      </c>
      <c r="J28" s="50">
        <f t="shared" si="6"/>
        <v>416.16429999999997</v>
      </c>
      <c r="K28" s="50">
        <f t="shared" si="6"/>
        <v>478.58894499999991</v>
      </c>
      <c r="L28" s="50">
        <f t="shared" si="6"/>
        <v>550.37728674999983</v>
      </c>
      <c r="M28" s="50">
        <f t="shared" si="6"/>
        <v>632.93387976249971</v>
      </c>
    </row>
    <row r="29" spans="1:14" ht="24" customHeight="1" x14ac:dyDescent="0.35">
      <c r="B29" s="38" t="s">
        <v>97</v>
      </c>
      <c r="E29" s="39">
        <f t="shared" si="3"/>
        <v>-0.30261999229906422</v>
      </c>
      <c r="F29" s="39">
        <f t="shared" si="3"/>
        <v>0.1710509259036983</v>
      </c>
      <c r="G29" s="39">
        <f t="shared" si="3"/>
        <v>0.2367512607109179</v>
      </c>
      <c r="H29" s="39">
        <f t="shared" si="3"/>
        <v>4.3175007293075662E-2</v>
      </c>
      <c r="I29" s="39">
        <f t="shared" si="3"/>
        <v>0.14999999999999991</v>
      </c>
      <c r="J29" s="39">
        <f t="shared" si="3"/>
        <v>0.14999999999999991</v>
      </c>
      <c r="K29" s="39">
        <f t="shared" si="3"/>
        <v>0.14999999999999991</v>
      </c>
      <c r="L29" s="39">
        <f t="shared" si="3"/>
        <v>0.14999999999999991</v>
      </c>
      <c r="M29" s="39">
        <f t="shared" si="3"/>
        <v>0.14999999999999991</v>
      </c>
    </row>
    <row r="31" spans="1:14" ht="24" customHeight="1" x14ac:dyDescent="0.35">
      <c r="B31" s="77" t="str">
        <f t="shared" si="4"/>
        <v>Operating Scenario: Base Case Escalation Factors Per Annum</v>
      </c>
      <c r="C31" s="78"/>
      <c r="D31" s="78"/>
      <c r="E31" s="79"/>
      <c r="F31" s="79"/>
      <c r="G31" s="79"/>
      <c r="H31" s="80"/>
      <c r="I31" s="81">
        <f t="shared" ref="I31:M31" si="7">INDEX(I$33:I$35,MATCH($E$10,$B$33:$B$35,0),0)</f>
        <v>0.15</v>
      </c>
      <c r="J31" s="81">
        <f t="shared" si="7"/>
        <v>0.15</v>
      </c>
      <c r="K31" s="81">
        <f t="shared" si="7"/>
        <v>0.15</v>
      </c>
      <c r="L31" s="81">
        <f t="shared" si="7"/>
        <v>0.15</v>
      </c>
      <c r="M31" s="82">
        <f t="shared" si="7"/>
        <v>0.15</v>
      </c>
    </row>
    <row r="32" spans="1:14" ht="6" customHeight="1" x14ac:dyDescent="0.35">
      <c r="I32" s="83"/>
      <c r="J32" s="83"/>
      <c r="K32" s="83"/>
      <c r="L32" s="83"/>
      <c r="M32" s="83"/>
    </row>
    <row r="33" spans="1:14" ht="24" customHeight="1" x14ac:dyDescent="0.35">
      <c r="B33" s="75" t="s">
        <v>76</v>
      </c>
      <c r="I33" s="84">
        <v>0.15</v>
      </c>
      <c r="J33" s="84">
        <v>0.15</v>
      </c>
      <c r="K33" s="84">
        <v>0.15</v>
      </c>
      <c r="L33" s="84">
        <v>0.15</v>
      </c>
      <c r="M33" s="84">
        <v>0.15</v>
      </c>
    </row>
    <row r="34" spans="1:14" ht="24" customHeight="1" x14ac:dyDescent="0.35">
      <c r="B34" s="75" t="s">
        <v>80</v>
      </c>
      <c r="I34" s="84">
        <v>0.2</v>
      </c>
      <c r="J34" s="84">
        <v>0.2</v>
      </c>
      <c r="K34" s="84">
        <v>0.2</v>
      </c>
      <c r="L34" s="84">
        <v>0.2</v>
      </c>
      <c r="M34" s="84">
        <v>0.2</v>
      </c>
    </row>
    <row r="35" spans="1:14" ht="24" customHeight="1" x14ac:dyDescent="0.35">
      <c r="B35" s="75" t="s">
        <v>81</v>
      </c>
      <c r="I35" s="84">
        <v>0.1</v>
      </c>
      <c r="J35" s="84">
        <v>0.1</v>
      </c>
      <c r="K35" s="84">
        <v>0.1</v>
      </c>
      <c r="L35" s="84">
        <v>0.1</v>
      </c>
      <c r="M35" s="84">
        <v>0.1</v>
      </c>
    </row>
    <row r="37" spans="1:14" ht="24" customHeight="1" x14ac:dyDescent="0.35">
      <c r="A37" s="22" t="s">
        <v>5</v>
      </c>
      <c r="B37" s="23" t="s">
        <v>100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2" t="s">
        <v>5</v>
      </c>
    </row>
    <row r="38" spans="1:14" ht="6" customHeight="1" x14ac:dyDescent="0.35"/>
    <row r="39" spans="1:14" ht="24" customHeight="1" x14ac:dyDescent="0.35">
      <c r="A39" s="22" t="s">
        <v>5</v>
      </c>
      <c r="B39" s="24" t="s">
        <v>101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2" t="s">
        <v>5</v>
      </c>
    </row>
    <row r="40" spans="1:14" ht="6" customHeight="1" x14ac:dyDescent="0.35"/>
    <row r="41" spans="1:14" ht="24" customHeight="1" x14ac:dyDescent="0.35">
      <c r="B41" s="29" t="s">
        <v>102</v>
      </c>
      <c r="D41" s="74">
        <f>'Historical Financials'!D18</f>
        <v>-141.08298690831094</v>
      </c>
      <c r="E41" s="74">
        <f>'Historical Financials'!E18</f>
        <v>-101.54866807961822</v>
      </c>
      <c r="F41" s="74">
        <f>'Historical Financials'!F18</f>
        <v>-85.732824714477331</v>
      </c>
      <c r="G41" s="74">
        <f>'Historical Financials'!G18</f>
        <v>-140.56916428323314</v>
      </c>
      <c r="H41" s="74">
        <f>'Historical Financials'!H18</f>
        <v>-158.40880034009211</v>
      </c>
      <c r="I41" s="50">
        <f t="shared" ref="I41:M41" si="8">-PRODUCT(I$44,I17)</f>
        <v>-170.49818500000003</v>
      </c>
      <c r="J41" s="50">
        <f t="shared" si="8"/>
        <v>-187.54800350000005</v>
      </c>
      <c r="K41" s="50">
        <f t="shared" si="8"/>
        <v>-206.30280385000006</v>
      </c>
      <c r="L41" s="50">
        <f t="shared" si="8"/>
        <v>-226.93308423500008</v>
      </c>
      <c r="M41" s="50">
        <f t="shared" si="8"/>
        <v>-249.62639265850012</v>
      </c>
    </row>
    <row r="42" spans="1:14" ht="24" customHeight="1" x14ac:dyDescent="0.35">
      <c r="B42" s="75" t="s">
        <v>103</v>
      </c>
      <c r="D42" s="76">
        <f t="shared" ref="D42:M53" si="9">-D41/D17</f>
        <v>0.59710842319951141</v>
      </c>
      <c r="E42" s="76">
        <f t="shared" si="9"/>
        <v>0.6835302263629941</v>
      </c>
      <c r="F42" s="76">
        <f t="shared" si="9"/>
        <v>0.63621256884328847</v>
      </c>
      <c r="G42" s="76">
        <f t="shared" si="9"/>
        <v>0.66521777781411051</v>
      </c>
      <c r="H42" s="76">
        <f t="shared" si="9"/>
        <v>0.6643020407704977</v>
      </c>
      <c r="I42" s="76">
        <f t="shared" si="9"/>
        <v>0.65</v>
      </c>
      <c r="J42" s="76">
        <f t="shared" si="9"/>
        <v>0.65</v>
      </c>
      <c r="K42" s="76">
        <f t="shared" si="9"/>
        <v>0.65</v>
      </c>
      <c r="L42" s="76">
        <f t="shared" si="9"/>
        <v>0.65</v>
      </c>
      <c r="M42" s="76">
        <f t="shared" si="9"/>
        <v>0.65</v>
      </c>
    </row>
    <row r="44" spans="1:14" ht="24" customHeight="1" x14ac:dyDescent="0.35">
      <c r="B44" s="77" t="str">
        <f>"Operating Scenario: "&amp;$E$10&amp;" % of Products Revenue"</f>
        <v>Operating Scenario: Base Case % of Products Revenue</v>
      </c>
      <c r="C44" s="78"/>
      <c r="D44" s="78"/>
      <c r="E44" s="79"/>
      <c r="F44" s="79"/>
      <c r="G44" s="79"/>
      <c r="H44" s="80"/>
      <c r="I44" s="81">
        <f t="shared" ref="I44:M44" si="10">INDEX(I$46:I$48,MATCH($E$10,$B$46:$B$48,0),0)</f>
        <v>0.65</v>
      </c>
      <c r="J44" s="81">
        <f t="shared" si="10"/>
        <v>0.65</v>
      </c>
      <c r="K44" s="81">
        <f t="shared" si="10"/>
        <v>0.65</v>
      </c>
      <c r="L44" s="81">
        <f t="shared" si="10"/>
        <v>0.65</v>
      </c>
      <c r="M44" s="82">
        <f t="shared" si="10"/>
        <v>0.65</v>
      </c>
    </row>
    <row r="45" spans="1:14" ht="6" customHeight="1" x14ac:dyDescent="0.35">
      <c r="I45" s="83"/>
      <c r="J45" s="83"/>
      <c r="K45" s="83"/>
      <c r="L45" s="83"/>
      <c r="M45" s="83"/>
    </row>
    <row r="46" spans="1:14" ht="24" customHeight="1" x14ac:dyDescent="0.35">
      <c r="B46" s="75" t="s">
        <v>76</v>
      </c>
      <c r="I46" s="84">
        <v>0.65</v>
      </c>
      <c r="J46" s="84">
        <v>0.65</v>
      </c>
      <c r="K46" s="84">
        <v>0.65</v>
      </c>
      <c r="L46" s="84">
        <v>0.65</v>
      </c>
      <c r="M46" s="84">
        <v>0.65</v>
      </c>
    </row>
    <row r="47" spans="1:14" ht="24" customHeight="1" x14ac:dyDescent="0.35">
      <c r="B47" s="75" t="s">
        <v>80</v>
      </c>
      <c r="I47" s="84">
        <v>0.6</v>
      </c>
      <c r="J47" s="84">
        <v>0.6</v>
      </c>
      <c r="K47" s="84">
        <v>0.6</v>
      </c>
      <c r="L47" s="84">
        <v>0.6</v>
      </c>
      <c r="M47" s="84">
        <v>0.6</v>
      </c>
    </row>
    <row r="48" spans="1:14" ht="24" customHeight="1" x14ac:dyDescent="0.35">
      <c r="B48" s="75" t="s">
        <v>81</v>
      </c>
      <c r="I48" s="84">
        <v>0.7</v>
      </c>
      <c r="J48" s="84">
        <v>0.7</v>
      </c>
      <c r="K48" s="84">
        <v>0.7</v>
      </c>
      <c r="L48" s="84">
        <v>0.7</v>
      </c>
      <c r="M48" s="84">
        <v>0.7</v>
      </c>
    </row>
    <row r="50" spans="1:14" ht="24" customHeight="1" x14ac:dyDescent="0.35">
      <c r="A50" s="22" t="s">
        <v>5</v>
      </c>
      <c r="B50" s="24" t="s">
        <v>104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2" t="s">
        <v>5</v>
      </c>
    </row>
    <row r="51" spans="1:14" ht="6" customHeight="1" x14ac:dyDescent="0.35"/>
    <row r="52" spans="1:14" ht="24" customHeight="1" x14ac:dyDescent="0.35">
      <c r="B52" s="29" t="s">
        <v>105</v>
      </c>
      <c r="D52" s="74">
        <f>'Historical Financials'!D19</f>
        <v>-227.01604607011376</v>
      </c>
      <c r="E52" s="74">
        <f>'Historical Financials'!E19</f>
        <v>-184.62581482514247</v>
      </c>
      <c r="F52" s="74">
        <f>'Historical Financials'!F19</f>
        <v>-185.29517528552267</v>
      </c>
      <c r="G52" s="74">
        <f>'Historical Financials'!G19</f>
        <v>-229.76383571676689</v>
      </c>
      <c r="H52" s="74">
        <f>'Historical Financials'!H19</f>
        <v>-219.66119965990799</v>
      </c>
      <c r="I52" s="50">
        <f t="shared" ref="I52:M52" si="11">-PRODUCT(I$55,I28)</f>
        <v>-235.22330000000002</v>
      </c>
      <c r="J52" s="50">
        <f t="shared" si="11"/>
        <v>-270.50679500000001</v>
      </c>
      <c r="K52" s="50">
        <f t="shared" si="11"/>
        <v>-311.08281424999996</v>
      </c>
      <c r="L52" s="50">
        <f t="shared" si="11"/>
        <v>-357.74523638749992</v>
      </c>
      <c r="M52" s="50">
        <f t="shared" si="11"/>
        <v>-411.40702184562485</v>
      </c>
    </row>
    <row r="53" spans="1:14" ht="24" customHeight="1" x14ac:dyDescent="0.35">
      <c r="B53" s="75" t="s">
        <v>106</v>
      </c>
      <c r="D53" s="76">
        <f t="shared" si="9"/>
        <v>0.76010261018235725</v>
      </c>
      <c r="E53" s="76">
        <f t="shared" si="9"/>
        <v>0.88641806976633941</v>
      </c>
      <c r="F53" s="76">
        <f t="shared" si="9"/>
        <v>0.75968666838392307</v>
      </c>
      <c r="G53" s="76">
        <f t="shared" si="9"/>
        <v>0.76167500635414809</v>
      </c>
      <c r="H53" s="76">
        <f t="shared" si="9"/>
        <v>0.69804626814512516</v>
      </c>
      <c r="I53" s="76">
        <f t="shared" si="9"/>
        <v>0.65</v>
      </c>
      <c r="J53" s="76">
        <f t="shared" si="9"/>
        <v>0.65</v>
      </c>
      <c r="K53" s="76">
        <f t="shared" si="9"/>
        <v>0.65</v>
      </c>
      <c r="L53" s="76">
        <f t="shared" si="9"/>
        <v>0.65</v>
      </c>
      <c r="M53" s="76">
        <f t="shared" si="9"/>
        <v>0.65</v>
      </c>
    </row>
    <row r="55" spans="1:14" ht="24" customHeight="1" x14ac:dyDescent="0.35">
      <c r="B55" s="77" t="str">
        <f>"Operating Scenario: "&amp;$E$10&amp;" % of Services Revenue"</f>
        <v>Operating Scenario: Base Case % of Services Revenue</v>
      </c>
      <c r="C55" s="78"/>
      <c r="D55" s="78"/>
      <c r="E55" s="79"/>
      <c r="F55" s="79"/>
      <c r="G55" s="79"/>
      <c r="H55" s="80"/>
      <c r="I55" s="81">
        <f t="shared" ref="I55:M55" si="12">INDEX(I$57:I$59,MATCH($E$10,$B$57:$B$59,0),0)</f>
        <v>0.65</v>
      </c>
      <c r="J55" s="81">
        <f t="shared" si="12"/>
        <v>0.65</v>
      </c>
      <c r="K55" s="81">
        <f t="shared" si="12"/>
        <v>0.65</v>
      </c>
      <c r="L55" s="81">
        <f t="shared" si="12"/>
        <v>0.65</v>
      </c>
      <c r="M55" s="82">
        <f t="shared" si="12"/>
        <v>0.65</v>
      </c>
    </row>
    <row r="56" spans="1:14" ht="6" customHeight="1" x14ac:dyDescent="0.35">
      <c r="I56" s="83"/>
      <c r="J56" s="83"/>
      <c r="K56" s="83"/>
      <c r="L56" s="83"/>
      <c r="M56" s="83"/>
    </row>
    <row r="57" spans="1:14" ht="24" customHeight="1" x14ac:dyDescent="0.35">
      <c r="B57" s="75" t="s">
        <v>76</v>
      </c>
      <c r="I57" s="84">
        <v>0.65</v>
      </c>
      <c r="J57" s="84">
        <v>0.65</v>
      </c>
      <c r="K57" s="84">
        <v>0.65</v>
      </c>
      <c r="L57" s="84">
        <v>0.65</v>
      </c>
      <c r="M57" s="84">
        <v>0.65</v>
      </c>
    </row>
    <row r="58" spans="1:14" ht="24" customHeight="1" x14ac:dyDescent="0.35">
      <c r="B58" s="75" t="s">
        <v>80</v>
      </c>
      <c r="I58" s="84">
        <v>0.6</v>
      </c>
      <c r="J58" s="84">
        <v>0.6</v>
      </c>
      <c r="K58" s="84">
        <v>0.6</v>
      </c>
      <c r="L58" s="84">
        <v>0.6</v>
      </c>
      <c r="M58" s="84">
        <v>0.6</v>
      </c>
    </row>
    <row r="59" spans="1:14" ht="24" customHeight="1" x14ac:dyDescent="0.35">
      <c r="B59" s="75" t="s">
        <v>81</v>
      </c>
      <c r="I59" s="84">
        <v>0.75</v>
      </c>
      <c r="J59" s="84">
        <v>0.75</v>
      </c>
      <c r="K59" s="84">
        <v>0.75</v>
      </c>
      <c r="L59" s="84">
        <v>0.75</v>
      </c>
      <c r="M59" s="84">
        <v>0.75</v>
      </c>
    </row>
    <row r="61" spans="1:14" ht="24" customHeight="1" x14ac:dyDescent="0.35">
      <c r="A61" s="22" t="s">
        <v>5</v>
      </c>
      <c r="B61" s="24" t="s">
        <v>107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2" t="s">
        <v>5</v>
      </c>
    </row>
    <row r="62" spans="1:14" ht="6" customHeight="1" x14ac:dyDescent="0.35"/>
    <row r="63" spans="1:14" ht="24" customHeight="1" x14ac:dyDescent="0.35">
      <c r="B63" s="29" t="s">
        <v>108</v>
      </c>
      <c r="D63" s="74">
        <f>'Historical Financials'!D23</f>
        <v>-49.069000000000003</v>
      </c>
      <c r="E63" s="74">
        <f>'Historical Financials'!E23</f>
        <v>-43.734999999999999</v>
      </c>
      <c r="F63" s="74">
        <f>'Historical Financials'!F23</f>
        <v>-47.116999999999997</v>
      </c>
      <c r="G63" s="74">
        <f>'Historical Financials'!G23</f>
        <v>-49.146000000000001</v>
      </c>
      <c r="H63" s="74">
        <f>'Historical Financials'!H23</f>
        <v>-44.828000000000003</v>
      </c>
      <c r="I63" s="50">
        <f t="shared" ref="I63:M63" si="13">-PRODUCT(I$66,SUM(I17,I28))</f>
        <v>-62.418690000000005</v>
      </c>
      <c r="J63" s="50">
        <f t="shared" si="13"/>
        <v>-70.469969000000006</v>
      </c>
      <c r="K63" s="50">
        <f t="shared" si="13"/>
        <v>-79.597787400000001</v>
      </c>
      <c r="L63" s="50">
        <f t="shared" si="13"/>
        <v>-89.950510865000012</v>
      </c>
      <c r="M63" s="50">
        <f t="shared" si="13"/>
        <v>-101.69744838524998</v>
      </c>
    </row>
    <row r="64" spans="1:14" ht="24" customHeight="1" x14ac:dyDescent="0.35">
      <c r="B64" s="75" t="s">
        <v>109</v>
      </c>
      <c r="D64" s="76">
        <f t="shared" ref="D64:M64" si="14">-D63/SUM(D17,D28)</f>
        <v>9.1727701320890864E-2</v>
      </c>
      <c r="E64" s="76">
        <f t="shared" si="14"/>
        <v>0.12255918486302292</v>
      </c>
      <c r="F64" s="76">
        <f t="shared" si="14"/>
        <v>0.12442924484702839</v>
      </c>
      <c r="G64" s="76">
        <f t="shared" si="14"/>
        <v>9.5806959094994038E-2</v>
      </c>
      <c r="H64" s="76">
        <f t="shared" si="14"/>
        <v>8.1042920495571644E-2</v>
      </c>
      <c r="I64" s="76">
        <f t="shared" si="14"/>
        <v>0.1</v>
      </c>
      <c r="J64" s="76">
        <f t="shared" si="14"/>
        <v>0.1</v>
      </c>
      <c r="K64" s="76">
        <f t="shared" si="14"/>
        <v>0.1</v>
      </c>
      <c r="L64" s="76">
        <f t="shared" si="14"/>
        <v>0.10000000000000002</v>
      </c>
      <c r="M64" s="76">
        <f t="shared" si="14"/>
        <v>0.1</v>
      </c>
    </row>
    <row r="66" spans="1:14" ht="24" customHeight="1" x14ac:dyDescent="0.35">
      <c r="B66" s="77" t="str">
        <f t="shared" ref="B66:B77" si="15">"Operating Scenario: "&amp;$E$10&amp;" % of Total Revenue"</f>
        <v>Operating Scenario: Base Case % of Total Revenue</v>
      </c>
      <c r="C66" s="78"/>
      <c r="D66" s="78"/>
      <c r="E66" s="79"/>
      <c r="F66" s="79"/>
      <c r="G66" s="79"/>
      <c r="H66" s="80"/>
      <c r="I66" s="81">
        <f t="shared" ref="I66:M66" si="16">INDEX(I$68:I$70,MATCH($E$10,$B$68:$B$70,0),0)</f>
        <v>0.1</v>
      </c>
      <c r="J66" s="81">
        <f t="shared" si="16"/>
        <v>0.1</v>
      </c>
      <c r="K66" s="81">
        <f t="shared" si="16"/>
        <v>0.1</v>
      </c>
      <c r="L66" s="81">
        <f t="shared" si="16"/>
        <v>0.1</v>
      </c>
      <c r="M66" s="82">
        <f t="shared" si="16"/>
        <v>0.1</v>
      </c>
    </row>
    <row r="67" spans="1:14" ht="6" customHeight="1" x14ac:dyDescent="0.35">
      <c r="I67" s="83"/>
      <c r="J67" s="83"/>
      <c r="K67" s="83"/>
      <c r="L67" s="83"/>
      <c r="M67" s="83"/>
    </row>
    <row r="68" spans="1:14" ht="24" customHeight="1" x14ac:dyDescent="0.35">
      <c r="B68" s="75" t="s">
        <v>76</v>
      </c>
      <c r="I68" s="84">
        <v>0.1</v>
      </c>
      <c r="J68" s="84">
        <v>0.1</v>
      </c>
      <c r="K68" s="84">
        <v>0.1</v>
      </c>
      <c r="L68" s="84">
        <v>0.1</v>
      </c>
      <c r="M68" s="84">
        <v>0.1</v>
      </c>
    </row>
    <row r="69" spans="1:14" ht="24" customHeight="1" x14ac:dyDescent="0.35">
      <c r="B69" s="75" t="s">
        <v>80</v>
      </c>
      <c r="I69" s="84">
        <v>0.08</v>
      </c>
      <c r="J69" s="84">
        <v>0.08</v>
      </c>
      <c r="K69" s="84">
        <v>0.08</v>
      </c>
      <c r="L69" s="84">
        <v>0.08</v>
      </c>
      <c r="M69" s="84">
        <v>0.08</v>
      </c>
    </row>
    <row r="70" spans="1:14" ht="24" customHeight="1" x14ac:dyDescent="0.35">
      <c r="B70" s="75" t="s">
        <v>81</v>
      </c>
      <c r="I70" s="84">
        <v>0.12</v>
      </c>
      <c r="J70" s="84">
        <v>0.12</v>
      </c>
      <c r="K70" s="84">
        <v>0.12</v>
      </c>
      <c r="L70" s="84">
        <v>0.12</v>
      </c>
      <c r="M70" s="84">
        <v>0.12</v>
      </c>
    </row>
    <row r="72" spans="1:14" ht="24" customHeight="1" x14ac:dyDescent="0.35">
      <c r="A72" s="22" t="s">
        <v>5</v>
      </c>
      <c r="B72" s="24" t="s">
        <v>110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2" t="s">
        <v>5</v>
      </c>
    </row>
    <row r="73" spans="1:14" ht="6" customHeight="1" x14ac:dyDescent="0.35"/>
    <row r="74" spans="1:14" ht="24" customHeight="1" x14ac:dyDescent="0.35">
      <c r="B74" s="29" t="s">
        <v>111</v>
      </c>
      <c r="D74" s="74">
        <f>'Historical Financials'!D24</f>
        <v>-11.048999999999999</v>
      </c>
      <c r="E74" s="74">
        <f>'Historical Financials'!E24</f>
        <v>-7.431</v>
      </c>
      <c r="F74" s="74">
        <f>'Historical Financials'!F24</f>
        <v>-9.0749999999999993</v>
      </c>
      <c r="G74" s="74">
        <f>'Historical Financials'!G24</f>
        <v>-12.512</v>
      </c>
      <c r="H74" s="74">
        <f>'Historical Financials'!H24</f>
        <v>-10.457000000000001</v>
      </c>
      <c r="I74" s="50">
        <f t="shared" ref="I74:M74" si="17">-PRODUCT(I$77,SUM(I17,I28))</f>
        <v>-12.483738000000001</v>
      </c>
      <c r="J74" s="50">
        <f t="shared" si="17"/>
        <v>-14.093993800000002</v>
      </c>
      <c r="K74" s="50">
        <f t="shared" si="17"/>
        <v>-15.919557479999998</v>
      </c>
      <c r="L74" s="50">
        <f t="shared" si="17"/>
        <v>-17.990102173</v>
      </c>
      <c r="M74" s="50">
        <f t="shared" si="17"/>
        <v>-20.339489677049997</v>
      </c>
    </row>
    <row r="75" spans="1:14" ht="24" customHeight="1" x14ac:dyDescent="0.35">
      <c r="B75" s="75" t="s">
        <v>109</v>
      </c>
      <c r="D75" s="76">
        <f t="shared" ref="D75:M75" si="18">-D74/SUM(D17,D28)</f>
        <v>2.06545756362372E-2</v>
      </c>
      <c r="E75" s="76">
        <f t="shared" si="18"/>
        <v>2.0823992288033003E-2</v>
      </c>
      <c r="F75" s="76">
        <f t="shared" si="18"/>
        <v>2.3965774497246909E-2</v>
      </c>
      <c r="G75" s="76">
        <f t="shared" si="18"/>
        <v>2.4391337488230282E-2</v>
      </c>
      <c r="H75" s="76">
        <f t="shared" si="18"/>
        <v>1.8904832239274395E-2</v>
      </c>
      <c r="I75" s="76">
        <f t="shared" si="18"/>
        <v>0.02</v>
      </c>
      <c r="J75" s="76">
        <f t="shared" si="18"/>
        <v>0.02</v>
      </c>
      <c r="K75" s="76">
        <f t="shared" si="18"/>
        <v>0.02</v>
      </c>
      <c r="L75" s="76">
        <f t="shared" si="18"/>
        <v>0.02</v>
      </c>
      <c r="M75" s="76">
        <f t="shared" si="18"/>
        <v>0.02</v>
      </c>
    </row>
    <row r="77" spans="1:14" ht="24" customHeight="1" x14ac:dyDescent="0.35">
      <c r="B77" s="77" t="str">
        <f t="shared" si="15"/>
        <v>Operating Scenario: Base Case % of Total Revenue</v>
      </c>
      <c r="C77" s="78"/>
      <c r="D77" s="78"/>
      <c r="E77" s="79"/>
      <c r="F77" s="79"/>
      <c r="G77" s="79"/>
      <c r="H77" s="80"/>
      <c r="I77" s="81">
        <f t="shared" ref="I77:M77" si="19">INDEX(I$79:I$81,MATCH($E$10,$B$79:$B$81,0),0)</f>
        <v>0.02</v>
      </c>
      <c r="J77" s="81">
        <f t="shared" si="19"/>
        <v>0.02</v>
      </c>
      <c r="K77" s="81">
        <f t="shared" si="19"/>
        <v>0.02</v>
      </c>
      <c r="L77" s="81">
        <f t="shared" si="19"/>
        <v>0.02</v>
      </c>
      <c r="M77" s="82">
        <f t="shared" si="19"/>
        <v>0.02</v>
      </c>
    </row>
    <row r="78" spans="1:14" ht="6" customHeight="1" x14ac:dyDescent="0.35">
      <c r="I78" s="83"/>
      <c r="J78" s="83"/>
      <c r="K78" s="83"/>
      <c r="L78" s="83"/>
      <c r="M78" s="83"/>
    </row>
    <row r="79" spans="1:14" ht="24" customHeight="1" x14ac:dyDescent="0.35">
      <c r="B79" s="75" t="s">
        <v>76</v>
      </c>
      <c r="I79" s="84">
        <v>0.02</v>
      </c>
      <c r="J79" s="84">
        <v>0.02</v>
      </c>
      <c r="K79" s="84">
        <v>0.02</v>
      </c>
      <c r="L79" s="84">
        <v>0.02</v>
      </c>
      <c r="M79" s="84">
        <v>0.02</v>
      </c>
    </row>
    <row r="80" spans="1:14" ht="24" customHeight="1" x14ac:dyDescent="0.35">
      <c r="B80" s="75" t="s">
        <v>80</v>
      </c>
      <c r="I80" s="84">
        <v>0.01</v>
      </c>
      <c r="J80" s="84">
        <v>0.01</v>
      </c>
      <c r="K80" s="84">
        <v>0.01</v>
      </c>
      <c r="L80" s="84">
        <v>0.01</v>
      </c>
      <c r="M80" s="84">
        <v>0.01</v>
      </c>
    </row>
    <row r="81" spans="1:14" ht="24" customHeight="1" x14ac:dyDescent="0.35">
      <c r="B81" s="75" t="s">
        <v>81</v>
      </c>
      <c r="I81" s="84">
        <v>0.03</v>
      </c>
      <c r="J81" s="84">
        <v>0.03</v>
      </c>
      <c r="K81" s="84">
        <v>0.03</v>
      </c>
      <c r="L81" s="84">
        <v>0.03</v>
      </c>
      <c r="M81" s="84">
        <v>0.03</v>
      </c>
    </row>
    <row r="83" spans="1:14" ht="24" customHeight="1" x14ac:dyDescent="0.35">
      <c r="A83" s="22" t="s">
        <v>5</v>
      </c>
      <c r="B83" s="24" t="s">
        <v>112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2" t="s">
        <v>5</v>
      </c>
    </row>
    <row r="84" spans="1:14" ht="6" customHeight="1" x14ac:dyDescent="0.35"/>
    <row r="85" spans="1:14" ht="24" customHeight="1" x14ac:dyDescent="0.35">
      <c r="B85" s="29" t="s">
        <v>113</v>
      </c>
      <c r="D85" s="74">
        <f>'Historical Financials'!D28</f>
        <v>-31.877967021575273</v>
      </c>
      <c r="E85" s="74">
        <f>'Historical Financials'!E28</f>
        <v>-33.936517095239331</v>
      </c>
      <c r="F85" s="74">
        <f>'Historical Financials'!F28</f>
        <v>-36.128</v>
      </c>
      <c r="G85" s="74">
        <f>'Historical Financials'!G28</f>
        <v>-38.460999999999999</v>
      </c>
      <c r="H85" s="74">
        <f>'Historical Financials'!H28</f>
        <v>-42.988999999999997</v>
      </c>
      <c r="I85" s="74">
        <f>PRODUCT(I$88,'Capex &amp; NWC Drivers'!I17)</f>
        <v>-56.176821000000004</v>
      </c>
      <c r="J85" s="74">
        <f>PRODUCT(J$88,'Capex &amp; NWC Drivers'!J17)</f>
        <v>-71.879368380000003</v>
      </c>
      <c r="K85" s="74">
        <f>PRODUCT(K$88,'Capex &amp; NWC Drivers'!K17)</f>
        <v>-85.965610391999988</v>
      </c>
      <c r="L85" s="74">
        <f>PRODUCT(L$88,'Capex &amp; NWC Drivers'!L17)</f>
        <v>-102.54358238609998</v>
      </c>
      <c r="M85" s="74">
        <f>PRODUCT(M$88,'Capex &amp; NWC Drivers'!M17)</f>
        <v>-122.03693806229997</v>
      </c>
    </row>
    <row r="86" spans="1:14" ht="24" customHeight="1" x14ac:dyDescent="0.35">
      <c r="B86" s="75" t="s">
        <v>114</v>
      </c>
      <c r="D86" s="76">
        <f>D85/'Capex &amp; NWC Drivers'!D17</f>
        <v>0.60866923901931747</v>
      </c>
      <c r="E86" s="76">
        <f>E85/'Capex &amp; NWC Drivers'!E17</f>
        <v>0.97136272874723428</v>
      </c>
      <c r="F86" s="76">
        <f>F85/'Capex &amp; NWC Drivers'!F17</f>
        <v>0.97450975103174819</v>
      </c>
      <c r="G86" s="76">
        <f>G85/'Capex &amp; NWC Drivers'!G17</f>
        <v>0.81163610272859643</v>
      </c>
      <c r="H86" s="76">
        <f>H85/'Capex &amp; NWC Drivers'!H17</f>
        <v>0.67526939147372056</v>
      </c>
      <c r="I86" s="76">
        <f>I85/'Capex &amp; NWC Drivers'!I17</f>
        <v>0.75</v>
      </c>
      <c r="J86" s="76">
        <f>J85/'Capex &amp; NWC Drivers'!J17</f>
        <v>0.85000000000000009</v>
      </c>
      <c r="K86" s="76">
        <f>K85/'Capex &amp; NWC Drivers'!K17</f>
        <v>0.9</v>
      </c>
      <c r="L86" s="76">
        <f>L85/'Capex &amp; NWC Drivers'!L17</f>
        <v>0.95</v>
      </c>
      <c r="M86" s="76">
        <f>M85/'Capex &amp; NWC Drivers'!M17</f>
        <v>1</v>
      </c>
    </row>
    <row r="88" spans="1:14" ht="24" customHeight="1" x14ac:dyDescent="0.35">
      <c r="B88" s="77" t="str">
        <f>"Operating Scenario: "&amp;$E$10&amp;" % of Capex"</f>
        <v>Operating Scenario: Base Case % of Capex</v>
      </c>
      <c r="C88" s="78"/>
      <c r="D88" s="78"/>
      <c r="E88" s="79"/>
      <c r="F88" s="79"/>
      <c r="G88" s="79"/>
      <c r="H88" s="80"/>
      <c r="I88" s="81">
        <f t="shared" ref="I88:M88" si="20">INDEX(I$90:I$92,MATCH($E$10,$B$90:$B$92,0),0)</f>
        <v>0.75</v>
      </c>
      <c r="J88" s="81">
        <f t="shared" si="20"/>
        <v>0.85</v>
      </c>
      <c r="K88" s="81">
        <f t="shared" si="20"/>
        <v>0.9</v>
      </c>
      <c r="L88" s="81">
        <f t="shared" si="20"/>
        <v>0.95</v>
      </c>
      <c r="M88" s="82">
        <f t="shared" si="20"/>
        <v>1</v>
      </c>
    </row>
    <row r="89" spans="1:14" ht="6" customHeight="1" x14ac:dyDescent="0.35">
      <c r="I89" s="83"/>
      <c r="J89" s="83"/>
      <c r="K89" s="83"/>
      <c r="L89" s="83"/>
      <c r="M89" s="83"/>
    </row>
    <row r="90" spans="1:14" ht="24" customHeight="1" x14ac:dyDescent="0.35">
      <c r="B90" s="75" t="s">
        <v>76</v>
      </c>
      <c r="I90" s="84">
        <v>0.75</v>
      </c>
      <c r="J90" s="84">
        <v>0.85</v>
      </c>
      <c r="K90" s="84">
        <v>0.9</v>
      </c>
      <c r="L90" s="84">
        <v>0.95</v>
      </c>
      <c r="M90" s="84">
        <v>1</v>
      </c>
    </row>
    <row r="91" spans="1:14" ht="24" customHeight="1" x14ac:dyDescent="0.35">
      <c r="B91" s="75" t="s">
        <v>80</v>
      </c>
      <c r="I91" s="84">
        <v>0.7</v>
      </c>
      <c r="J91" s="84">
        <v>0.8</v>
      </c>
      <c r="K91" s="84">
        <v>0.85</v>
      </c>
      <c r="L91" s="84">
        <v>0.9</v>
      </c>
      <c r="M91" s="84">
        <v>0.95</v>
      </c>
    </row>
    <row r="92" spans="1:14" ht="24" customHeight="1" x14ac:dyDescent="0.35">
      <c r="B92" s="75" t="s">
        <v>81</v>
      </c>
      <c r="I92" s="84">
        <v>0.8</v>
      </c>
      <c r="J92" s="84">
        <v>0.9</v>
      </c>
      <c r="K92" s="84">
        <v>0.95</v>
      </c>
      <c r="L92" s="84">
        <v>1</v>
      </c>
      <c r="M92" s="8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A58B-0E35-4F97-CDFC-23B1238CD5A3}">
  <sheetPr>
    <tabColor rgb="FFC00000"/>
  </sheetPr>
  <dimension ref="A2:Q357"/>
  <sheetViews>
    <sheetView showGridLines="0" tabSelected="1" topLeftCell="A112" zoomScale="46" workbookViewId="0">
      <selection activeCell="K123" sqref="K123"/>
    </sheetView>
  </sheetViews>
  <sheetFormatPr defaultColWidth="18.7265625" defaultRowHeight="24" customHeight="1" x14ac:dyDescent="0.35"/>
  <cols>
    <col min="1" max="1" width="10.7265625" style="29" customWidth="1"/>
    <col min="2" max="2" width="44.7265625" style="29" customWidth="1"/>
    <col min="3" max="3" width="4.7265625" style="29" customWidth="1"/>
    <col min="4" max="17" width="18.7265625" style="29" customWidth="1"/>
  </cols>
  <sheetData>
    <row r="2" spans="1:17" ht="32.25" customHeight="1" x14ac:dyDescent="0.35">
      <c r="B2" s="17" t="s">
        <v>1</v>
      </c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7" ht="24" customHeight="1" x14ac:dyDescent="0.35">
      <c r="B3" s="19" t="s">
        <v>115</v>
      </c>
      <c r="C3" s="19"/>
      <c r="N3" s="20"/>
      <c r="O3" s="20" t="s">
        <v>3</v>
      </c>
    </row>
    <row r="5" spans="1:17" ht="24" customHeight="1" x14ac:dyDescent="0.35">
      <c r="B5" s="21" t="s">
        <v>4</v>
      </c>
      <c r="C5" s="21"/>
    </row>
    <row r="6" spans="1:17" ht="24" customHeight="1" x14ac:dyDescent="0.35">
      <c r="A6" s="22" t="s">
        <v>5</v>
      </c>
      <c r="B6" s="23" t="s">
        <v>116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2" t="s">
        <v>5</v>
      </c>
    </row>
    <row r="7" spans="1:17" ht="6" customHeigh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1:17" ht="24" customHeight="1" x14ac:dyDescent="0.35">
      <c r="A8" s="22" t="s">
        <v>5</v>
      </c>
      <c r="B8" s="24" t="s">
        <v>117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2" t="s">
        <v>5</v>
      </c>
    </row>
    <row r="9" spans="1:17" ht="6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7" ht="24" customHeight="1" x14ac:dyDescent="0.35">
      <c r="A10"/>
      <c r="B10" s="100" t="s">
        <v>118</v>
      </c>
      <c r="C10" s="100"/>
      <c r="D10"/>
      <c r="E10" s="101">
        <v>0.21</v>
      </c>
      <c r="F10"/>
      <c r="G10" s="100" t="s">
        <v>119</v>
      </c>
      <c r="H10"/>
      <c r="J10" s="101">
        <v>0.01</v>
      </c>
      <c r="K10"/>
      <c r="L10" s="100" t="s">
        <v>120</v>
      </c>
      <c r="M10"/>
      <c r="N10" s="101">
        <v>0</v>
      </c>
      <c r="O10"/>
      <c r="P10"/>
      <c r="Q10"/>
    </row>
    <row r="11" spans="1:17" ht="24" customHeight="1" x14ac:dyDescent="0.35">
      <c r="A11"/>
      <c r="B11" s="100" t="s">
        <v>121</v>
      </c>
      <c r="C11" s="100"/>
      <c r="D11"/>
      <c r="E11" s="101">
        <v>0.15</v>
      </c>
      <c r="F11"/>
      <c r="G11" s="100" t="s">
        <v>122</v>
      </c>
      <c r="H11"/>
      <c r="I11"/>
      <c r="J11" s="101">
        <v>0.05</v>
      </c>
      <c r="K11"/>
      <c r="L11" s="100" t="s">
        <v>123</v>
      </c>
      <c r="M11"/>
      <c r="N11" s="102">
        <v>5</v>
      </c>
      <c r="O11"/>
      <c r="P11"/>
      <c r="Q11"/>
    </row>
    <row r="12" spans="1:17" ht="24" customHeight="1" x14ac:dyDescent="0.35">
      <c r="A12"/>
      <c r="B12" s="100" t="s">
        <v>124</v>
      </c>
      <c r="C12" s="100"/>
      <c r="D12"/>
      <c r="E12" s="103">
        <v>43465</v>
      </c>
      <c r="F12"/>
      <c r="G12" s="100" t="s">
        <v>125</v>
      </c>
      <c r="H12"/>
      <c r="I12"/>
      <c r="J12" s="104">
        <v>0</v>
      </c>
      <c r="K12"/>
      <c r="L12" s="100" t="s">
        <v>126</v>
      </c>
      <c r="M12"/>
      <c r="N12" s="101">
        <v>0.08</v>
      </c>
      <c r="O12"/>
      <c r="P12"/>
      <c r="Q12"/>
    </row>
    <row r="13" spans="1:17" ht="24" customHeight="1" x14ac:dyDescent="0.35">
      <c r="A13"/>
      <c r="B13" s="100"/>
      <c r="C13" s="100"/>
      <c r="D13"/>
      <c r="E13"/>
      <c r="F13"/>
      <c r="G13" s="100"/>
      <c r="H13"/>
      <c r="I13"/>
      <c r="J13"/>
      <c r="K13"/>
      <c r="L13" s="100" t="s">
        <v>127</v>
      </c>
      <c r="M13"/>
      <c r="N13" s="101">
        <v>0.05</v>
      </c>
      <c r="O13"/>
      <c r="P13"/>
      <c r="Q13"/>
    </row>
    <row r="14" spans="1:17" ht="24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ht="24" customHeight="1" x14ac:dyDescent="0.35">
      <c r="A15" s="22" t="s">
        <v>5</v>
      </c>
      <c r="B15" s="24" t="s">
        <v>128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2" t="s">
        <v>5</v>
      </c>
    </row>
    <row r="16" spans="1:17" ht="6" customHeight="1" x14ac:dyDescent="0.35"/>
    <row r="17" spans="1:16" ht="24" customHeight="1" x14ac:dyDescent="0.35">
      <c r="B17" s="52" t="s">
        <v>129</v>
      </c>
      <c r="C17" s="52"/>
      <c r="G17" s="52" t="s">
        <v>130</v>
      </c>
      <c r="L17" s="52" t="s">
        <v>131</v>
      </c>
    </row>
    <row r="18" spans="1:16" ht="24" customHeight="1" x14ac:dyDescent="0.35">
      <c r="B18" s="75" t="s">
        <v>132</v>
      </c>
      <c r="C18" s="75"/>
      <c r="E18" s="105">
        <f>'Historical Financials'!H25</f>
        <v>119.78399999999991</v>
      </c>
      <c r="G18" s="75" t="s">
        <v>133</v>
      </c>
      <c r="J18" s="106">
        <f>E23</f>
        <v>620.67299999999955</v>
      </c>
      <c r="L18" s="75" t="s">
        <v>134</v>
      </c>
      <c r="O18" s="106">
        <f>J21</f>
        <v>183.89699999999957</v>
      </c>
      <c r="P18" s="106"/>
    </row>
    <row r="19" spans="1:16" ht="24" customHeight="1" x14ac:dyDescent="0.35">
      <c r="B19" s="75" t="s">
        <v>135</v>
      </c>
      <c r="C19" s="75"/>
      <c r="E19" s="107">
        <v>5</v>
      </c>
      <c r="G19" s="108" t="s">
        <v>136</v>
      </c>
      <c r="J19" s="109">
        <f>-G153</f>
        <v>-469.50799999999998</v>
      </c>
      <c r="L19" s="108" t="s">
        <v>137</v>
      </c>
      <c r="O19" s="110">
        <f>-PRODUCT(O18,$E$11)</f>
        <v>-27.584549999999933</v>
      </c>
      <c r="P19" s="110"/>
    </row>
    <row r="20" spans="1:16" ht="24" customHeight="1" x14ac:dyDescent="0.35">
      <c r="B20" s="111" t="s">
        <v>138</v>
      </c>
      <c r="C20" s="111"/>
      <c r="D20" s="34"/>
      <c r="E20" s="112">
        <f t="shared" ref="E20" si="0">PRODUCT(E18:E19)</f>
        <v>598.9199999999995</v>
      </c>
      <c r="G20" s="108" t="s">
        <v>139</v>
      </c>
      <c r="J20" s="109">
        <f>G132</f>
        <v>32.731999999999999</v>
      </c>
      <c r="L20" s="108" t="s">
        <v>140</v>
      </c>
      <c r="O20" s="110">
        <f>-PRODUCT($O$19,$E$10)</f>
        <v>5.792755499999986</v>
      </c>
      <c r="P20" s="110"/>
    </row>
    <row r="21" spans="1:16" ht="24" customHeight="1" x14ac:dyDescent="0.35">
      <c r="B21" s="108" t="s">
        <v>141</v>
      </c>
      <c r="C21" s="108"/>
      <c r="E21" s="113">
        <f>-'Historical Financials'!H68</f>
        <v>-0.26100000000000001</v>
      </c>
      <c r="G21" s="114" t="s">
        <v>134</v>
      </c>
      <c r="H21" s="34"/>
      <c r="I21" s="34"/>
      <c r="J21" s="112">
        <f t="shared" ref="J21:O21" si="1">SUM(J18:J20)</f>
        <v>183.89699999999957</v>
      </c>
      <c r="L21" s="114" t="s">
        <v>142</v>
      </c>
      <c r="M21" s="34"/>
      <c r="N21" s="34"/>
      <c r="O21" s="112">
        <f t="shared" si="1"/>
        <v>162.10520549999964</v>
      </c>
      <c r="P21" s="115"/>
    </row>
    <row r="22" spans="1:16" ht="24" customHeight="1" x14ac:dyDescent="0.35">
      <c r="B22" s="75" t="s">
        <v>143</v>
      </c>
      <c r="C22" s="75"/>
      <c r="E22" s="113">
        <f>'Historical Financials'!H45</f>
        <v>22.013999999999992</v>
      </c>
    </row>
    <row r="23" spans="1:16" ht="24" customHeight="1" x14ac:dyDescent="0.35">
      <c r="B23" s="111" t="s">
        <v>133</v>
      </c>
      <c r="C23" s="111"/>
      <c r="D23" s="34"/>
      <c r="E23" s="112">
        <f>SUM(E20:E22)</f>
        <v>620.67299999999955</v>
      </c>
      <c r="L23" s="75" t="s">
        <v>131</v>
      </c>
      <c r="O23" s="110">
        <f>O19</f>
        <v>-27.584549999999933</v>
      </c>
      <c r="P23" s="110"/>
    </row>
    <row r="24" spans="1:16" ht="24" customHeight="1" x14ac:dyDescent="0.35">
      <c r="B24" s="108" t="s">
        <v>144</v>
      </c>
      <c r="C24" s="108"/>
      <c r="E24" s="109">
        <f ca="1">-D35</f>
        <v>-16.833226499999984</v>
      </c>
      <c r="L24" s="75" t="s">
        <v>145</v>
      </c>
      <c r="O24" s="116">
        <v>15</v>
      </c>
      <c r="P24"/>
    </row>
    <row r="25" spans="1:16" ht="24" customHeight="1" x14ac:dyDescent="0.35">
      <c r="B25" s="111" t="s">
        <v>146</v>
      </c>
      <c r="C25" s="111"/>
      <c r="D25" s="34"/>
      <c r="E25" s="112">
        <f t="shared" ref="E25:O103" ca="1" si="2">SUM(E23:E24)</f>
        <v>603.83977349999952</v>
      </c>
      <c r="L25" s="114" t="s">
        <v>147</v>
      </c>
      <c r="M25" s="34"/>
      <c r="N25" s="34"/>
      <c r="O25" s="112">
        <f>O23/O24</f>
        <v>-1.8389699999999956</v>
      </c>
      <c r="P25" s="115"/>
    </row>
    <row r="27" spans="1:16" ht="24" customHeight="1" x14ac:dyDescent="0.35">
      <c r="A27" s="22" t="s">
        <v>5</v>
      </c>
      <c r="B27" s="24" t="s">
        <v>148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2" t="s">
        <v>5</v>
      </c>
    </row>
    <row r="28" spans="1:16" ht="6" customHeight="1" x14ac:dyDescent="0.35"/>
    <row r="29" spans="1:16" ht="18" customHeight="1" x14ac:dyDescent="0.35">
      <c r="B29" s="189" t="s">
        <v>149</v>
      </c>
      <c r="C29" s="117"/>
      <c r="D29" s="187" t="s">
        <v>150</v>
      </c>
      <c r="E29" s="187" t="s">
        <v>151</v>
      </c>
      <c r="F29" s="187" t="s">
        <v>152</v>
      </c>
      <c r="H29" s="189" t="s">
        <v>153</v>
      </c>
      <c r="I29" s="189"/>
      <c r="J29" s="187" t="s">
        <v>150</v>
      </c>
      <c r="K29" s="187" t="s">
        <v>151</v>
      </c>
      <c r="L29" s="187" t="s">
        <v>152</v>
      </c>
    </row>
    <row r="30" spans="1:16" ht="18" customHeight="1" x14ac:dyDescent="0.35">
      <c r="B30" s="190"/>
      <c r="C30" s="118"/>
      <c r="D30" s="188"/>
      <c r="E30" s="188"/>
      <c r="F30" s="188"/>
      <c r="H30" s="190"/>
      <c r="I30" s="190"/>
      <c r="J30" s="188"/>
      <c r="K30" s="188"/>
      <c r="L30" s="188"/>
    </row>
    <row r="31" spans="1:16" ht="6" customHeight="1" x14ac:dyDescent="0.35">
      <c r="B31" s="117"/>
      <c r="C31" s="117"/>
      <c r="D31" s="119"/>
      <c r="E31" s="119"/>
      <c r="F31" s="119"/>
      <c r="H31" s="117"/>
      <c r="I31" s="117"/>
      <c r="J31" s="119"/>
      <c r="K31" s="119"/>
      <c r="L31" s="119"/>
    </row>
    <row r="32" spans="1:16" ht="24" customHeight="1" x14ac:dyDescent="0.35">
      <c r="B32" s="29" t="s">
        <v>154</v>
      </c>
      <c r="D32" s="46">
        <f t="shared" ref="D32:D34" si="3">E44</f>
        <v>0</v>
      </c>
      <c r="E32" s="76">
        <f t="shared" ref="E32:E36" ca="1" si="4">D32/$D$37</f>
        <v>0</v>
      </c>
      <c r="F32" s="120">
        <f t="shared" ref="F32:L36" si="5">D32/$E$18</f>
        <v>0</v>
      </c>
      <c r="H32" s="29" t="s">
        <v>155</v>
      </c>
      <c r="J32" s="46">
        <f ca="1">E25</f>
        <v>603.83977349999952</v>
      </c>
      <c r="K32" s="76">
        <f t="shared" ref="K32:K36" ca="1" si="6">J32/$J$37</f>
        <v>0.94924774163323022</v>
      </c>
      <c r="L32" s="120">
        <f t="shared" ca="1" si="5"/>
        <v>5.0410720421759168</v>
      </c>
    </row>
    <row r="33" spans="1:16" ht="24" customHeight="1" x14ac:dyDescent="0.35">
      <c r="B33" s="29" t="s">
        <v>156</v>
      </c>
      <c r="D33" s="53">
        <f t="shared" si="3"/>
        <v>179.67599999999987</v>
      </c>
      <c r="E33" s="76">
        <f t="shared" ca="1" si="4"/>
        <v>0.28245412891089111</v>
      </c>
      <c r="F33" s="120">
        <f t="shared" si="5"/>
        <v>1.5000000000000002</v>
      </c>
      <c r="H33" s="29" t="s">
        <v>157</v>
      </c>
      <c r="J33" s="53">
        <f ca="1">D35</f>
        <v>16.833226499999984</v>
      </c>
      <c r="K33" s="76">
        <f t="shared" ca="1" si="6"/>
        <v>2.6462155924092408E-2</v>
      </c>
      <c r="L33" s="120">
        <f t="shared" ca="1" si="5"/>
        <v>0.14052984121418552</v>
      </c>
    </row>
    <row r="34" spans="1:16" ht="24" customHeight="1" x14ac:dyDescent="0.35">
      <c r="B34" s="29" t="s">
        <v>158</v>
      </c>
      <c r="D34" s="53">
        <f t="shared" si="3"/>
        <v>119.78399999999991</v>
      </c>
      <c r="E34" s="76">
        <f t="shared" ca="1" si="4"/>
        <v>0.18830275260726073</v>
      </c>
      <c r="F34" s="120">
        <f t="shared" si="5"/>
        <v>1</v>
      </c>
      <c r="H34" s="29" t="s">
        <v>159</v>
      </c>
      <c r="J34" s="53">
        <f>-E21</f>
        <v>0.26100000000000001</v>
      </c>
      <c r="K34" s="76">
        <f t="shared" ca="1" si="6"/>
        <v>4.1029702155959971E-4</v>
      </c>
      <c r="L34" s="120">
        <f t="shared" si="5"/>
        <v>2.1789220597074753E-3</v>
      </c>
    </row>
    <row r="35" spans="1:16" ht="24" customHeight="1" x14ac:dyDescent="0.35">
      <c r="B35" s="29" t="s">
        <v>160</v>
      </c>
      <c r="D35" s="53">
        <f ca="1">(D37-SUM(D32:D34))*$J$11</f>
        <v>16.833226499999984</v>
      </c>
      <c r="E35" s="76">
        <f t="shared" ca="1" si="4"/>
        <v>2.6462155924092408E-2</v>
      </c>
      <c r="F35" s="120">
        <f t="shared" ca="1" si="5"/>
        <v>0.14052984121418552</v>
      </c>
      <c r="H35" s="29" t="s">
        <v>161</v>
      </c>
      <c r="J35" s="53">
        <f>J47+H47</f>
        <v>8.9837999999999969</v>
      </c>
      <c r="K35" s="76">
        <f t="shared" ca="1" si="6"/>
        <v>1.412270644554456E-2</v>
      </c>
      <c r="L35" s="120">
        <f t="shared" si="5"/>
        <v>7.5000000000000039E-2</v>
      </c>
    </row>
    <row r="36" spans="1:16" ht="24" customHeight="1" x14ac:dyDescent="0.35">
      <c r="B36" s="29" t="s">
        <v>162</v>
      </c>
      <c r="D36" s="53">
        <f ca="1">D37-SUM(D32:D35)</f>
        <v>319.83130349999971</v>
      </c>
      <c r="E36" s="76">
        <f t="shared" ca="1" si="4"/>
        <v>0.50278096255775573</v>
      </c>
      <c r="F36" s="120">
        <f t="shared" ca="1" si="5"/>
        <v>2.6700669830695247</v>
      </c>
      <c r="H36" s="29" t="s">
        <v>163</v>
      </c>
      <c r="J36" s="53">
        <f>PRODUCT($J$10,$E$23)</f>
        <v>6.2067299999999959</v>
      </c>
      <c r="K36" s="76">
        <f t="shared" ca="1" si="6"/>
        <v>9.7570989755732269E-3</v>
      </c>
      <c r="L36" s="120">
        <f t="shared" si="5"/>
        <v>5.181601883390103E-2</v>
      </c>
    </row>
    <row r="37" spans="1:16" ht="24" customHeight="1" x14ac:dyDescent="0.35">
      <c r="B37" s="42" t="s">
        <v>164</v>
      </c>
      <c r="C37" s="42"/>
      <c r="D37" s="44">
        <f ca="1">$J$37</f>
        <v>636.12452999999948</v>
      </c>
      <c r="E37" s="121">
        <f t="shared" ref="E37:O146" ca="1" si="7">SUM(E32:E36)</f>
        <v>1</v>
      </c>
      <c r="F37" s="122">
        <f t="shared" ca="1" si="7"/>
        <v>5.31059682428371</v>
      </c>
      <c r="H37" s="42" t="s">
        <v>165</v>
      </c>
      <c r="I37" s="43"/>
      <c r="J37" s="44">
        <f t="shared" ca="1" si="7"/>
        <v>636.12452999999948</v>
      </c>
      <c r="K37" s="121">
        <f t="shared" ca="1" si="7"/>
        <v>1</v>
      </c>
      <c r="L37" s="122">
        <f t="shared" ca="1" si="7"/>
        <v>5.3105968242837109</v>
      </c>
    </row>
    <row r="38" spans="1:16" ht="24" customHeight="1" x14ac:dyDescent="0.35">
      <c r="D38" s="76"/>
    </row>
    <row r="39" spans="1:16" ht="24" customHeight="1" x14ac:dyDescent="0.35">
      <c r="A39" s="22" t="s">
        <v>5</v>
      </c>
      <c r="B39" s="24" t="s">
        <v>166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2" t="s">
        <v>5</v>
      </c>
    </row>
    <row r="40" spans="1:16" ht="6" customHeight="1" x14ac:dyDescent="0.35"/>
    <row r="41" spans="1:16" ht="24" customHeight="1" x14ac:dyDescent="0.35">
      <c r="D41" s="191" t="s">
        <v>167</v>
      </c>
      <c r="E41" s="191" t="s">
        <v>168</v>
      </c>
      <c r="F41" s="191" t="s">
        <v>169</v>
      </c>
      <c r="G41" s="191" t="s">
        <v>170</v>
      </c>
      <c r="H41" s="191" t="s">
        <v>171</v>
      </c>
      <c r="I41" s="191" t="s">
        <v>172</v>
      </c>
      <c r="J41" s="191" t="s">
        <v>173</v>
      </c>
      <c r="K41" s="191" t="s">
        <v>174</v>
      </c>
      <c r="L41" s="191" t="s">
        <v>175</v>
      </c>
      <c r="M41" s="191" t="s">
        <v>176</v>
      </c>
      <c r="N41" s="191" t="s">
        <v>177</v>
      </c>
      <c r="O41" s="191" t="s">
        <v>178</v>
      </c>
      <c r="P41" s="123"/>
    </row>
    <row r="42" spans="1:16" ht="24" customHeight="1" x14ac:dyDescent="0.35">
      <c r="B42" s="27"/>
      <c r="C42" s="27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23"/>
    </row>
    <row r="43" spans="1:16" ht="6" customHeight="1" x14ac:dyDescent="0.35"/>
    <row r="44" spans="1:16" ht="24" customHeight="1" x14ac:dyDescent="0.35">
      <c r="B44" s="29" t="s">
        <v>179</v>
      </c>
      <c r="D44" s="107">
        <v>0</v>
      </c>
      <c r="E44" s="124">
        <f t="shared" ref="E44:E46" si="8">PRODUCT($D44,$E$18)</f>
        <v>0</v>
      </c>
      <c r="F44" s="125">
        <v>1.4999999999999999E-2</v>
      </c>
      <c r="G44" s="126">
        <v>400</v>
      </c>
      <c r="H44" s="125">
        <v>0.99</v>
      </c>
      <c r="I44" s="125">
        <v>7.4999999999999997E-3</v>
      </c>
      <c r="J44" s="125">
        <v>0.02</v>
      </c>
      <c r="K44" s="125">
        <v>0</v>
      </c>
      <c r="L44" s="101">
        <v>1</v>
      </c>
      <c r="M44" s="127">
        <f t="shared" ref="M44:M46" si="9">$E$12</f>
        <v>43465</v>
      </c>
      <c r="N44" s="116">
        <v>3</v>
      </c>
      <c r="O44" s="127">
        <f t="shared" ref="O44:O46" si="10">EOMONTH(M44,12*N44)</f>
        <v>44561</v>
      </c>
      <c r="P44" s="128"/>
    </row>
    <row r="45" spans="1:16" ht="24" customHeight="1" x14ac:dyDescent="0.35">
      <c r="B45" s="29" t="s">
        <v>180</v>
      </c>
      <c r="D45" s="129">
        <f>$D$49*0.6</f>
        <v>1.5</v>
      </c>
      <c r="E45" s="124">
        <f t="shared" si="8"/>
        <v>179.67599999999987</v>
      </c>
      <c r="F45" s="125">
        <v>1.4999999999999999E-2</v>
      </c>
      <c r="G45" s="126">
        <v>400</v>
      </c>
      <c r="H45" s="125">
        <v>0.99</v>
      </c>
      <c r="I45" s="130" t="s">
        <v>181</v>
      </c>
      <c r="J45" s="125">
        <v>0.02</v>
      </c>
      <c r="K45" s="125">
        <v>0.05</v>
      </c>
      <c r="L45" s="101">
        <v>1</v>
      </c>
      <c r="M45" s="127">
        <f t="shared" si="9"/>
        <v>43465</v>
      </c>
      <c r="N45" s="116">
        <v>6</v>
      </c>
      <c r="O45" s="127">
        <f t="shared" si="10"/>
        <v>45657</v>
      </c>
      <c r="P45" s="128"/>
    </row>
    <row r="46" spans="1:16" ht="24" customHeight="1" x14ac:dyDescent="0.35">
      <c r="B46" s="29" t="s">
        <v>158</v>
      </c>
      <c r="D46" s="129">
        <f>$D$49*0.4</f>
        <v>1</v>
      </c>
      <c r="E46" s="124">
        <f t="shared" si="8"/>
        <v>119.78399999999991</v>
      </c>
      <c r="F46" s="130" t="s">
        <v>181</v>
      </c>
      <c r="G46" s="131">
        <v>750</v>
      </c>
      <c r="H46" s="130">
        <v>0.99</v>
      </c>
      <c r="I46" s="130" t="s">
        <v>181</v>
      </c>
      <c r="J46" s="130">
        <v>0.02</v>
      </c>
      <c r="K46" s="130">
        <v>0</v>
      </c>
      <c r="L46" s="132">
        <v>1</v>
      </c>
      <c r="M46" s="133">
        <f t="shared" si="9"/>
        <v>43465</v>
      </c>
      <c r="N46" s="134">
        <v>8</v>
      </c>
      <c r="O46" s="133">
        <f t="shared" si="10"/>
        <v>46387</v>
      </c>
      <c r="P46" s="128"/>
    </row>
    <row r="47" spans="1:16" ht="24" customHeight="1" x14ac:dyDescent="0.35">
      <c r="B47" s="33" t="s">
        <v>182</v>
      </c>
      <c r="C47" s="33"/>
      <c r="D47" s="135">
        <f t="shared" ref="D47:O108" si="11">SUM(D44:D46)</f>
        <v>2.5</v>
      </c>
      <c r="E47" s="112">
        <f t="shared" si="11"/>
        <v>299.45999999999981</v>
      </c>
      <c r="F47" s="34"/>
      <c r="G47" s="34"/>
      <c r="H47" s="112">
        <f>(1-H44)*E44+(1-H45)*E45+(1-H46)*E46</f>
        <v>2.9946000000000006</v>
      </c>
      <c r="I47" s="34"/>
      <c r="J47" s="112">
        <f>SUMPRODUCT($J$44:$J$46,$E$44:$E$46)</f>
        <v>5.9891999999999959</v>
      </c>
      <c r="K47" s="34"/>
      <c r="L47" s="34"/>
      <c r="M47" s="34"/>
      <c r="N47" s="34"/>
    </row>
    <row r="49" spans="1:16" ht="24" customHeight="1" x14ac:dyDescent="0.35">
      <c r="B49" s="29" t="s">
        <v>183</v>
      </c>
      <c r="D49" s="102">
        <v>2.5</v>
      </c>
      <c r="F49" s="29" t="s">
        <v>184</v>
      </c>
      <c r="H49" s="136">
        <v>50</v>
      </c>
    </row>
    <row r="51" spans="1:16" ht="24" customHeight="1" x14ac:dyDescent="0.35">
      <c r="A51" s="22" t="s">
        <v>5</v>
      </c>
      <c r="B51" s="24" t="s">
        <v>7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2" t="s">
        <v>5</v>
      </c>
    </row>
    <row r="52" spans="1:16" ht="6" customHeight="1" x14ac:dyDescent="0.35"/>
    <row r="53" spans="1:16" ht="24" customHeight="1" x14ac:dyDescent="0.35">
      <c r="F53" s="196" t="s">
        <v>185</v>
      </c>
      <c r="G53" s="196"/>
      <c r="H53" s="196"/>
      <c r="I53" s="196"/>
      <c r="J53" s="197"/>
      <c r="K53" s="195" t="s">
        <v>186</v>
      </c>
      <c r="L53" s="196"/>
      <c r="M53" s="196"/>
      <c r="N53" s="196"/>
      <c r="O53" s="196"/>
    </row>
    <row r="54" spans="1:16" ht="24" customHeight="1" x14ac:dyDescent="0.35">
      <c r="D54" s="193" t="str">
        <f t="shared" ref="D54:D88" si="12">"'19E - '23E Total"</f>
        <v>'19E - '23E Total</v>
      </c>
      <c r="E54" s="198" t="str">
        <f t="shared" ref="E54:E88" si="13">"'19E - '23E CAGR"</f>
        <v>'19E - '23E CAGR</v>
      </c>
      <c r="F54" s="25">
        <v>42004</v>
      </c>
      <c r="G54" s="25">
        <f t="shared" ref="G54:O118" si="14">EOMONTH(F54,12)</f>
        <v>42369</v>
      </c>
      <c r="H54" s="25">
        <f t="shared" si="14"/>
        <v>42735</v>
      </c>
      <c r="I54" s="25">
        <f t="shared" si="14"/>
        <v>43100</v>
      </c>
      <c r="J54" s="137">
        <f t="shared" si="14"/>
        <v>43465</v>
      </c>
      <c r="K54" s="25">
        <f t="shared" si="14"/>
        <v>43830</v>
      </c>
      <c r="L54" s="25">
        <f t="shared" si="14"/>
        <v>44196</v>
      </c>
      <c r="M54" s="25">
        <f t="shared" si="14"/>
        <v>44561</v>
      </c>
      <c r="N54" s="25">
        <f t="shared" si="14"/>
        <v>44926</v>
      </c>
      <c r="O54" s="25">
        <f t="shared" si="14"/>
        <v>45291</v>
      </c>
      <c r="P54" s="25"/>
    </row>
    <row r="55" spans="1:16" ht="24" customHeight="1" x14ac:dyDescent="0.35">
      <c r="B55" s="27"/>
      <c r="C55" s="27"/>
      <c r="D55" s="194"/>
      <c r="E55" s="199"/>
      <c r="F55" s="28">
        <f t="shared" ref="F55:O119" si="15">YEAR(F54)</f>
        <v>2014</v>
      </c>
      <c r="G55" s="28">
        <f t="shared" si="15"/>
        <v>2015</v>
      </c>
      <c r="H55" s="28">
        <f t="shared" si="15"/>
        <v>2016</v>
      </c>
      <c r="I55" s="28">
        <f t="shared" si="15"/>
        <v>2017</v>
      </c>
      <c r="J55" s="138">
        <f t="shared" si="15"/>
        <v>2018</v>
      </c>
      <c r="K55" s="73">
        <f t="shared" si="15"/>
        <v>2019</v>
      </c>
      <c r="L55" s="73">
        <f t="shared" si="15"/>
        <v>2020</v>
      </c>
      <c r="M55" s="73">
        <f t="shared" si="15"/>
        <v>2021</v>
      </c>
      <c r="N55" s="73">
        <f t="shared" si="15"/>
        <v>2022</v>
      </c>
      <c r="O55" s="73">
        <f t="shared" si="15"/>
        <v>2023</v>
      </c>
      <c r="P55"/>
    </row>
    <row r="56" spans="1:16" ht="6" customHeight="1" x14ac:dyDescent="0.35">
      <c r="D56" s="139"/>
      <c r="E56" s="140"/>
      <c r="J56" s="141"/>
      <c r="P56"/>
    </row>
    <row r="57" spans="1:16" ht="24" customHeight="1" x14ac:dyDescent="0.35">
      <c r="B57" s="29" t="s">
        <v>8</v>
      </c>
      <c r="D57" s="142">
        <f t="shared" ref="D57:D107" si="16">SUM(K57:O57)</f>
        <v>1601.3976449900006</v>
      </c>
      <c r="E57" s="143">
        <f t="shared" ref="E57:E82" si="17">RATE($O$55-$K$55,0,-$K57,$O57)</f>
        <v>0.1</v>
      </c>
      <c r="F57" s="74">
        <f>'Historical Financials'!D13</f>
        <v>236.27699999999999</v>
      </c>
      <c r="G57" s="74">
        <f>'Historical Financials'!E13</f>
        <v>148.565</v>
      </c>
      <c r="H57" s="74">
        <f>'Historical Financials'!F13</f>
        <v>134.755</v>
      </c>
      <c r="I57" s="74">
        <f>'Historical Financials'!G13</f>
        <v>211.31299999999999</v>
      </c>
      <c r="J57" s="144">
        <f>'Historical Financials'!H13</f>
        <v>238.459</v>
      </c>
      <c r="K57" s="74">
        <f>'P&amp;L Drivers'!I17</f>
        <v>262.30490000000003</v>
      </c>
      <c r="L57" s="74">
        <f>'P&amp;L Drivers'!J17</f>
        <v>288.53539000000006</v>
      </c>
      <c r="M57" s="74">
        <f>'P&amp;L Drivers'!K17</f>
        <v>317.38892900000008</v>
      </c>
      <c r="N57" s="74">
        <f>'P&amp;L Drivers'!L17</f>
        <v>349.12782190000013</v>
      </c>
      <c r="O57" s="74">
        <f>'P&amp;L Drivers'!M17</f>
        <v>384.04060409000016</v>
      </c>
    </row>
    <row r="58" spans="1:16" ht="24" customHeight="1" x14ac:dyDescent="0.35">
      <c r="B58" s="29" t="s">
        <v>9</v>
      </c>
      <c r="D58" s="145">
        <f t="shared" si="16"/>
        <v>2439.9464115124993</v>
      </c>
      <c r="E58" s="143">
        <f t="shared" si="17"/>
        <v>0.1499999999999993</v>
      </c>
      <c r="F58" s="91">
        <f>'Historical Financials'!D14</f>
        <v>298.66500000000002</v>
      </c>
      <c r="G58" s="91">
        <f>'Historical Financials'!E14</f>
        <v>208.28299999999999</v>
      </c>
      <c r="H58" s="91">
        <f>'Historical Financials'!F14</f>
        <v>243.91</v>
      </c>
      <c r="I58" s="91">
        <f>'Historical Financials'!G14</f>
        <v>301.65600000000001</v>
      </c>
      <c r="J58" s="146">
        <f>'Historical Financials'!H14</f>
        <v>314.68</v>
      </c>
      <c r="K58" s="91">
        <f>'P&amp;L Drivers'!I28</f>
        <v>361.88200000000001</v>
      </c>
      <c r="L58" s="91">
        <f>'P&amp;L Drivers'!J28</f>
        <v>416.16429999999997</v>
      </c>
      <c r="M58" s="91">
        <f>'P&amp;L Drivers'!K28</f>
        <v>478.58894499999991</v>
      </c>
      <c r="N58" s="91">
        <f>'P&amp;L Drivers'!L28</f>
        <v>550.37728674999983</v>
      </c>
      <c r="O58" s="91">
        <f>'P&amp;L Drivers'!M28</f>
        <v>632.93387976249971</v>
      </c>
    </row>
    <row r="59" spans="1:16" ht="24" customHeight="1" x14ac:dyDescent="0.35">
      <c r="B59" s="33" t="s">
        <v>10</v>
      </c>
      <c r="C59" s="34"/>
      <c r="D59" s="147">
        <f t="shared" si="16"/>
        <v>4041.3440565024998</v>
      </c>
      <c r="E59" s="148">
        <f t="shared" si="17"/>
        <v>0.12979292740157611</v>
      </c>
      <c r="F59" s="35">
        <f t="shared" si="2"/>
        <v>534.94200000000001</v>
      </c>
      <c r="G59" s="35">
        <f t="shared" si="2"/>
        <v>356.84799999999996</v>
      </c>
      <c r="H59" s="35">
        <f t="shared" si="2"/>
        <v>378.66499999999996</v>
      </c>
      <c r="I59" s="35">
        <f t="shared" si="2"/>
        <v>512.96900000000005</v>
      </c>
      <c r="J59" s="35">
        <f t="shared" si="2"/>
        <v>553.13900000000001</v>
      </c>
      <c r="K59" s="149">
        <f t="shared" si="2"/>
        <v>624.18690000000004</v>
      </c>
      <c r="L59" s="35">
        <f t="shared" si="2"/>
        <v>704.69969000000003</v>
      </c>
      <c r="M59" s="35">
        <f t="shared" si="2"/>
        <v>795.97787399999993</v>
      </c>
      <c r="N59" s="35">
        <f t="shared" si="2"/>
        <v>899.50510865000001</v>
      </c>
      <c r="O59" s="35">
        <f t="shared" si="2"/>
        <v>1016.9744838524998</v>
      </c>
    </row>
    <row r="60" spans="1:16" ht="24" customHeight="1" x14ac:dyDescent="0.35">
      <c r="B60" s="38" t="s">
        <v>11</v>
      </c>
      <c r="D60" s="139"/>
      <c r="E60" s="140"/>
      <c r="G60" s="39">
        <f t="shared" ref="G60:O60" si="18">G59/F59-1</f>
        <v>-0.33292207379491623</v>
      </c>
      <c r="H60" s="39">
        <f t="shared" si="18"/>
        <v>6.1138075595211339E-2</v>
      </c>
      <c r="I60" s="39">
        <f t="shared" si="18"/>
        <v>0.3546776174190911</v>
      </c>
      <c r="J60" s="150">
        <f t="shared" si="18"/>
        <v>7.8308825679524352E-2</v>
      </c>
      <c r="K60" s="39">
        <f t="shared" si="18"/>
        <v>0.12844492975545041</v>
      </c>
      <c r="L60" s="39">
        <f t="shared" si="18"/>
        <v>0.12898827258309975</v>
      </c>
      <c r="M60" s="39">
        <f t="shared" si="18"/>
        <v>0.12952777657671444</v>
      </c>
      <c r="N60" s="39">
        <f t="shared" si="18"/>
        <v>0.13006295530521261</v>
      </c>
      <c r="O60" s="39">
        <f t="shared" si="18"/>
        <v>0.13059333857347499</v>
      </c>
    </row>
    <row r="61" spans="1:16" ht="6" customHeight="1" x14ac:dyDescent="0.35">
      <c r="D61" s="139"/>
      <c r="E61" s="140"/>
      <c r="J61" s="141"/>
    </row>
    <row r="62" spans="1:16" ht="24" customHeight="1" x14ac:dyDescent="0.35">
      <c r="B62" s="40" t="s">
        <v>187</v>
      </c>
      <c r="D62" s="145">
        <f t="shared" si="16"/>
        <v>-1040.9084692435003</v>
      </c>
      <c r="E62" s="140"/>
      <c r="F62" s="91">
        <f>'Historical Financials'!D18</f>
        <v>-141.08298690831094</v>
      </c>
      <c r="G62" s="91">
        <f>'Historical Financials'!E18</f>
        <v>-101.54866807961822</v>
      </c>
      <c r="H62" s="91">
        <f>'Historical Financials'!F18</f>
        <v>-85.732824714477331</v>
      </c>
      <c r="I62" s="91">
        <f>'Historical Financials'!G18</f>
        <v>-140.56916428323314</v>
      </c>
      <c r="J62" s="151">
        <f>'Historical Financials'!H18</f>
        <v>-158.40880034009211</v>
      </c>
      <c r="K62" s="91">
        <f>'P&amp;L Drivers'!I41</f>
        <v>-170.49818500000003</v>
      </c>
      <c r="L62" s="91">
        <f>'P&amp;L Drivers'!J41</f>
        <v>-187.54800350000005</v>
      </c>
      <c r="M62" s="91">
        <f>'P&amp;L Drivers'!K41</f>
        <v>-206.30280385000006</v>
      </c>
      <c r="N62" s="91">
        <f>'P&amp;L Drivers'!L41</f>
        <v>-226.93308423500008</v>
      </c>
      <c r="O62" s="91">
        <f>'P&amp;L Drivers'!M41</f>
        <v>-249.62639265850012</v>
      </c>
    </row>
    <row r="63" spans="1:16" ht="24" customHeight="1" x14ac:dyDescent="0.35">
      <c r="B63" s="40" t="s">
        <v>188</v>
      </c>
      <c r="D63" s="145">
        <f t="shared" si="16"/>
        <v>-1585.9651674831248</v>
      </c>
      <c r="E63" s="140"/>
      <c r="F63" s="91">
        <f>'Historical Financials'!D19</f>
        <v>-227.01604607011376</v>
      </c>
      <c r="G63" s="91">
        <f>'Historical Financials'!E19</f>
        <v>-184.62581482514247</v>
      </c>
      <c r="H63" s="91">
        <f>'Historical Financials'!F19</f>
        <v>-185.29517528552267</v>
      </c>
      <c r="I63" s="91">
        <f>'Historical Financials'!G19</f>
        <v>-229.76383571676689</v>
      </c>
      <c r="J63" s="151">
        <f>'Historical Financials'!H19</f>
        <v>-219.66119965990799</v>
      </c>
      <c r="K63" s="91">
        <f>'P&amp;L Drivers'!I52</f>
        <v>-235.22330000000002</v>
      </c>
      <c r="L63" s="91">
        <f>'P&amp;L Drivers'!J52</f>
        <v>-270.50679500000001</v>
      </c>
      <c r="M63" s="91">
        <f>'P&amp;L Drivers'!K52</f>
        <v>-311.08281424999996</v>
      </c>
      <c r="N63" s="91">
        <f>'P&amp;L Drivers'!L52</f>
        <v>-357.74523638749992</v>
      </c>
      <c r="O63" s="91">
        <f>'P&amp;L Drivers'!M52</f>
        <v>-411.40702184562485</v>
      </c>
    </row>
    <row r="64" spans="1:16" ht="24" customHeight="1" x14ac:dyDescent="0.35">
      <c r="B64" s="33" t="s">
        <v>14</v>
      </c>
      <c r="C64" s="34"/>
      <c r="D64" s="147">
        <f t="shared" si="16"/>
        <v>1414.4704197758749</v>
      </c>
      <c r="E64" s="148">
        <f t="shared" si="17"/>
        <v>0.12979292740157614</v>
      </c>
      <c r="F64" s="35">
        <f t="shared" ref="F64:O64" si="19">SUM(F59,F62:F63)</f>
        <v>166.8429670215753</v>
      </c>
      <c r="G64" s="35">
        <f t="shared" si="19"/>
        <v>70.673517095239276</v>
      </c>
      <c r="H64" s="35">
        <f t="shared" si="19"/>
        <v>107.63699999999997</v>
      </c>
      <c r="I64" s="35">
        <f t="shared" si="19"/>
        <v>142.63600000000002</v>
      </c>
      <c r="J64" s="152">
        <f t="shared" si="19"/>
        <v>175.0689999999999</v>
      </c>
      <c r="K64" s="35">
        <f t="shared" si="19"/>
        <v>218.46541499999998</v>
      </c>
      <c r="L64" s="35">
        <f t="shared" si="19"/>
        <v>246.64489149999997</v>
      </c>
      <c r="M64" s="35">
        <f t="shared" si="19"/>
        <v>278.59225589999994</v>
      </c>
      <c r="N64" s="35">
        <f t="shared" si="19"/>
        <v>314.82678802750007</v>
      </c>
      <c r="O64" s="35">
        <f t="shared" si="19"/>
        <v>355.94106934837487</v>
      </c>
    </row>
    <row r="65" spans="2:15" ht="24" customHeight="1" x14ac:dyDescent="0.35">
      <c r="B65" s="38" t="s">
        <v>15</v>
      </c>
      <c r="D65" s="153">
        <f t="shared" ref="D65:D83" si="20">D64/D$59</f>
        <v>0.35</v>
      </c>
      <c r="E65" s="154"/>
      <c r="F65" s="39">
        <f t="shared" ref="F65:O65" si="21">F64/F59</f>
        <v>0.31188982547935162</v>
      </c>
      <c r="G65" s="39">
        <f t="shared" si="21"/>
        <v>0.19804935741615276</v>
      </c>
      <c r="H65" s="39">
        <f t="shared" si="21"/>
        <v>0.28425389196255263</v>
      </c>
      <c r="I65" s="39">
        <f t="shared" si="21"/>
        <v>0.27805968781739249</v>
      </c>
      <c r="J65" s="150">
        <f t="shared" si="21"/>
        <v>0.3165009156830379</v>
      </c>
      <c r="K65" s="39">
        <f t="shared" si="21"/>
        <v>0.34999999999999992</v>
      </c>
      <c r="L65" s="39">
        <f t="shared" si="21"/>
        <v>0.34999999999999992</v>
      </c>
      <c r="M65" s="39">
        <f t="shared" si="21"/>
        <v>0.35</v>
      </c>
      <c r="N65" s="39">
        <f t="shared" si="21"/>
        <v>0.35000000000000009</v>
      </c>
      <c r="O65" s="39">
        <f t="shared" si="21"/>
        <v>0.34999999999999992</v>
      </c>
    </row>
    <row r="66" spans="2:15" ht="6" customHeight="1" x14ac:dyDescent="0.35">
      <c r="B66" s="38"/>
      <c r="D66" s="139"/>
      <c r="E66" s="154"/>
      <c r="J66" s="141"/>
    </row>
    <row r="67" spans="2:15" ht="24" customHeight="1" x14ac:dyDescent="0.35">
      <c r="B67" s="40" t="s">
        <v>189</v>
      </c>
      <c r="D67" s="145">
        <f t="shared" si="16"/>
        <v>-404.13440565025002</v>
      </c>
      <c r="E67" s="154"/>
      <c r="F67" s="91">
        <f>'Historical Financials'!D23</f>
        <v>-49.069000000000003</v>
      </c>
      <c r="G67" s="91">
        <f>'Historical Financials'!E23</f>
        <v>-43.734999999999999</v>
      </c>
      <c r="H67" s="91">
        <f>'Historical Financials'!F23</f>
        <v>-47.116999999999997</v>
      </c>
      <c r="I67" s="91">
        <f>'Historical Financials'!G23</f>
        <v>-49.146000000000001</v>
      </c>
      <c r="J67" s="151">
        <f>'Historical Financials'!H23</f>
        <v>-44.828000000000003</v>
      </c>
      <c r="K67" s="91">
        <f>'P&amp;L Drivers'!I63</f>
        <v>-62.418690000000005</v>
      </c>
      <c r="L67" s="91">
        <f>'P&amp;L Drivers'!J63</f>
        <v>-70.469969000000006</v>
      </c>
      <c r="M67" s="91">
        <f>'P&amp;L Drivers'!K63</f>
        <v>-79.597787400000001</v>
      </c>
      <c r="N67" s="91">
        <f>'P&amp;L Drivers'!L63</f>
        <v>-89.950510865000012</v>
      </c>
      <c r="O67" s="91">
        <f>'P&amp;L Drivers'!M63</f>
        <v>-101.69744838524998</v>
      </c>
    </row>
    <row r="68" spans="2:15" ht="24" customHeight="1" x14ac:dyDescent="0.35">
      <c r="B68" s="40" t="s">
        <v>190</v>
      </c>
      <c r="D68" s="145">
        <f t="shared" si="16"/>
        <v>-80.826881130049998</v>
      </c>
      <c r="E68" s="154"/>
      <c r="F68" s="91">
        <f>'Historical Financials'!D24</f>
        <v>-11.048999999999999</v>
      </c>
      <c r="G68" s="91">
        <f>'Historical Financials'!E24</f>
        <v>-7.431</v>
      </c>
      <c r="H68" s="91">
        <f>'Historical Financials'!F24</f>
        <v>-9.0749999999999993</v>
      </c>
      <c r="I68" s="91">
        <f>'Historical Financials'!G24</f>
        <v>-12.512</v>
      </c>
      <c r="J68" s="151">
        <f>'Historical Financials'!H24</f>
        <v>-10.457000000000001</v>
      </c>
      <c r="K68" s="91">
        <f>'P&amp;L Drivers'!I74</f>
        <v>-12.483738000000001</v>
      </c>
      <c r="L68" s="91">
        <f>'P&amp;L Drivers'!J74</f>
        <v>-14.093993800000002</v>
      </c>
      <c r="M68" s="91">
        <f>'P&amp;L Drivers'!K74</f>
        <v>-15.919557479999998</v>
      </c>
      <c r="N68" s="91">
        <f>'P&amp;L Drivers'!L74</f>
        <v>-17.990102173</v>
      </c>
      <c r="O68" s="91">
        <f>'P&amp;L Drivers'!M74</f>
        <v>-20.339489677049997</v>
      </c>
    </row>
    <row r="69" spans="2:15" ht="24" customHeight="1" x14ac:dyDescent="0.35">
      <c r="B69" s="42" t="s">
        <v>18</v>
      </c>
      <c r="C69" s="43"/>
      <c r="D69" s="147">
        <f t="shared" si="16"/>
        <v>929.50913299557476</v>
      </c>
      <c r="E69" s="148">
        <f t="shared" si="17"/>
        <v>0.12979292740157619</v>
      </c>
      <c r="F69" s="44">
        <f t="shared" ref="F69:O69" si="22">F64+SUM(F67:F68)</f>
        <v>106.72496702157531</v>
      </c>
      <c r="G69" s="44">
        <f t="shared" si="22"/>
        <v>19.50751709523928</v>
      </c>
      <c r="H69" s="44">
        <f t="shared" si="22"/>
        <v>51.444999999999979</v>
      </c>
      <c r="I69" s="44">
        <f t="shared" si="22"/>
        <v>80.978000000000023</v>
      </c>
      <c r="J69" s="155">
        <f t="shared" si="22"/>
        <v>119.78399999999991</v>
      </c>
      <c r="K69" s="44">
        <f t="shared" si="22"/>
        <v>143.56298699999996</v>
      </c>
      <c r="L69" s="44">
        <f t="shared" si="22"/>
        <v>162.08092869999996</v>
      </c>
      <c r="M69" s="44">
        <f t="shared" si="22"/>
        <v>183.07491101999994</v>
      </c>
      <c r="N69" s="44">
        <f t="shared" si="22"/>
        <v>206.88617498950006</v>
      </c>
      <c r="O69" s="44">
        <f t="shared" si="22"/>
        <v>233.90413128607489</v>
      </c>
    </row>
    <row r="70" spans="2:15" ht="24" customHeight="1" x14ac:dyDescent="0.35">
      <c r="B70" s="38" t="s">
        <v>19</v>
      </c>
      <c r="D70" s="153">
        <f t="shared" si="20"/>
        <v>0.22999999999999995</v>
      </c>
      <c r="E70" s="140"/>
      <c r="F70" s="39">
        <f t="shared" ref="F70:O70" si="23">F69/F59</f>
        <v>0.19950754852222355</v>
      </c>
      <c r="G70" s="39">
        <f t="shared" si="23"/>
        <v>5.4666180265096856E-2</v>
      </c>
      <c r="H70" s="39">
        <f t="shared" si="23"/>
        <v>0.13585887261827734</v>
      </c>
      <c r="I70" s="39">
        <f t="shared" si="23"/>
        <v>0.15786139123416817</v>
      </c>
      <c r="J70" s="150">
        <f t="shared" si="23"/>
        <v>0.21655316294819188</v>
      </c>
      <c r="K70" s="39">
        <f t="shared" si="23"/>
        <v>0.22999999999999993</v>
      </c>
      <c r="L70" s="39">
        <f t="shared" si="23"/>
        <v>0.22999999999999993</v>
      </c>
      <c r="M70" s="39">
        <f t="shared" si="23"/>
        <v>0.22999999999999995</v>
      </c>
      <c r="N70" s="39">
        <f t="shared" si="23"/>
        <v>0.23000000000000007</v>
      </c>
      <c r="O70" s="39">
        <f t="shared" si="23"/>
        <v>0.22999999999999993</v>
      </c>
    </row>
    <row r="71" spans="2:15" ht="6" customHeight="1" x14ac:dyDescent="0.35">
      <c r="B71" s="38"/>
      <c r="D71" s="139"/>
      <c r="E71" s="140"/>
      <c r="J71" s="141"/>
    </row>
    <row r="72" spans="2:15" ht="24" customHeight="1" x14ac:dyDescent="0.35">
      <c r="B72" s="40" t="s">
        <v>191</v>
      </c>
      <c r="D72" s="145">
        <f t="shared" si="16"/>
        <v>-438.60232022039992</v>
      </c>
      <c r="E72" s="140"/>
      <c r="F72" s="91">
        <f>'Historical Financials'!D28</f>
        <v>-31.877967021575273</v>
      </c>
      <c r="G72" s="91">
        <f>'Historical Financials'!E28</f>
        <v>-33.936517095239331</v>
      </c>
      <c r="H72" s="91">
        <f>'Historical Financials'!F28</f>
        <v>-36.128</v>
      </c>
      <c r="I72" s="91">
        <f>'Historical Financials'!G28</f>
        <v>-38.460999999999999</v>
      </c>
      <c r="J72" s="151">
        <f>'Historical Financials'!H28</f>
        <v>-42.988999999999997</v>
      </c>
      <c r="K72" s="91">
        <f>'P&amp;L Drivers'!I85</f>
        <v>-56.176821000000004</v>
      </c>
      <c r="L72" s="91">
        <f>'P&amp;L Drivers'!J85</f>
        <v>-71.879368380000003</v>
      </c>
      <c r="M72" s="91">
        <f>'P&amp;L Drivers'!K85</f>
        <v>-85.965610391999988</v>
      </c>
      <c r="N72" s="91">
        <f>'P&amp;L Drivers'!L85</f>
        <v>-102.54358238609998</v>
      </c>
      <c r="O72" s="91">
        <f>'P&amp;L Drivers'!M85</f>
        <v>-122.03693806229997</v>
      </c>
    </row>
    <row r="73" spans="2:15" ht="24" customHeight="1" x14ac:dyDescent="0.35">
      <c r="B73" s="40" t="s">
        <v>192</v>
      </c>
      <c r="D73" s="145">
        <f t="shared" si="16"/>
        <v>-9.1948499999999775</v>
      </c>
      <c r="E73" s="140"/>
      <c r="F73" s="32">
        <v>0</v>
      </c>
      <c r="G73" s="32">
        <v>0</v>
      </c>
      <c r="H73" s="32">
        <v>0</v>
      </c>
      <c r="I73" s="32">
        <v>0</v>
      </c>
      <c r="J73" s="156">
        <v>0</v>
      </c>
      <c r="K73" s="92">
        <f t="shared" ref="K73:O73" si="24">$O$25</f>
        <v>-1.8389699999999956</v>
      </c>
      <c r="L73" s="92">
        <f t="shared" si="24"/>
        <v>-1.8389699999999956</v>
      </c>
      <c r="M73" s="92">
        <f t="shared" si="24"/>
        <v>-1.8389699999999956</v>
      </c>
      <c r="N73" s="92">
        <f t="shared" si="24"/>
        <v>-1.8389699999999956</v>
      </c>
      <c r="O73" s="92">
        <f t="shared" si="24"/>
        <v>-1.8389699999999956</v>
      </c>
    </row>
    <row r="74" spans="2:15" ht="24" customHeight="1" x14ac:dyDescent="0.35">
      <c r="B74" s="40" t="s">
        <v>193</v>
      </c>
      <c r="D74" s="145">
        <f t="shared" si="16"/>
        <v>0</v>
      </c>
      <c r="E74" s="140"/>
      <c r="F74" s="32">
        <v>0</v>
      </c>
      <c r="G74" s="32">
        <v>0</v>
      </c>
      <c r="H74" s="32">
        <v>0</v>
      </c>
      <c r="I74" s="32">
        <v>0</v>
      </c>
      <c r="J74" s="156">
        <v>0</v>
      </c>
      <c r="K74" s="92"/>
      <c r="L74" s="92"/>
      <c r="M74" s="92"/>
      <c r="N74" s="92"/>
      <c r="O74" s="92"/>
    </row>
    <row r="75" spans="2:15" ht="24" customHeight="1" x14ac:dyDescent="0.35">
      <c r="B75" s="40" t="s">
        <v>194</v>
      </c>
      <c r="D75" s="145">
        <f t="shared" si="16"/>
        <v>0</v>
      </c>
      <c r="E75" s="140"/>
      <c r="F75" s="32">
        <v>0</v>
      </c>
      <c r="G75" s="32">
        <v>0</v>
      </c>
      <c r="H75" s="32">
        <v>0</v>
      </c>
      <c r="I75" s="32">
        <v>0</v>
      </c>
      <c r="J75" s="157">
        <v>0</v>
      </c>
      <c r="K75" s="92"/>
      <c r="L75" s="92"/>
      <c r="M75" s="92"/>
      <c r="N75" s="92"/>
      <c r="O75" s="92"/>
    </row>
    <row r="76" spans="2:15" ht="24" customHeight="1" x14ac:dyDescent="0.35">
      <c r="B76" s="33" t="s">
        <v>21</v>
      </c>
      <c r="C76" s="34"/>
      <c r="D76" s="147">
        <f t="shared" si="16"/>
        <v>481.71196277517492</v>
      </c>
      <c r="E76" s="148">
        <f t="shared" si="17"/>
        <v>6.4938627775876959E-2</v>
      </c>
      <c r="F76" s="35">
        <f t="shared" ref="F76:O76" si="25">SUM(F69,F72:F75)</f>
        <v>74.847000000000037</v>
      </c>
      <c r="G76" s="35">
        <f t="shared" si="25"/>
        <v>-14.429000000000052</v>
      </c>
      <c r="H76" s="35">
        <f t="shared" si="25"/>
        <v>15.316999999999979</v>
      </c>
      <c r="I76" s="35">
        <f t="shared" si="25"/>
        <v>42.517000000000024</v>
      </c>
      <c r="J76" s="152">
        <f t="shared" si="25"/>
        <v>76.794999999999902</v>
      </c>
      <c r="K76" s="35">
        <f t="shared" si="25"/>
        <v>85.547195999999971</v>
      </c>
      <c r="L76" s="35">
        <f t="shared" si="25"/>
        <v>88.362590319999967</v>
      </c>
      <c r="M76" s="35">
        <f t="shared" si="25"/>
        <v>95.270330627999968</v>
      </c>
      <c r="N76" s="35">
        <f t="shared" si="25"/>
        <v>102.50362260340009</v>
      </c>
      <c r="O76" s="35">
        <f t="shared" si="25"/>
        <v>110.02822322377493</v>
      </c>
    </row>
    <row r="77" spans="2:15" ht="24" customHeight="1" x14ac:dyDescent="0.35">
      <c r="B77" s="38" t="s">
        <v>22</v>
      </c>
      <c r="D77" s="153">
        <f>D97/D$59</f>
        <v>0.20449105316412866</v>
      </c>
      <c r="E77" s="140"/>
      <c r="F77" s="39">
        <f t="shared" ref="F77:O77" si="26">F76/F59</f>
        <v>0.13991610305416294</v>
      </c>
      <c r="G77" s="39">
        <f t="shared" si="26"/>
        <v>-4.0434582791552855E-2</v>
      </c>
      <c r="H77" s="39">
        <f t="shared" si="26"/>
        <v>4.0450001980642469E-2</v>
      </c>
      <c r="I77" s="39">
        <f t="shared" si="26"/>
        <v>8.2884150894108652E-2</v>
      </c>
      <c r="J77" s="150">
        <f t="shared" si="26"/>
        <v>0.13883490406570481</v>
      </c>
      <c r="K77" s="39">
        <f t="shared" si="26"/>
        <v>0.13705381513133322</v>
      </c>
      <c r="L77" s="39">
        <f t="shared" si="26"/>
        <v>0.1253904203079754</v>
      </c>
      <c r="M77" s="39">
        <f t="shared" si="26"/>
        <v>0.11968967196191181</v>
      </c>
      <c r="N77" s="39">
        <f t="shared" si="26"/>
        <v>0.11395557581350496</v>
      </c>
      <c r="O77" s="39">
        <f t="shared" si="26"/>
        <v>0.10819172454255326</v>
      </c>
    </row>
    <row r="78" spans="2:15" ht="6" customHeight="1" x14ac:dyDescent="0.35">
      <c r="B78" s="38"/>
      <c r="D78" s="139"/>
      <c r="E78" s="140"/>
      <c r="J78" s="141"/>
    </row>
    <row r="79" spans="2:15" ht="24" customHeight="1" x14ac:dyDescent="0.35">
      <c r="B79" s="40" t="s">
        <v>23</v>
      </c>
      <c r="D79" s="145">
        <f t="shared" si="16"/>
        <v>0</v>
      </c>
      <c r="E79" s="140"/>
      <c r="F79" s="91">
        <f>'Historical Financials'!D32</f>
        <v>-2.5</v>
      </c>
      <c r="G79" s="91">
        <f>'Historical Financials'!E32</f>
        <v>-2.9</v>
      </c>
      <c r="H79" s="91">
        <f>'Historical Financials'!F32</f>
        <v>-3.3</v>
      </c>
      <c r="I79" s="91">
        <f>'Historical Financials'!G32</f>
        <v>-3.6999999999999997</v>
      </c>
      <c r="J79" s="151">
        <f>'Historical Financials'!H32</f>
        <v>-4.0999999999999996</v>
      </c>
      <c r="K79" s="92"/>
      <c r="L79" s="92"/>
      <c r="M79" s="92"/>
      <c r="N79" s="92"/>
      <c r="O79" s="92"/>
    </row>
    <row r="80" spans="2:15" ht="24" customHeight="1" x14ac:dyDescent="0.35">
      <c r="B80" s="33" t="s">
        <v>24</v>
      </c>
      <c r="C80" s="34"/>
      <c r="D80" s="147">
        <f t="shared" si="16"/>
        <v>481.71196277517492</v>
      </c>
      <c r="E80" s="158"/>
      <c r="F80" s="35">
        <f t="shared" ref="F80:O80" si="27">SUM(F76,F79)</f>
        <v>72.347000000000037</v>
      </c>
      <c r="G80" s="35">
        <f t="shared" si="27"/>
        <v>-17.32900000000005</v>
      </c>
      <c r="H80" s="35">
        <f t="shared" si="27"/>
        <v>12.016999999999978</v>
      </c>
      <c r="I80" s="35">
        <f t="shared" si="27"/>
        <v>38.817000000000021</v>
      </c>
      <c r="J80" s="152">
        <f t="shared" si="27"/>
        <v>72.694999999999908</v>
      </c>
      <c r="K80" s="35">
        <f t="shared" si="27"/>
        <v>85.547195999999971</v>
      </c>
      <c r="L80" s="35">
        <f t="shared" si="27"/>
        <v>88.362590319999967</v>
      </c>
      <c r="M80" s="35">
        <f t="shared" si="27"/>
        <v>95.270330627999968</v>
      </c>
      <c r="N80" s="35">
        <f t="shared" si="27"/>
        <v>102.50362260340009</v>
      </c>
      <c r="O80" s="35">
        <f t="shared" si="27"/>
        <v>110.02822322377493</v>
      </c>
    </row>
    <row r="81" spans="1:16" ht="24" customHeight="1" x14ac:dyDescent="0.35">
      <c r="B81" s="40" t="s">
        <v>25</v>
      </c>
      <c r="D81" s="145">
        <f t="shared" si="16"/>
        <v>-101.15951218278673</v>
      </c>
      <c r="E81" s="140"/>
      <c r="F81" s="91">
        <f>'Historical Financials'!D34</f>
        <v>-20.849</v>
      </c>
      <c r="G81" s="91">
        <f>'Historical Financials'!E34</f>
        <v>12.34</v>
      </c>
      <c r="H81" s="91">
        <f>'Historical Financials'!F34</f>
        <v>-6.7770000000000001</v>
      </c>
      <c r="I81" s="91">
        <f>'Historical Financials'!G34</f>
        <v>-14.276</v>
      </c>
      <c r="J81" s="151">
        <f>'Historical Financials'!H34</f>
        <v>-24.780999999999999</v>
      </c>
      <c r="K81" s="92">
        <f t="shared" ref="K81:O81" si="28">-PRODUCT(K$80,$E$10)</f>
        <v>-17.964911159999993</v>
      </c>
      <c r="L81" s="92">
        <f t="shared" si="28"/>
        <v>-18.556143967199993</v>
      </c>
      <c r="M81" s="92">
        <f t="shared" si="28"/>
        <v>-20.006769431879992</v>
      </c>
      <c r="N81" s="92">
        <f t="shared" si="28"/>
        <v>-21.525760746714017</v>
      </c>
      <c r="O81" s="92">
        <f t="shared" si="28"/>
        <v>-23.105926876992733</v>
      </c>
    </row>
    <row r="82" spans="1:16" ht="24" customHeight="1" x14ac:dyDescent="0.35">
      <c r="B82" s="33" t="s">
        <v>26</v>
      </c>
      <c r="C82" s="34"/>
      <c r="D82" s="147">
        <f t="shared" si="16"/>
        <v>380.55245059238825</v>
      </c>
      <c r="E82" s="148">
        <f t="shared" si="17"/>
        <v>6.4938627775877E-2</v>
      </c>
      <c r="F82" s="35">
        <f t="shared" si="2"/>
        <v>51.498000000000033</v>
      </c>
      <c r="G82" s="35">
        <f t="shared" si="2"/>
        <v>-4.9890000000000505</v>
      </c>
      <c r="H82" s="35">
        <f t="shared" si="2"/>
        <v>5.239999999999978</v>
      </c>
      <c r="I82" s="35">
        <f t="shared" si="2"/>
        <v>24.541000000000022</v>
      </c>
      <c r="J82" s="152">
        <f t="shared" si="2"/>
        <v>47.913999999999909</v>
      </c>
      <c r="K82" s="35">
        <f t="shared" si="2"/>
        <v>67.582284839999971</v>
      </c>
      <c r="L82" s="35">
        <f t="shared" si="2"/>
        <v>69.806446352799981</v>
      </c>
      <c r="M82" s="35">
        <f t="shared" si="2"/>
        <v>75.26356119611998</v>
      </c>
      <c r="N82" s="35">
        <f t="shared" si="2"/>
        <v>80.977861856686076</v>
      </c>
      <c r="O82" s="35">
        <f t="shared" si="2"/>
        <v>86.92229634678219</v>
      </c>
    </row>
    <row r="83" spans="1:16" ht="24" customHeight="1" x14ac:dyDescent="0.35">
      <c r="B83" s="38" t="s">
        <v>27</v>
      </c>
      <c r="D83" s="159">
        <f t="shared" si="20"/>
        <v>9.4164823700194869E-2</v>
      </c>
      <c r="E83" s="160"/>
      <c r="F83" s="39">
        <f t="shared" ref="F83:O83" si="29">F82/F59</f>
        <v>9.6268380497325001E-2</v>
      </c>
      <c r="G83" s="39">
        <f t="shared" si="29"/>
        <v>-1.3980742501008976E-2</v>
      </c>
      <c r="H83" s="39">
        <f t="shared" si="29"/>
        <v>1.383808907609623E-2</v>
      </c>
      <c r="I83" s="39">
        <f t="shared" si="29"/>
        <v>4.7841097610187011E-2</v>
      </c>
      <c r="J83" s="150">
        <f t="shared" si="29"/>
        <v>8.6621988324815116E-2</v>
      </c>
      <c r="K83" s="39">
        <f t="shared" si="29"/>
        <v>0.10827251395375322</v>
      </c>
      <c r="L83" s="39">
        <f t="shared" si="29"/>
        <v>9.9058432043300573E-2</v>
      </c>
      <c r="M83" s="39">
        <f t="shared" si="29"/>
        <v>9.4554840849910338E-2</v>
      </c>
      <c r="N83" s="39">
        <f t="shared" si="29"/>
        <v>9.0024904892668928E-2</v>
      </c>
      <c r="O83" s="39">
        <f t="shared" si="29"/>
        <v>8.5471462388617067E-2</v>
      </c>
    </row>
    <row r="85" spans="1:16" ht="24" customHeight="1" x14ac:dyDescent="0.35">
      <c r="A85" s="22" t="s">
        <v>5</v>
      </c>
      <c r="B85" s="24" t="s">
        <v>59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2" t="s">
        <v>5</v>
      </c>
    </row>
    <row r="86" spans="1:16" ht="6" customHeight="1" x14ac:dyDescent="0.35"/>
    <row r="87" spans="1:16" ht="24" customHeight="1" x14ac:dyDescent="0.35">
      <c r="F87" s="196" t="s">
        <v>185</v>
      </c>
      <c r="G87" s="196"/>
      <c r="H87" s="196"/>
      <c r="I87" s="196"/>
      <c r="J87" s="197"/>
      <c r="K87" s="195" t="s">
        <v>186</v>
      </c>
      <c r="L87" s="196"/>
      <c r="M87" s="196"/>
      <c r="N87" s="196"/>
      <c r="O87" s="196"/>
    </row>
    <row r="88" spans="1:16" ht="24" customHeight="1" x14ac:dyDescent="0.35">
      <c r="D88" s="193" t="str">
        <f t="shared" si="12"/>
        <v>'19E - '23E Total</v>
      </c>
      <c r="E88" s="198" t="str">
        <f t="shared" si="13"/>
        <v>'19E - '23E CAGR</v>
      </c>
      <c r="F88" s="25">
        <v>42004</v>
      </c>
      <c r="G88" s="25">
        <f t="shared" si="14"/>
        <v>42369</v>
      </c>
      <c r="H88" s="25">
        <f t="shared" si="14"/>
        <v>42735</v>
      </c>
      <c r="I88" s="25">
        <f t="shared" si="14"/>
        <v>43100</v>
      </c>
      <c r="J88" s="137">
        <f t="shared" si="14"/>
        <v>43465</v>
      </c>
      <c r="K88" s="25">
        <f t="shared" si="14"/>
        <v>43830</v>
      </c>
      <c r="L88" s="25">
        <f t="shared" si="14"/>
        <v>44196</v>
      </c>
      <c r="M88" s="25">
        <f t="shared" si="14"/>
        <v>44561</v>
      </c>
      <c r="N88" s="25">
        <f t="shared" si="14"/>
        <v>44926</v>
      </c>
      <c r="O88" s="25">
        <f t="shared" si="14"/>
        <v>45291</v>
      </c>
      <c r="P88" s="25"/>
    </row>
    <row r="89" spans="1:16" ht="24" customHeight="1" x14ac:dyDescent="0.35">
      <c r="B89" s="27"/>
      <c r="C89" s="27"/>
      <c r="D89" s="194"/>
      <c r="E89" s="199"/>
      <c r="F89" s="28">
        <f t="shared" si="15"/>
        <v>2014</v>
      </c>
      <c r="G89" s="28">
        <f t="shared" si="15"/>
        <v>2015</v>
      </c>
      <c r="H89" s="28">
        <f t="shared" si="15"/>
        <v>2016</v>
      </c>
      <c r="I89" s="28">
        <f t="shared" si="15"/>
        <v>2017</v>
      </c>
      <c r="J89" s="138">
        <f t="shared" si="15"/>
        <v>2018</v>
      </c>
      <c r="K89" s="73">
        <f t="shared" si="15"/>
        <v>2019</v>
      </c>
      <c r="L89" s="73">
        <f t="shared" si="15"/>
        <v>2020</v>
      </c>
      <c r="M89" s="73">
        <f t="shared" si="15"/>
        <v>2021</v>
      </c>
      <c r="N89" s="73">
        <f t="shared" si="15"/>
        <v>2022</v>
      </c>
      <c r="O89" s="73">
        <f t="shared" si="15"/>
        <v>2023</v>
      </c>
      <c r="P89"/>
    </row>
    <row r="90" spans="1:16" ht="6" customHeight="1" x14ac:dyDescent="0.35">
      <c r="D90" s="139"/>
      <c r="E90" s="140"/>
      <c r="J90" s="161"/>
    </row>
    <row r="91" spans="1:16" ht="24" customHeight="1" x14ac:dyDescent="0.35">
      <c r="B91" s="29" t="s">
        <v>26</v>
      </c>
      <c r="D91" s="142">
        <f t="shared" si="16"/>
        <v>380.55245059238825</v>
      </c>
      <c r="E91" s="140"/>
      <c r="F91" s="46">
        <f t="shared" ref="F91:O91" si="30">F82</f>
        <v>51.498000000000033</v>
      </c>
      <c r="G91" s="46">
        <f t="shared" si="30"/>
        <v>-4.9890000000000505</v>
      </c>
      <c r="H91" s="46">
        <f t="shared" si="30"/>
        <v>5.239999999999978</v>
      </c>
      <c r="I91" s="46">
        <f t="shared" si="30"/>
        <v>24.541000000000022</v>
      </c>
      <c r="J91" s="162">
        <f t="shared" si="30"/>
        <v>47.913999999999909</v>
      </c>
      <c r="K91" s="46">
        <f t="shared" si="30"/>
        <v>67.582284839999971</v>
      </c>
      <c r="L91" s="46">
        <f t="shared" si="30"/>
        <v>69.806446352799981</v>
      </c>
      <c r="M91" s="46">
        <f t="shared" si="30"/>
        <v>75.26356119611998</v>
      </c>
      <c r="N91" s="46">
        <f t="shared" si="30"/>
        <v>80.977861856686076</v>
      </c>
      <c r="O91" s="46">
        <f t="shared" si="30"/>
        <v>86.92229634678219</v>
      </c>
    </row>
    <row r="92" spans="1:16" ht="24" customHeight="1" x14ac:dyDescent="0.35">
      <c r="B92" s="29" t="s">
        <v>195</v>
      </c>
      <c r="D92" s="145">
        <f t="shared" si="16"/>
        <v>438.60232022039992</v>
      </c>
      <c r="E92" s="140"/>
      <c r="F92" s="53">
        <f t="shared" ref="F92:O95" si="31">-F72</f>
        <v>31.877967021575273</v>
      </c>
      <c r="G92" s="53">
        <f t="shared" si="31"/>
        <v>33.936517095239331</v>
      </c>
      <c r="H92" s="53">
        <f t="shared" si="31"/>
        <v>36.128</v>
      </c>
      <c r="I92" s="53">
        <f t="shared" si="31"/>
        <v>38.460999999999999</v>
      </c>
      <c r="J92" s="163">
        <f t="shared" si="31"/>
        <v>42.988999999999997</v>
      </c>
      <c r="K92" s="53">
        <f t="shared" si="31"/>
        <v>56.176821000000004</v>
      </c>
      <c r="L92" s="53">
        <f t="shared" si="31"/>
        <v>71.879368380000003</v>
      </c>
      <c r="M92" s="53">
        <f t="shared" si="31"/>
        <v>85.965610391999988</v>
      </c>
      <c r="N92" s="53">
        <f t="shared" si="31"/>
        <v>102.54358238609998</v>
      </c>
      <c r="O92" s="53">
        <f t="shared" si="31"/>
        <v>122.03693806229997</v>
      </c>
    </row>
    <row r="93" spans="1:16" ht="24" customHeight="1" x14ac:dyDescent="0.35">
      <c r="B93" s="29" t="s">
        <v>196</v>
      </c>
      <c r="D93" s="145">
        <f t="shared" si="16"/>
        <v>9.1948499999999775</v>
      </c>
      <c r="E93" s="140"/>
      <c r="F93" s="32">
        <v>0</v>
      </c>
      <c r="G93" s="32">
        <v>0</v>
      </c>
      <c r="H93" s="32">
        <v>0</v>
      </c>
      <c r="I93" s="32">
        <v>0</v>
      </c>
      <c r="J93" s="156">
        <v>0</v>
      </c>
      <c r="K93" s="53">
        <f t="shared" si="31"/>
        <v>1.8389699999999956</v>
      </c>
      <c r="L93" s="53">
        <f t="shared" si="31"/>
        <v>1.8389699999999956</v>
      </c>
      <c r="M93" s="53">
        <f t="shared" si="31"/>
        <v>1.8389699999999956</v>
      </c>
      <c r="N93" s="53">
        <f t="shared" si="31"/>
        <v>1.8389699999999956</v>
      </c>
      <c r="O93" s="53">
        <f t="shared" si="31"/>
        <v>1.8389699999999956</v>
      </c>
    </row>
    <row r="94" spans="1:16" ht="24" customHeight="1" x14ac:dyDescent="0.35">
      <c r="B94" s="29" t="s">
        <v>197</v>
      </c>
      <c r="D94" s="145">
        <f t="shared" si="16"/>
        <v>0</v>
      </c>
      <c r="E94" s="140"/>
      <c r="F94" s="32">
        <v>0</v>
      </c>
      <c r="G94" s="32">
        <v>0</v>
      </c>
      <c r="H94" s="32">
        <v>0</v>
      </c>
      <c r="I94" s="32">
        <v>0</v>
      </c>
      <c r="J94" s="156">
        <v>0</v>
      </c>
      <c r="K94" s="53">
        <f t="shared" si="31"/>
        <v>0</v>
      </c>
      <c r="L94" s="53">
        <f t="shared" si="31"/>
        <v>0</v>
      </c>
      <c r="M94" s="53">
        <f t="shared" si="31"/>
        <v>0</v>
      </c>
      <c r="N94" s="53">
        <f t="shared" si="31"/>
        <v>0</v>
      </c>
      <c r="O94" s="53">
        <f t="shared" si="31"/>
        <v>0</v>
      </c>
    </row>
    <row r="95" spans="1:16" ht="24" customHeight="1" x14ac:dyDescent="0.35">
      <c r="B95" s="29" t="s">
        <v>198</v>
      </c>
      <c r="D95" s="145">
        <f t="shared" si="16"/>
        <v>0</v>
      </c>
      <c r="E95" s="140"/>
      <c r="F95" s="32">
        <v>0</v>
      </c>
      <c r="G95" s="32">
        <v>0</v>
      </c>
      <c r="H95" s="32">
        <v>0</v>
      </c>
      <c r="I95" s="32">
        <v>0</v>
      </c>
      <c r="J95" s="156">
        <v>0</v>
      </c>
      <c r="K95" s="53">
        <f t="shared" si="31"/>
        <v>0</v>
      </c>
      <c r="L95" s="53">
        <f t="shared" si="31"/>
        <v>0</v>
      </c>
      <c r="M95" s="53">
        <f t="shared" si="31"/>
        <v>0</v>
      </c>
      <c r="N95" s="53">
        <f t="shared" si="31"/>
        <v>0</v>
      </c>
      <c r="O95" s="53">
        <f t="shared" si="31"/>
        <v>0</v>
      </c>
    </row>
    <row r="96" spans="1:16" ht="24" customHeight="1" x14ac:dyDescent="0.35">
      <c r="B96" s="40" t="s">
        <v>199</v>
      </c>
      <c r="D96" s="145">
        <f t="shared" si="16"/>
        <v>-1.9309184999999953</v>
      </c>
      <c r="E96" s="140"/>
      <c r="F96" s="92">
        <f t="shared" ref="F96:O96" si="32">-SUM(F93:F95)*$E$10</f>
        <v>0</v>
      </c>
      <c r="G96" s="92">
        <f t="shared" si="32"/>
        <v>0</v>
      </c>
      <c r="H96" s="92">
        <f t="shared" si="32"/>
        <v>0</v>
      </c>
      <c r="I96" s="92">
        <f t="shared" si="32"/>
        <v>0</v>
      </c>
      <c r="J96" s="164">
        <f t="shared" si="32"/>
        <v>0</v>
      </c>
      <c r="K96" s="92">
        <f t="shared" si="32"/>
        <v>-0.38618369999999907</v>
      </c>
      <c r="L96" s="92">
        <f t="shared" si="32"/>
        <v>-0.38618369999999907</v>
      </c>
      <c r="M96" s="92">
        <f t="shared" si="32"/>
        <v>-0.38618369999999907</v>
      </c>
      <c r="N96" s="92">
        <f t="shared" si="32"/>
        <v>-0.38618369999999907</v>
      </c>
      <c r="O96" s="92">
        <f t="shared" si="32"/>
        <v>-0.38618369999999907</v>
      </c>
    </row>
    <row r="97" spans="2:15" ht="24" customHeight="1" x14ac:dyDescent="0.35">
      <c r="B97" s="33" t="s">
        <v>200</v>
      </c>
      <c r="C97" s="34"/>
      <c r="D97" s="147">
        <f t="shared" si="16"/>
        <v>826.41870231278813</v>
      </c>
      <c r="E97" s="148">
        <f t="shared" ref="E97:E99" si="33">RATE($O$89-$K$89,0,-$K97,$O97)</f>
        <v>0.1385608392212711</v>
      </c>
      <c r="F97" s="35">
        <f t="shared" ref="F97:O129" si="34">SUM(F91:F96)</f>
        <v>83.375967021575306</v>
      </c>
      <c r="G97" s="35">
        <f t="shared" si="34"/>
        <v>28.947517095239281</v>
      </c>
      <c r="H97" s="35">
        <f t="shared" si="34"/>
        <v>41.367999999999981</v>
      </c>
      <c r="I97" s="35">
        <f t="shared" si="34"/>
        <v>63.002000000000024</v>
      </c>
      <c r="J97" s="152">
        <f t="shared" si="34"/>
        <v>90.902999999999906</v>
      </c>
      <c r="K97" s="35">
        <f t="shared" si="34"/>
        <v>125.21189213999996</v>
      </c>
      <c r="L97" s="35">
        <f t="shared" si="34"/>
        <v>143.13860103279998</v>
      </c>
      <c r="M97" s="35">
        <f t="shared" si="34"/>
        <v>162.68195788811997</v>
      </c>
      <c r="N97" s="35">
        <f t="shared" si="34"/>
        <v>184.97423054278605</v>
      </c>
      <c r="O97" s="35">
        <f t="shared" si="34"/>
        <v>210.41202070908216</v>
      </c>
    </row>
    <row r="98" spans="2:15" ht="24" customHeight="1" x14ac:dyDescent="0.35">
      <c r="B98" s="40" t="s">
        <v>201</v>
      </c>
      <c r="D98" s="145">
        <f t="shared" si="16"/>
        <v>-120.79764429636668</v>
      </c>
      <c r="E98" s="140"/>
      <c r="F98" s="91">
        <f>'Capex &amp; NWC Drivers'!D50</f>
        <v>-8.6999999999999993</v>
      </c>
      <c r="G98" s="91">
        <f>'Capex &amp; NWC Drivers'!E50</f>
        <v>-12.35199999999999</v>
      </c>
      <c r="H98" s="91">
        <f>'Capex &amp; NWC Drivers'!F50</f>
        <v>20.255000000000038</v>
      </c>
      <c r="I98" s="91">
        <f>'Capex &amp; NWC Drivers'!G50</f>
        <v>-55.670000000000044</v>
      </c>
      <c r="J98" s="151">
        <f>'Capex &amp; NWC Drivers'!H50</f>
        <v>-49.90300000000002</v>
      </c>
      <c r="K98" s="91">
        <f>'Capex &amp; NWC Drivers'!I50</f>
        <v>2.2405122851643</v>
      </c>
      <c r="L98" s="91">
        <f>'Capex &amp; NWC Drivers'!J50</f>
        <v>-25.220107941486958</v>
      </c>
      <c r="M98" s="91">
        <f>'Capex &amp; NWC Drivers'!K50</f>
        <v>-28.592297611136217</v>
      </c>
      <c r="N98" s="91">
        <f>'Capex &amp; NWC Drivers'!L50</f>
        <v>-32.429233079075317</v>
      </c>
      <c r="O98" s="91">
        <f>'Capex &amp; NWC Drivers'!M50</f>
        <v>-36.796517949832491</v>
      </c>
    </row>
    <row r="99" spans="2:15" ht="24" customHeight="1" x14ac:dyDescent="0.35">
      <c r="B99" s="33" t="s">
        <v>63</v>
      </c>
      <c r="C99" s="34"/>
      <c r="D99" s="147">
        <f t="shared" ref="D99:D108" si="35">SUM(K78:O78)</f>
        <v>0</v>
      </c>
      <c r="E99" s="148">
        <f t="shared" si="33"/>
        <v>8.0339156779007853E-2</v>
      </c>
      <c r="F99" s="35">
        <f t="shared" si="2"/>
        <v>74.675967021575303</v>
      </c>
      <c r="G99" s="35">
        <f t="shared" si="2"/>
        <v>16.595517095239291</v>
      </c>
      <c r="H99" s="35">
        <f t="shared" si="2"/>
        <v>61.623000000000019</v>
      </c>
      <c r="I99" s="35">
        <f t="shared" si="2"/>
        <v>7.3319999999999794</v>
      </c>
      <c r="J99" s="152">
        <f t="shared" si="2"/>
        <v>40.999999999999886</v>
      </c>
      <c r="K99" s="35">
        <f t="shared" si="2"/>
        <v>127.45240442516426</v>
      </c>
      <c r="L99" s="35">
        <f t="shared" si="2"/>
        <v>117.91849309131302</v>
      </c>
      <c r="M99" s="35">
        <f t="shared" si="2"/>
        <v>134.08966027698375</v>
      </c>
      <c r="N99" s="35">
        <f t="shared" si="2"/>
        <v>152.54499746371073</v>
      </c>
      <c r="O99" s="35">
        <f t="shared" si="2"/>
        <v>173.61550275924967</v>
      </c>
    </row>
    <row r="100" spans="2:15" ht="24" customHeight="1" x14ac:dyDescent="0.35">
      <c r="D100" s="145"/>
      <c r="E100" s="140"/>
      <c r="J100" s="141"/>
    </row>
    <row r="101" spans="2:15" ht="24" customHeight="1" x14ac:dyDescent="0.35">
      <c r="B101" s="29" t="s">
        <v>64</v>
      </c>
      <c r="D101" s="145">
        <f t="shared" si="16"/>
        <v>-484.96128678029993</v>
      </c>
      <c r="E101" s="140"/>
      <c r="F101" s="91">
        <f>'Capex &amp; NWC Drivers'!D17</f>
        <v>-52.373218454306603</v>
      </c>
      <c r="G101" s="91">
        <f>'Capex &amp; NWC Drivers'!E17</f>
        <v>-34.9370179551847</v>
      </c>
      <c r="H101" s="91">
        <f>'Capex &amp; NWC Drivers'!F17</f>
        <v>-37.073</v>
      </c>
      <c r="I101" s="91">
        <f>'Capex &amp; NWC Drivers'!G17</f>
        <v>-47.387</v>
      </c>
      <c r="J101" s="151">
        <f>'Capex &amp; NWC Drivers'!H17</f>
        <v>-63.661999999999999</v>
      </c>
      <c r="K101" s="91">
        <f>'Capex &amp; NWC Drivers'!I17</f>
        <v>-74.902428</v>
      </c>
      <c r="L101" s="91">
        <f>'Capex &amp; NWC Drivers'!J17</f>
        <v>-84.563962799999999</v>
      </c>
      <c r="M101" s="91">
        <f>'Capex &amp; NWC Drivers'!K17</f>
        <v>-95.517344879999982</v>
      </c>
      <c r="N101" s="91">
        <f>'Capex &amp; NWC Drivers'!L17</f>
        <v>-107.940613038</v>
      </c>
      <c r="O101" s="91">
        <f>'Capex &amp; NWC Drivers'!M17</f>
        <v>-122.03693806229997</v>
      </c>
    </row>
    <row r="102" spans="2:15" ht="24" customHeight="1" x14ac:dyDescent="0.35">
      <c r="B102" s="29" t="s">
        <v>65</v>
      </c>
      <c r="D102" s="145">
        <f t="shared" si="16"/>
        <v>0</v>
      </c>
      <c r="E102" s="140"/>
      <c r="F102" s="91">
        <f>'Historical Financials'!D106</f>
        <v>0</v>
      </c>
      <c r="G102" s="91">
        <f>'Historical Financials'!E106</f>
        <v>19.734500859945413</v>
      </c>
      <c r="H102" s="91">
        <f>'Historical Financials'!F106</f>
        <v>4.722999999999983</v>
      </c>
      <c r="I102" s="91">
        <f>'Historical Financials'!G106</f>
        <v>0</v>
      </c>
      <c r="J102" s="151">
        <f>'Historical Financials'!H106</f>
        <v>27.971000000000114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</row>
    <row r="103" spans="2:15" ht="24" customHeight="1" x14ac:dyDescent="0.35">
      <c r="B103" s="33" t="s">
        <v>66</v>
      </c>
      <c r="C103" s="34"/>
      <c r="D103" s="147">
        <f t="shared" si="35"/>
        <v>380.55245059238825</v>
      </c>
      <c r="E103" s="158"/>
      <c r="F103" s="35">
        <f t="shared" si="2"/>
        <v>-52.373218454306603</v>
      </c>
      <c r="G103" s="35">
        <f t="shared" si="2"/>
        <v>-15.202517095239287</v>
      </c>
      <c r="H103" s="35">
        <f t="shared" si="2"/>
        <v>-32.350000000000016</v>
      </c>
      <c r="I103" s="35">
        <f t="shared" si="2"/>
        <v>-47.387</v>
      </c>
      <c r="J103" s="152">
        <f t="shared" si="2"/>
        <v>-35.690999999999889</v>
      </c>
      <c r="K103" s="35">
        <f t="shared" si="2"/>
        <v>-74.902428</v>
      </c>
      <c r="L103" s="35">
        <f t="shared" si="2"/>
        <v>-84.563962799999999</v>
      </c>
      <c r="M103" s="35">
        <f t="shared" si="2"/>
        <v>-95.517344879999982</v>
      </c>
      <c r="N103" s="35">
        <f t="shared" si="2"/>
        <v>-107.940613038</v>
      </c>
      <c r="O103" s="35">
        <f t="shared" si="2"/>
        <v>-122.03693806229997</v>
      </c>
    </row>
    <row r="104" spans="2:15" ht="24" customHeight="1" x14ac:dyDescent="0.35">
      <c r="B104" s="49"/>
      <c r="D104" s="145"/>
      <c r="E104" s="140"/>
      <c r="J104" s="141"/>
    </row>
    <row r="105" spans="2:15" ht="24" customHeight="1" x14ac:dyDescent="0.35">
      <c r="B105" s="29" t="s">
        <v>67</v>
      </c>
      <c r="D105" s="145">
        <f t="shared" si="16"/>
        <v>0</v>
      </c>
      <c r="E105" s="140"/>
      <c r="F105" s="91">
        <f>'Historical Financials'!D109</f>
        <v>6</v>
      </c>
      <c r="G105" s="91">
        <f>'Historical Financials'!E109</f>
        <v>2.5999999999999996</v>
      </c>
      <c r="H105" s="91">
        <f>'Historical Financials'!F109</f>
        <v>-8.6</v>
      </c>
      <c r="I105" s="91">
        <f>'Historical Financials'!G109</f>
        <v>6.625</v>
      </c>
      <c r="J105" s="151">
        <f>'Historical Financials'!H109</f>
        <v>-6.3639999999999999</v>
      </c>
      <c r="K105" s="53"/>
      <c r="L105" s="53"/>
      <c r="M105" s="53"/>
      <c r="N105" s="53"/>
      <c r="O105" s="53"/>
    </row>
    <row r="106" spans="2:15" ht="24" customHeight="1" x14ac:dyDescent="0.35">
      <c r="B106" s="29" t="s">
        <v>68</v>
      </c>
      <c r="D106" s="145">
        <f t="shared" si="16"/>
        <v>0</v>
      </c>
      <c r="E106" s="140"/>
      <c r="F106" s="91">
        <f>'Historical Financials'!D110</f>
        <v>0</v>
      </c>
      <c r="G106" s="91">
        <f>'Historical Financials'!E110</f>
        <v>0</v>
      </c>
      <c r="H106" s="91">
        <f>'Historical Financials'!F110</f>
        <v>0</v>
      </c>
      <c r="I106" s="91">
        <f>'Historical Financials'!G110</f>
        <v>0</v>
      </c>
      <c r="J106" s="151">
        <f>'Historical Financials'!H110</f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</row>
    <row r="107" spans="2:15" ht="24" customHeight="1" x14ac:dyDescent="0.35">
      <c r="B107" s="29" t="s">
        <v>69</v>
      </c>
      <c r="D107" s="145">
        <f t="shared" si="16"/>
        <v>0</v>
      </c>
      <c r="E107" s="140"/>
      <c r="F107" s="91">
        <f>'Historical Financials'!D111</f>
        <v>0</v>
      </c>
      <c r="G107" s="91">
        <f>'Historical Financials'!E111</f>
        <v>0</v>
      </c>
      <c r="H107" s="91">
        <f>'Historical Financials'!F111</f>
        <v>0</v>
      </c>
      <c r="I107" s="91">
        <f>'Historical Financials'!G111</f>
        <v>-4.103999999999985</v>
      </c>
      <c r="J107" s="151">
        <f>'Historical Financials'!H111</f>
        <v>0</v>
      </c>
      <c r="K107" s="53">
        <f t="shared" ref="K107:O107" si="36">K170</f>
        <v>0</v>
      </c>
      <c r="L107" s="53">
        <f t="shared" si="36"/>
        <v>0</v>
      </c>
      <c r="M107" s="53">
        <f t="shared" si="36"/>
        <v>0</v>
      </c>
      <c r="N107" s="53">
        <f t="shared" si="36"/>
        <v>0</v>
      </c>
      <c r="O107" s="53">
        <f t="shared" si="36"/>
        <v>0</v>
      </c>
    </row>
    <row r="108" spans="2:15" ht="24" customHeight="1" x14ac:dyDescent="0.35">
      <c r="B108" s="33" t="s">
        <v>70</v>
      </c>
      <c r="C108" s="34"/>
      <c r="D108" s="165">
        <f t="shared" si="35"/>
        <v>0</v>
      </c>
      <c r="E108" s="166"/>
      <c r="F108" s="35">
        <f t="shared" si="11"/>
        <v>6</v>
      </c>
      <c r="G108" s="35">
        <f t="shared" si="11"/>
        <v>2.5999999999999996</v>
      </c>
      <c r="H108" s="35">
        <f t="shared" si="11"/>
        <v>-8.6</v>
      </c>
      <c r="I108" s="35">
        <f t="shared" si="11"/>
        <v>2.521000000000015</v>
      </c>
      <c r="J108" s="152">
        <f t="shared" si="11"/>
        <v>-6.3639999999999999</v>
      </c>
      <c r="K108" s="35">
        <f t="shared" si="11"/>
        <v>0</v>
      </c>
      <c r="L108" s="35">
        <f t="shared" si="11"/>
        <v>0</v>
      </c>
      <c r="M108" s="35">
        <f t="shared" si="11"/>
        <v>0</v>
      </c>
      <c r="N108" s="35">
        <f t="shared" si="11"/>
        <v>0</v>
      </c>
      <c r="O108" s="35">
        <f t="shared" si="11"/>
        <v>0</v>
      </c>
    </row>
    <row r="109" spans="2:15" ht="24" customHeight="1" x14ac:dyDescent="0.35">
      <c r="B109" s="49"/>
      <c r="J109" s="141"/>
    </row>
    <row r="110" spans="2:15" ht="24" customHeight="1" x14ac:dyDescent="0.35">
      <c r="B110" s="167" t="s">
        <v>202</v>
      </c>
      <c r="C110" s="168"/>
      <c r="D110" s="168"/>
      <c r="E110" s="168"/>
      <c r="F110" s="169">
        <f t="shared" ref="F110:O110" si="37">SUM(F99,F103,F108)</f>
        <v>28.302748567268701</v>
      </c>
      <c r="G110" s="169">
        <f t="shared" si="37"/>
        <v>3.9930000000000039</v>
      </c>
      <c r="H110" s="169">
        <f t="shared" si="37"/>
        <v>20.673000000000002</v>
      </c>
      <c r="I110" s="169">
        <f t="shared" si="37"/>
        <v>-37.534000000000006</v>
      </c>
      <c r="J110" s="170">
        <f t="shared" si="37"/>
        <v>-1.0550000000000024</v>
      </c>
      <c r="K110" s="169">
        <f t="shared" si="37"/>
        <v>52.54997642516426</v>
      </c>
      <c r="L110" s="169">
        <f t="shared" si="37"/>
        <v>33.354530291313026</v>
      </c>
      <c r="M110" s="169">
        <f t="shared" si="37"/>
        <v>38.572315396983768</v>
      </c>
      <c r="N110" s="169">
        <f t="shared" si="37"/>
        <v>44.604384425710734</v>
      </c>
      <c r="O110" s="171">
        <f t="shared" si="37"/>
        <v>51.578564696949698</v>
      </c>
    </row>
    <row r="111" spans="2:15" ht="24" customHeight="1" x14ac:dyDescent="0.35">
      <c r="B111" s="49"/>
    </row>
    <row r="112" spans="2:15" ht="24" customHeight="1" x14ac:dyDescent="0.35">
      <c r="B112" s="54" t="s">
        <v>203</v>
      </c>
      <c r="C112" s="55"/>
      <c r="D112" s="55"/>
      <c r="E112" s="55"/>
      <c r="F112" s="56">
        <f t="shared" ref="F112:O112" si="38">F99+F103</f>
        <v>22.302748567268701</v>
      </c>
      <c r="G112" s="56">
        <f t="shared" si="38"/>
        <v>1.3930000000000042</v>
      </c>
      <c r="H112" s="56">
        <f t="shared" si="38"/>
        <v>29.273000000000003</v>
      </c>
      <c r="I112" s="56">
        <f t="shared" si="38"/>
        <v>-40.055000000000021</v>
      </c>
      <c r="J112" s="172">
        <f t="shared" si="38"/>
        <v>5.3089999999999975</v>
      </c>
      <c r="K112" s="56">
        <f t="shared" si="38"/>
        <v>52.54997642516426</v>
      </c>
      <c r="L112" s="56">
        <f t="shared" si="38"/>
        <v>33.354530291313026</v>
      </c>
      <c r="M112" s="56">
        <f t="shared" si="38"/>
        <v>38.572315396983768</v>
      </c>
      <c r="N112" s="56">
        <f t="shared" si="38"/>
        <v>44.604384425710734</v>
      </c>
      <c r="O112" s="93">
        <f t="shared" si="38"/>
        <v>51.578564696949698</v>
      </c>
    </row>
    <row r="113" spans="1:16" ht="24" customHeight="1" x14ac:dyDescent="0.35">
      <c r="B113" s="173" t="s">
        <v>204</v>
      </c>
      <c r="C113" s="59"/>
      <c r="D113" s="59"/>
      <c r="E113" s="59"/>
      <c r="F113" s="174">
        <f t="shared" ref="F113:O113" si="39">F112/F69</f>
        <v>0.20897404974376821</v>
      </c>
      <c r="G113" s="174">
        <f t="shared" si="39"/>
        <v>7.1408370075962124E-2</v>
      </c>
      <c r="H113" s="174">
        <f t="shared" si="39"/>
        <v>0.56901545339683191</v>
      </c>
      <c r="I113" s="174">
        <f t="shared" si="39"/>
        <v>-0.49464051964731176</v>
      </c>
      <c r="J113" s="175">
        <f t="shared" si="39"/>
        <v>4.4321445268149351E-2</v>
      </c>
      <c r="K113" s="174">
        <f t="shared" si="39"/>
        <v>0.36604125842801161</v>
      </c>
      <c r="L113" s="174">
        <f t="shared" si="39"/>
        <v>0.20578935818568661</v>
      </c>
      <c r="M113" s="174">
        <f t="shared" si="39"/>
        <v>0.21069143326127276</v>
      </c>
      <c r="N113" s="174">
        <f t="shared" si="39"/>
        <v>0.21559867124023394</v>
      </c>
      <c r="O113" s="176">
        <f t="shared" si="39"/>
        <v>0.2205115592159716</v>
      </c>
    </row>
    <row r="114" spans="1:16" ht="24" customHeight="1" x14ac:dyDescent="0.35">
      <c r="B114" s="49"/>
    </row>
    <row r="115" spans="1:16" ht="24" customHeight="1" x14ac:dyDescent="0.35">
      <c r="A115" s="22" t="s">
        <v>5</v>
      </c>
      <c r="B115" s="24" t="s">
        <v>28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2" t="s">
        <v>5</v>
      </c>
    </row>
    <row r="116" spans="1:16" ht="6" customHeight="1" x14ac:dyDescent="0.35"/>
    <row r="117" spans="1:16" ht="24" customHeight="1" x14ac:dyDescent="0.35">
      <c r="F117"/>
      <c r="G117" s="196" t="s">
        <v>185</v>
      </c>
      <c r="H117" s="196"/>
      <c r="I117" s="196"/>
      <c r="J117" s="197"/>
      <c r="K117" s="195" t="s">
        <v>186</v>
      </c>
      <c r="L117" s="196"/>
      <c r="M117" s="196"/>
      <c r="N117" s="196"/>
      <c r="O117" s="196"/>
    </row>
    <row r="118" spans="1:16" ht="24" customHeight="1" x14ac:dyDescent="0.35">
      <c r="D118" s="26"/>
      <c r="E118" s="26"/>
      <c r="F118" s="25"/>
      <c r="G118" s="177">
        <v>43465</v>
      </c>
      <c r="H118" s="200" t="s">
        <v>205</v>
      </c>
      <c r="I118" s="200"/>
      <c r="J118" s="137">
        <v>43465</v>
      </c>
      <c r="K118" s="25">
        <f t="shared" si="14"/>
        <v>43830</v>
      </c>
      <c r="L118" s="25">
        <f t="shared" si="14"/>
        <v>44196</v>
      </c>
      <c r="M118" s="25">
        <f t="shared" si="14"/>
        <v>44561</v>
      </c>
      <c r="N118" s="25">
        <f t="shared" si="14"/>
        <v>44926</v>
      </c>
      <c r="O118" s="25">
        <f t="shared" si="14"/>
        <v>45291</v>
      </c>
      <c r="P118" s="25"/>
    </row>
    <row r="119" spans="1:16" ht="24" customHeight="1" x14ac:dyDescent="0.35">
      <c r="B119" s="27"/>
      <c r="C119" s="27"/>
      <c r="D119" s="28"/>
      <c r="E119" s="178"/>
      <c r="F119" s="179"/>
      <c r="G119" s="28">
        <v>2018</v>
      </c>
      <c r="H119" s="178" t="s">
        <v>206</v>
      </c>
      <c r="I119" s="178" t="s">
        <v>207</v>
      </c>
      <c r="J119" s="180">
        <f t="shared" si="15"/>
        <v>2018</v>
      </c>
      <c r="K119" s="73">
        <f t="shared" si="15"/>
        <v>2019</v>
      </c>
      <c r="L119" s="73">
        <f t="shared" si="15"/>
        <v>2020</v>
      </c>
      <c r="M119" s="73">
        <f t="shared" si="15"/>
        <v>2021</v>
      </c>
      <c r="N119" s="73">
        <f t="shared" si="15"/>
        <v>2022</v>
      </c>
      <c r="O119" s="73">
        <f t="shared" si="15"/>
        <v>2023</v>
      </c>
      <c r="P119"/>
    </row>
    <row r="120" spans="1:16" ht="6" customHeight="1" x14ac:dyDescent="0.35">
      <c r="B120" s="49"/>
      <c r="J120" s="161"/>
    </row>
    <row r="121" spans="1:16" ht="24" customHeight="1" x14ac:dyDescent="0.35">
      <c r="B121" s="47" t="s">
        <v>29</v>
      </c>
      <c r="C121" s="47"/>
      <c r="D121" s="47"/>
      <c r="E121" s="47"/>
      <c r="F121" s="47"/>
      <c r="G121" s="47"/>
      <c r="H121" s="47"/>
      <c r="I121" s="47"/>
      <c r="J121" s="181"/>
      <c r="K121" s="47"/>
      <c r="L121" s="47"/>
      <c r="M121" s="47"/>
      <c r="N121" s="47"/>
      <c r="O121" s="47"/>
    </row>
    <row r="122" spans="1:16" ht="6" customHeight="1" x14ac:dyDescent="0.35">
      <c r="B122" s="49"/>
      <c r="J122" s="141"/>
    </row>
    <row r="123" spans="1:16" ht="24" customHeight="1" x14ac:dyDescent="0.35">
      <c r="B123" s="29" t="s">
        <v>30</v>
      </c>
      <c r="G123" s="74">
        <f>'Historical Financials'!H45</f>
        <v>22.013999999999992</v>
      </c>
      <c r="J123" s="162">
        <f t="shared" ref="J123:J153" si="40">SUM(G123:I123)</f>
        <v>22.013999999999992</v>
      </c>
      <c r="K123" s="46">
        <f t="shared" ref="K123:O123" si="41">J123+K110</f>
        <v>74.563976425164256</v>
      </c>
      <c r="L123" s="46">
        <f t="shared" si="41"/>
        <v>107.91850671647728</v>
      </c>
      <c r="M123" s="46">
        <f t="shared" si="41"/>
        <v>146.49082211346104</v>
      </c>
      <c r="N123" s="46">
        <f t="shared" si="41"/>
        <v>191.09520653917178</v>
      </c>
      <c r="O123" s="46">
        <f t="shared" si="41"/>
        <v>242.67377123612147</v>
      </c>
    </row>
    <row r="124" spans="1:16" ht="24" customHeight="1" x14ac:dyDescent="0.35">
      <c r="B124" s="29" t="s">
        <v>31</v>
      </c>
      <c r="G124" s="91">
        <f>'Historical Financials'!H46</f>
        <v>130.76900000000001</v>
      </c>
      <c r="J124" s="163">
        <f t="shared" si="40"/>
        <v>130.76900000000001</v>
      </c>
      <c r="K124" s="91">
        <f>'Capex &amp; NWC Drivers'!I35</f>
        <v>145.25910061601644</v>
      </c>
      <c r="L124" s="91">
        <f>'Capex &amp; NWC Drivers'!J35</f>
        <v>163.99582108145106</v>
      </c>
      <c r="M124" s="91">
        <f>'Capex &amp; NWC Drivers'!K35</f>
        <v>185.23783515400407</v>
      </c>
      <c r="N124" s="91">
        <f>'Capex &amp; NWC Drivers'!L35</f>
        <v>209.33041542847363</v>
      </c>
      <c r="O124" s="91">
        <f>'Capex &amp; NWC Drivers'!M35</f>
        <v>236.66757324425046</v>
      </c>
    </row>
    <row r="125" spans="1:16" ht="24" customHeight="1" x14ac:dyDescent="0.35">
      <c r="B125" s="29" t="s">
        <v>32</v>
      </c>
      <c r="G125" s="91">
        <f>'Historical Financials'!H47</f>
        <v>124.506</v>
      </c>
      <c r="J125" s="163">
        <f t="shared" si="40"/>
        <v>124.506</v>
      </c>
      <c r="K125" s="91">
        <f>'Capex &amp; NWC Drivers'!I36</f>
        <v>111.0804887063655</v>
      </c>
      <c r="L125" s="91">
        <f>'Capex &amp; NWC Drivers'!J36</f>
        <v>125.40856906228612</v>
      </c>
      <c r="M125" s="91">
        <f>'Capex &amp; NWC Drivers'!K36</f>
        <v>141.65246217659137</v>
      </c>
      <c r="N125" s="91">
        <f>'Capex &amp; NWC Drivers'!L36</f>
        <v>160.07620003353867</v>
      </c>
      <c r="O125" s="91">
        <f>'Capex &amp; NWC Drivers'!M36</f>
        <v>180.9810854220739</v>
      </c>
    </row>
    <row r="126" spans="1:16" ht="24" customHeight="1" x14ac:dyDescent="0.35">
      <c r="B126" s="29" t="s">
        <v>33</v>
      </c>
      <c r="G126" s="91">
        <f>'Historical Financials'!H48</f>
        <v>4.2279999999999998</v>
      </c>
      <c r="J126" s="163">
        <f t="shared" si="40"/>
        <v>4.2279999999999998</v>
      </c>
      <c r="K126" s="91">
        <f>'Capex &amp; NWC Drivers'!I37</f>
        <v>6.2418690000000003</v>
      </c>
      <c r="L126" s="91">
        <f>'Capex &amp; NWC Drivers'!J37</f>
        <v>7.0469969000000008</v>
      </c>
      <c r="M126" s="91">
        <f>'Capex &amp; NWC Drivers'!K37</f>
        <v>7.9597787399999991</v>
      </c>
      <c r="N126" s="91">
        <f>'Capex &amp; NWC Drivers'!L37</f>
        <v>8.9950510865000002</v>
      </c>
      <c r="O126" s="91">
        <f>'Capex &amp; NWC Drivers'!M37</f>
        <v>10.169744838524998</v>
      </c>
    </row>
    <row r="127" spans="1:16" ht="24" customHeight="1" x14ac:dyDescent="0.35">
      <c r="B127" s="29" t="s">
        <v>34</v>
      </c>
      <c r="G127" s="91">
        <f>'Historical Financials'!H49</f>
        <v>4.367</v>
      </c>
      <c r="J127" s="163">
        <f t="shared" si="40"/>
        <v>4.367</v>
      </c>
      <c r="K127" s="91">
        <f>'Capex &amp; NWC Drivers'!I38</f>
        <v>9.3628035000000001</v>
      </c>
      <c r="L127" s="91">
        <f>'Capex &amp; NWC Drivers'!J38</f>
        <v>10.57049535</v>
      </c>
      <c r="M127" s="91">
        <f>'Capex &amp; NWC Drivers'!K38</f>
        <v>11.939668109999998</v>
      </c>
      <c r="N127" s="91">
        <f>'Capex &amp; NWC Drivers'!L38</f>
        <v>13.492576629749999</v>
      </c>
      <c r="O127" s="91">
        <f>'Capex &amp; NWC Drivers'!M38</f>
        <v>15.254617257787496</v>
      </c>
    </row>
    <row r="128" spans="1:16" ht="24" customHeight="1" x14ac:dyDescent="0.35">
      <c r="B128" s="29" t="s">
        <v>35</v>
      </c>
      <c r="G128" s="91">
        <f>'Historical Financials'!H50</f>
        <v>40.331000000000003</v>
      </c>
      <c r="J128" s="163">
        <f t="shared" si="40"/>
        <v>40.331000000000003</v>
      </c>
      <c r="K128" s="91">
        <f>'Capex &amp; NWC Drivers'!I39</f>
        <v>34.486326225000006</v>
      </c>
      <c r="L128" s="91">
        <f>'Capex &amp; NWC Drivers'!J39</f>
        <v>38.934657872500011</v>
      </c>
      <c r="M128" s="91">
        <f>'Capex &amp; NWC Drivers'!K39</f>
        <v>43.9777775385</v>
      </c>
      <c r="N128" s="91">
        <f>'Capex &amp; NWC Drivers'!L39</f>
        <v>49.697657252912506</v>
      </c>
      <c r="O128" s="91">
        <f>'Capex &amp; NWC Drivers'!M39</f>
        <v>56.187840232850625</v>
      </c>
    </row>
    <row r="129" spans="2:15" ht="24" customHeight="1" x14ac:dyDescent="0.35">
      <c r="B129" s="33" t="s">
        <v>36</v>
      </c>
      <c r="C129" s="34"/>
      <c r="D129" s="34"/>
      <c r="E129" s="34"/>
      <c r="F129" s="34"/>
      <c r="G129" s="35">
        <f t="shared" si="34"/>
        <v>326.21500000000003</v>
      </c>
      <c r="H129" s="34"/>
      <c r="I129" s="34"/>
      <c r="J129" s="152">
        <f t="shared" si="34"/>
        <v>326.21500000000003</v>
      </c>
      <c r="K129" s="35">
        <f t="shared" si="34"/>
        <v>380.99456447254619</v>
      </c>
      <c r="L129" s="35">
        <f t="shared" si="34"/>
        <v>453.87504698271442</v>
      </c>
      <c r="M129" s="35">
        <f t="shared" si="34"/>
        <v>537.25834383255653</v>
      </c>
      <c r="N129" s="35">
        <f t="shared" si="34"/>
        <v>632.68710697034658</v>
      </c>
      <c r="O129" s="35">
        <f t="shared" si="34"/>
        <v>741.93463223160893</v>
      </c>
    </row>
    <row r="130" spans="2:15" ht="6" customHeight="1" x14ac:dyDescent="0.35">
      <c r="J130" s="141"/>
    </row>
    <row r="131" spans="2:15" ht="24" customHeight="1" x14ac:dyDescent="0.35">
      <c r="B131" s="29" t="s">
        <v>37</v>
      </c>
      <c r="G131" s="91">
        <f>'Historical Financials'!H53</f>
        <v>209.93299999999999</v>
      </c>
      <c r="J131" s="163">
        <f t="shared" si="40"/>
        <v>209.93299999999999</v>
      </c>
      <c r="K131" s="53">
        <f t="shared" ref="K131:O131" si="42">J131-K101+K72</f>
        <v>228.65860699999996</v>
      </c>
      <c r="L131" s="53">
        <f t="shared" si="42"/>
        <v>241.34320141999996</v>
      </c>
      <c r="M131" s="53">
        <f t="shared" si="42"/>
        <v>250.89493590799998</v>
      </c>
      <c r="N131" s="53">
        <f t="shared" si="42"/>
        <v>256.29196655989995</v>
      </c>
      <c r="O131" s="53">
        <f t="shared" si="42"/>
        <v>256.29196655989995</v>
      </c>
    </row>
    <row r="132" spans="2:15" ht="24" customHeight="1" x14ac:dyDescent="0.35">
      <c r="B132" s="29" t="s">
        <v>38</v>
      </c>
      <c r="G132" s="91">
        <f>'Historical Financials'!H54</f>
        <v>32.731999999999999</v>
      </c>
      <c r="H132" s="53">
        <f>$O$21</f>
        <v>162.10520549999964</v>
      </c>
      <c r="I132" s="53">
        <f t="shared" ref="I132:I153" si="43">-G132</f>
        <v>-32.731999999999999</v>
      </c>
      <c r="J132" s="163">
        <f t="shared" si="40"/>
        <v>162.10520549999964</v>
      </c>
      <c r="K132" s="53">
        <f t="shared" ref="K132:O149" si="44">J132</f>
        <v>162.10520549999964</v>
      </c>
      <c r="L132" s="53">
        <f t="shared" si="44"/>
        <v>162.10520549999964</v>
      </c>
      <c r="M132" s="53">
        <f t="shared" si="44"/>
        <v>162.10520549999964</v>
      </c>
      <c r="N132" s="53">
        <f t="shared" si="44"/>
        <v>162.10520549999964</v>
      </c>
      <c r="O132" s="53">
        <f t="shared" si="44"/>
        <v>162.10520549999964</v>
      </c>
    </row>
    <row r="133" spans="2:15" ht="24" customHeight="1" x14ac:dyDescent="0.35">
      <c r="B133" s="29" t="s">
        <v>34</v>
      </c>
      <c r="G133" s="91">
        <f>'Historical Financials'!H55</f>
        <v>11.792</v>
      </c>
      <c r="J133" s="163">
        <f t="shared" si="40"/>
        <v>11.792</v>
      </c>
      <c r="K133" s="53">
        <f t="shared" si="44"/>
        <v>11.792</v>
      </c>
      <c r="L133" s="53">
        <f t="shared" si="44"/>
        <v>11.792</v>
      </c>
      <c r="M133" s="53">
        <f t="shared" si="44"/>
        <v>11.792</v>
      </c>
      <c r="N133" s="53">
        <f t="shared" si="44"/>
        <v>11.792</v>
      </c>
      <c r="O133" s="53">
        <f t="shared" si="44"/>
        <v>11.792</v>
      </c>
    </row>
    <row r="134" spans="2:15" ht="24" customHeight="1" x14ac:dyDescent="0.35">
      <c r="B134" s="29" t="s">
        <v>39</v>
      </c>
      <c r="G134" s="91">
        <f>'Historical Financials'!H56</f>
        <v>6.4379999999999997</v>
      </c>
      <c r="H134" s="53">
        <f>-$O$23</f>
        <v>27.584549999999933</v>
      </c>
      <c r="J134" s="163">
        <f t="shared" si="40"/>
        <v>34.022549999999931</v>
      </c>
      <c r="K134" s="53">
        <f t="shared" ref="K134:O136" si="45">J134+K73</f>
        <v>32.183579999999935</v>
      </c>
      <c r="L134" s="53">
        <f t="shared" si="45"/>
        <v>30.344609999999939</v>
      </c>
      <c r="M134" s="53">
        <f t="shared" si="45"/>
        <v>28.505639999999943</v>
      </c>
      <c r="N134" s="53">
        <f t="shared" si="45"/>
        <v>26.666669999999947</v>
      </c>
      <c r="O134" s="53">
        <f t="shared" si="45"/>
        <v>24.82769999999995</v>
      </c>
    </row>
    <row r="135" spans="2:15" ht="24" customHeight="1" x14ac:dyDescent="0.35">
      <c r="B135" s="29" t="s">
        <v>208</v>
      </c>
      <c r="G135" s="32">
        <v>0</v>
      </c>
      <c r="H135" s="53">
        <f>$J$47</f>
        <v>5.9891999999999959</v>
      </c>
      <c r="J135" s="163">
        <f t="shared" si="40"/>
        <v>5.9891999999999959</v>
      </c>
      <c r="K135" s="53">
        <f t="shared" si="45"/>
        <v>5.9891999999999959</v>
      </c>
      <c r="L135" s="53">
        <f t="shared" si="45"/>
        <v>5.9891999999999959</v>
      </c>
      <c r="M135" s="53">
        <f t="shared" si="45"/>
        <v>5.9891999999999959</v>
      </c>
      <c r="N135" s="53">
        <f t="shared" si="45"/>
        <v>5.9891999999999959</v>
      </c>
      <c r="O135" s="53">
        <f t="shared" si="45"/>
        <v>5.9891999999999959</v>
      </c>
    </row>
    <row r="136" spans="2:15" ht="24" customHeight="1" x14ac:dyDescent="0.35">
      <c r="B136" s="29" t="s">
        <v>209</v>
      </c>
      <c r="G136" s="32">
        <v>0</v>
      </c>
      <c r="H136" s="53">
        <f>$H$47</f>
        <v>2.9946000000000006</v>
      </c>
      <c r="J136" s="163">
        <f t="shared" si="40"/>
        <v>2.9946000000000006</v>
      </c>
      <c r="K136" s="53">
        <f t="shared" si="45"/>
        <v>2.9946000000000006</v>
      </c>
      <c r="L136" s="53">
        <f t="shared" si="45"/>
        <v>2.9946000000000006</v>
      </c>
      <c r="M136" s="53">
        <f t="shared" si="45"/>
        <v>2.9946000000000006</v>
      </c>
      <c r="N136" s="53">
        <f t="shared" si="45"/>
        <v>2.9946000000000006</v>
      </c>
      <c r="O136" s="53">
        <f t="shared" si="45"/>
        <v>2.9946000000000006</v>
      </c>
    </row>
    <row r="137" spans="2:15" ht="24" customHeight="1" x14ac:dyDescent="0.35">
      <c r="B137" s="42" t="s">
        <v>40</v>
      </c>
      <c r="C137" s="43"/>
      <c r="D137" s="43"/>
      <c r="E137" s="43"/>
      <c r="F137" s="43"/>
      <c r="G137" s="44">
        <f t="shared" ref="G137:O137" si="46">SUM(G129,G131:G136)</f>
        <v>587.11</v>
      </c>
      <c r="H137" s="43"/>
      <c r="I137" s="43"/>
      <c r="J137" s="155">
        <f t="shared" si="46"/>
        <v>753.05155549999961</v>
      </c>
      <c r="K137" s="44">
        <f t="shared" si="46"/>
        <v>824.71775697254566</v>
      </c>
      <c r="L137" s="44">
        <f t="shared" si="46"/>
        <v>908.44386390271404</v>
      </c>
      <c r="M137" s="44">
        <f t="shared" si="46"/>
        <v>999.53992524055616</v>
      </c>
      <c r="N137" s="44">
        <f t="shared" si="46"/>
        <v>1098.5267490302458</v>
      </c>
      <c r="O137" s="44">
        <f t="shared" si="46"/>
        <v>1205.9353042915084</v>
      </c>
    </row>
    <row r="138" spans="2:15" ht="24" customHeight="1" x14ac:dyDescent="0.35">
      <c r="J138" s="141"/>
    </row>
    <row r="139" spans="2:15" ht="24" customHeight="1" x14ac:dyDescent="0.35">
      <c r="B139" s="47" t="s">
        <v>41</v>
      </c>
      <c r="C139" s="47"/>
      <c r="D139" s="47"/>
      <c r="E139" s="47"/>
      <c r="F139" s="47"/>
      <c r="G139" s="47"/>
      <c r="H139" s="47"/>
      <c r="I139" s="47"/>
      <c r="J139" s="181"/>
      <c r="K139" s="47"/>
      <c r="L139" s="47"/>
      <c r="M139" s="47"/>
      <c r="N139" s="47"/>
      <c r="O139" s="47"/>
    </row>
    <row r="140" spans="2:15" ht="6" customHeight="1" x14ac:dyDescent="0.35">
      <c r="J140" s="141"/>
    </row>
    <row r="141" spans="2:15" ht="24" customHeight="1" x14ac:dyDescent="0.35">
      <c r="B141" s="29" t="s">
        <v>42</v>
      </c>
      <c r="G141" s="74">
        <f>'Historical Financials'!H61</f>
        <v>43.603000000000002</v>
      </c>
      <c r="J141" s="162">
        <f t="shared" si="40"/>
        <v>43.603000000000002</v>
      </c>
      <c r="K141" s="74">
        <f>'Capex &amp; NWC Drivers'!I42</f>
        <v>44.432195482546206</v>
      </c>
      <c r="L141" s="74">
        <f>'Capex &amp; NWC Drivers'!J42</f>
        <v>50.163427624914448</v>
      </c>
      <c r="M141" s="74">
        <f>'Capex &amp; NWC Drivers'!K42</f>
        <v>56.660984870636547</v>
      </c>
      <c r="N141" s="74">
        <f>'Capex &amp; NWC Drivers'!L42</f>
        <v>64.03048001341547</v>
      </c>
      <c r="O141" s="74">
        <f>'Capex &amp; NWC Drivers'!M42</f>
        <v>72.392434168829553</v>
      </c>
    </row>
    <row r="142" spans="2:15" ht="24" customHeight="1" x14ac:dyDescent="0.35">
      <c r="B142" s="29" t="s">
        <v>43</v>
      </c>
      <c r="G142" s="91">
        <f>'Historical Financials'!H62</f>
        <v>10.65</v>
      </c>
      <c r="J142" s="163">
        <f t="shared" si="40"/>
        <v>10.65</v>
      </c>
      <c r="K142" s="91">
        <f>'Capex &amp; NWC Drivers'!I43</f>
        <v>18.725607</v>
      </c>
      <c r="L142" s="91">
        <f>'Capex &amp; NWC Drivers'!J43</f>
        <v>21.1409907</v>
      </c>
      <c r="M142" s="91">
        <f>'Capex &amp; NWC Drivers'!K43</f>
        <v>23.879336219999995</v>
      </c>
      <c r="N142" s="91">
        <f>'Capex &amp; NWC Drivers'!L43</f>
        <v>26.985153259499999</v>
      </c>
      <c r="O142" s="91">
        <f>'Capex &amp; NWC Drivers'!M43</f>
        <v>30.509234515574992</v>
      </c>
    </row>
    <row r="143" spans="2:15" ht="24" customHeight="1" x14ac:dyDescent="0.35">
      <c r="B143" s="29" t="s">
        <v>44</v>
      </c>
      <c r="G143" s="91">
        <f>'Historical Financials'!H63</f>
        <v>3.7189999999999999</v>
      </c>
      <c r="J143" s="163">
        <f t="shared" si="40"/>
        <v>3.7189999999999999</v>
      </c>
      <c r="K143" s="91">
        <f>'Capex &amp; NWC Drivers'!I44</f>
        <v>3.1209345000000002</v>
      </c>
      <c r="L143" s="91">
        <f>'Capex &amp; NWC Drivers'!J44</f>
        <v>3.5234984500000004</v>
      </c>
      <c r="M143" s="91">
        <f>'Capex &amp; NWC Drivers'!K44</f>
        <v>3.9798893699999995</v>
      </c>
      <c r="N143" s="91">
        <f>'Capex &amp; NWC Drivers'!L44</f>
        <v>4.4975255432500001</v>
      </c>
      <c r="O143" s="91">
        <f>'Capex &amp; NWC Drivers'!M44</f>
        <v>5.0848724192624992</v>
      </c>
    </row>
    <row r="144" spans="2:15" ht="24" customHeight="1" x14ac:dyDescent="0.35">
      <c r="B144" s="29" t="s">
        <v>45</v>
      </c>
      <c r="G144" s="91">
        <f>'Historical Financials'!H64</f>
        <v>6.8940000000000001</v>
      </c>
      <c r="J144" s="163">
        <f t="shared" si="40"/>
        <v>6.8940000000000001</v>
      </c>
      <c r="K144" s="91">
        <f>'Capex &amp; NWC Drivers'!I45</f>
        <v>4.0572148500000003</v>
      </c>
      <c r="L144" s="91">
        <f>'Capex &amp; NWC Drivers'!J45</f>
        <v>4.5805479850000008</v>
      </c>
      <c r="M144" s="91">
        <f>'Capex &amp; NWC Drivers'!K45</f>
        <v>5.1738561809999997</v>
      </c>
      <c r="N144" s="91">
        <f>'Capex &amp; NWC Drivers'!L45</f>
        <v>5.846783206225</v>
      </c>
      <c r="O144" s="91">
        <f>'Capex &amp; NWC Drivers'!M45</f>
        <v>6.6103341450412501</v>
      </c>
    </row>
    <row r="145" spans="1:16" ht="24" customHeight="1" x14ac:dyDescent="0.35">
      <c r="B145" s="29" t="s">
        <v>46</v>
      </c>
      <c r="G145" s="91">
        <f>'Historical Financials'!H65</f>
        <v>41.572000000000003</v>
      </c>
      <c r="J145" s="163">
        <f t="shared" si="40"/>
        <v>41.572000000000003</v>
      </c>
      <c r="K145" s="91">
        <f>'Capex &amp; NWC Drivers'!I46</f>
        <v>40.572148500000004</v>
      </c>
      <c r="L145" s="91">
        <f>'Capex &amp; NWC Drivers'!J46</f>
        <v>45.805479850000012</v>
      </c>
      <c r="M145" s="91">
        <f>'Capex &amp; NWC Drivers'!K46</f>
        <v>51.73856181</v>
      </c>
      <c r="N145" s="91">
        <f>'Capex &amp; NWC Drivers'!L46</f>
        <v>58.467832062250004</v>
      </c>
      <c r="O145" s="91">
        <f>'Capex &amp; NWC Drivers'!M46</f>
        <v>66.103341450412501</v>
      </c>
    </row>
    <row r="146" spans="1:16" ht="24" customHeight="1" x14ac:dyDescent="0.35">
      <c r="B146" s="33" t="s">
        <v>47</v>
      </c>
      <c r="C146" s="34"/>
      <c r="D146" s="34"/>
      <c r="E146" s="34"/>
      <c r="F146" s="34"/>
      <c r="G146" s="35">
        <f t="shared" si="7"/>
        <v>106.438</v>
      </c>
      <c r="H146" s="34"/>
      <c r="I146" s="34"/>
      <c r="J146" s="152">
        <f t="shared" si="7"/>
        <v>106.438</v>
      </c>
      <c r="K146" s="35">
        <f t="shared" si="7"/>
        <v>110.90810033254621</v>
      </c>
      <c r="L146" s="35">
        <f t="shared" si="7"/>
        <v>125.21394460991446</v>
      </c>
      <c r="M146" s="35">
        <f t="shared" si="7"/>
        <v>141.43262845163653</v>
      </c>
      <c r="N146" s="35">
        <f t="shared" si="7"/>
        <v>159.82777408464048</v>
      </c>
      <c r="O146" s="35">
        <f t="shared" si="7"/>
        <v>180.7002166991208</v>
      </c>
    </row>
    <row r="147" spans="1:16" ht="6" customHeight="1" x14ac:dyDescent="0.35">
      <c r="J147" s="141"/>
    </row>
    <row r="148" spans="1:16" ht="24" customHeight="1" x14ac:dyDescent="0.35">
      <c r="B148" s="29" t="s">
        <v>48</v>
      </c>
      <c r="G148" s="91">
        <f>'Historical Financials'!H68</f>
        <v>0.26100000000000001</v>
      </c>
      <c r="H148" s="53">
        <f>SUM($D$33:$D$34)</f>
        <v>299.45999999999981</v>
      </c>
      <c r="I148" s="53">
        <f t="shared" si="43"/>
        <v>-0.26100000000000001</v>
      </c>
      <c r="J148" s="163">
        <f t="shared" si="40"/>
        <v>299.45999999999981</v>
      </c>
      <c r="K148" s="53"/>
      <c r="L148" s="53"/>
      <c r="M148" s="53"/>
      <c r="N148" s="53"/>
      <c r="O148" s="53"/>
    </row>
    <row r="149" spans="1:16" ht="24" customHeight="1" x14ac:dyDescent="0.35">
      <c r="B149" s="29" t="s">
        <v>49</v>
      </c>
      <c r="G149" s="91">
        <f>'Historical Financials'!H69</f>
        <v>2.4159999999999999</v>
      </c>
      <c r="J149" s="163">
        <f t="shared" si="40"/>
        <v>2.4159999999999999</v>
      </c>
      <c r="K149" s="53">
        <f t="shared" si="44"/>
        <v>2.4159999999999999</v>
      </c>
      <c r="L149" s="53">
        <f t="shared" si="44"/>
        <v>2.4159999999999999</v>
      </c>
      <c r="M149" s="53">
        <f t="shared" si="44"/>
        <v>2.4159999999999999</v>
      </c>
      <c r="N149" s="53">
        <f t="shared" si="44"/>
        <v>2.4159999999999999</v>
      </c>
      <c r="O149" s="53">
        <f t="shared" si="44"/>
        <v>2.4159999999999999</v>
      </c>
    </row>
    <row r="150" spans="1:16" ht="24" customHeight="1" x14ac:dyDescent="0.35">
      <c r="B150" s="29" t="s">
        <v>50</v>
      </c>
      <c r="G150" s="91">
        <f>'Historical Financials'!H70</f>
        <v>8.4870000000000001</v>
      </c>
      <c r="H150" s="53">
        <f>O20</f>
        <v>5.792755499999986</v>
      </c>
      <c r="J150" s="163">
        <f t="shared" si="40"/>
        <v>14.279755499999986</v>
      </c>
      <c r="K150" s="53">
        <f t="shared" ref="K150:O150" si="47">J150+K96</f>
        <v>13.893571799999988</v>
      </c>
      <c r="L150" s="53">
        <f t="shared" si="47"/>
        <v>13.507388099999989</v>
      </c>
      <c r="M150" s="53">
        <f t="shared" si="47"/>
        <v>13.121204399999991</v>
      </c>
      <c r="N150" s="53">
        <f t="shared" si="47"/>
        <v>12.735020699999993</v>
      </c>
      <c r="O150" s="53">
        <f t="shared" si="47"/>
        <v>12.348836999999994</v>
      </c>
    </row>
    <row r="151" spans="1:16" ht="24" customHeight="1" x14ac:dyDescent="0.35">
      <c r="B151" s="33" t="s">
        <v>51</v>
      </c>
      <c r="C151" s="34"/>
      <c r="D151" s="34"/>
      <c r="E151" s="34"/>
      <c r="F151" s="34"/>
      <c r="G151" s="35">
        <f t="shared" ref="G151:O151" si="48">SUM(G146,G148:G150)</f>
        <v>117.60199999999999</v>
      </c>
      <c r="H151" s="34"/>
      <c r="I151" s="34"/>
      <c r="J151" s="152">
        <f t="shared" si="48"/>
        <v>422.59375549999976</v>
      </c>
      <c r="K151" s="35">
        <f t="shared" si="48"/>
        <v>127.2176721325462</v>
      </c>
      <c r="L151" s="35">
        <f t="shared" si="48"/>
        <v>141.13733270991446</v>
      </c>
      <c r="M151" s="35">
        <f t="shared" si="48"/>
        <v>156.96983285163651</v>
      </c>
      <c r="N151" s="35">
        <f t="shared" si="48"/>
        <v>174.97879478464046</v>
      </c>
      <c r="O151" s="35">
        <f t="shared" si="48"/>
        <v>195.4650536991208</v>
      </c>
    </row>
    <row r="152" spans="1:16" ht="6" customHeight="1" x14ac:dyDescent="0.35">
      <c r="B152" s="49"/>
      <c r="J152" s="141"/>
    </row>
    <row r="153" spans="1:16" ht="24" customHeight="1" x14ac:dyDescent="0.35">
      <c r="B153" s="29" t="s">
        <v>52</v>
      </c>
      <c r="G153" s="91">
        <f>'Historical Financials'!H73</f>
        <v>469.50799999999998</v>
      </c>
      <c r="H153" s="53">
        <f ca="1">SUM($D$35:$D$36)-$J$36</f>
        <v>330.45779999999968</v>
      </c>
      <c r="I153" s="53">
        <f t="shared" si="43"/>
        <v>-469.50799999999998</v>
      </c>
      <c r="J153" s="163">
        <f t="shared" ca="1" si="40"/>
        <v>330.45779999999974</v>
      </c>
      <c r="K153" s="53">
        <f t="shared" ref="K153:O153" ca="1" si="49">J153+K82+K170</f>
        <v>398.04008483999974</v>
      </c>
      <c r="L153" s="53">
        <f t="shared" ca="1" si="49"/>
        <v>467.84653119279972</v>
      </c>
      <c r="M153" s="53">
        <f t="shared" ca="1" si="49"/>
        <v>543.11009238891972</v>
      </c>
      <c r="N153" s="53">
        <f t="shared" ca="1" si="49"/>
        <v>624.08795424560583</v>
      </c>
      <c r="O153" s="53">
        <f t="shared" ca="1" si="49"/>
        <v>711.01025059238805</v>
      </c>
    </row>
    <row r="154" spans="1:16" ht="24" customHeight="1" x14ac:dyDescent="0.35">
      <c r="B154" s="42" t="s">
        <v>53</v>
      </c>
      <c r="C154" s="43"/>
      <c r="D154" s="43"/>
      <c r="E154" s="43"/>
      <c r="F154" s="43"/>
      <c r="G154" s="44">
        <f t="shared" ref="G154:O154" si="50">SUM(G151,G153)</f>
        <v>587.11</v>
      </c>
      <c r="H154" s="43"/>
      <c r="I154" s="43"/>
      <c r="J154" s="155">
        <f t="shared" ca="1" si="50"/>
        <v>753.05155549999949</v>
      </c>
      <c r="K154" s="44">
        <f t="shared" ca="1" si="50"/>
        <v>525.25775697254596</v>
      </c>
      <c r="L154" s="44">
        <f t="shared" ca="1" si="50"/>
        <v>608.98386390271412</v>
      </c>
      <c r="M154" s="44">
        <f t="shared" ca="1" si="50"/>
        <v>700.07992524055624</v>
      </c>
      <c r="N154" s="44">
        <f t="shared" ca="1" si="50"/>
        <v>799.06674903024623</v>
      </c>
      <c r="O154" s="44">
        <f t="shared" ca="1" si="50"/>
        <v>906.47530429150879</v>
      </c>
    </row>
    <row r="155" spans="1:16" ht="6" customHeight="1" x14ac:dyDescent="0.35">
      <c r="B155" s="49"/>
    </row>
    <row r="156" spans="1:16" ht="24" customHeight="1" x14ac:dyDescent="0.35">
      <c r="B156" s="38" t="s">
        <v>210</v>
      </c>
      <c r="G156" s="20" t="str">
        <f t="shared" ref="G156:O156" si="51">IF(ABS(G137-G154)&lt;0.001,"okay","check")</f>
        <v>okay</v>
      </c>
      <c r="J156" s="20" t="str">
        <f t="shared" ca="1" si="51"/>
        <v>okay</v>
      </c>
      <c r="K156" s="20" t="str">
        <f t="shared" ca="1" si="51"/>
        <v>check</v>
      </c>
      <c r="L156" s="20" t="str">
        <f t="shared" ca="1" si="51"/>
        <v>check</v>
      </c>
      <c r="M156" s="20" t="str">
        <f t="shared" ca="1" si="51"/>
        <v>check</v>
      </c>
      <c r="N156" s="20" t="str">
        <f t="shared" ca="1" si="51"/>
        <v>check</v>
      </c>
      <c r="O156" s="20" t="str">
        <f t="shared" ca="1" si="51"/>
        <v>check</v>
      </c>
    </row>
    <row r="157" spans="1:16" ht="24" customHeight="1" x14ac:dyDescent="0.35">
      <c r="B157" s="49"/>
      <c r="J157" s="182"/>
    </row>
    <row r="158" spans="1:16" ht="24" customHeight="1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ht="6" customHeight="1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ht="24" customHeight="1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ht="24" customHeight="1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ht="24" customHeight="1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ht="6" customHeight="1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ht="24" customHeight="1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ht="24" customHeight="1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ht="24" customHeight="1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ht="24" customHeight="1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ht="24" customHeight="1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ht="24" customHeight="1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ht="24" customHeight="1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ht="24" customHeight="1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ht="24" customHeight="1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ht="24" customHeight="1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ht="6" customHeight="1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ht="24" customHeight="1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ht="24" customHeight="1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ht="24" customHeight="1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ht="6" customHeight="1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ht="24" customHeight="1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ht="24" customHeight="1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ht="24" customHeight="1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ht="24" customHeight="1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ht="24" customHeight="1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ht="24" customHeight="1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ht="24" customHeight="1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ht="24" customHeight="1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ht="24" customHeight="1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ht="24" customHeight="1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ht="24" customHeight="1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ht="24" customHeight="1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ht="24" customHeight="1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ht="24" customHeight="1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ht="24" customHeight="1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ht="24" customHeight="1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ht="24" customHeight="1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ht="24" customHeight="1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ht="24" customHeight="1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ht="6" customHeight="1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ht="24" customHeight="1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ht="24" customHeight="1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ht="24" customHeight="1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ht="24" customHeight="1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ht="24" customHeight="1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ht="24" customHeight="1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ht="24" customHeight="1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ht="24" customHeight="1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ht="24" customHeight="1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ht="24" customHeight="1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ht="24" customHeight="1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ht="6" customHeight="1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ht="24" customHeight="1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ht="24" customHeight="1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ht="24" customHeight="1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ht="6" customHeight="1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ht="24" customHeight="1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ht="24" customHeight="1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ht="24" customHeight="1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ht="24" customHeight="1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ht="24" customHeight="1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ht="24" customHeight="1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ht="24" customHeight="1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ht="24" customHeight="1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ht="24" customHeight="1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ht="24" customHeight="1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ht="6" customHeight="1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ht="24" customHeight="1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ht="24" customHeight="1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ht="24" customHeight="1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ht="24" customHeight="1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ht="24" customHeight="1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ht="24" customHeight="1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ht="6" customHeight="1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ht="24" customHeight="1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ht="24" customHeight="1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ht="24" customHeight="1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ht="6" customHeight="1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ht="24" customHeight="1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ht="24" customHeight="1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ht="24" customHeight="1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ht="6" customHeight="1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ht="24" customHeight="1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ht="6" customHeight="1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ht="24" customHeight="1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ht="24" customHeight="1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ht="24" customHeight="1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ht="6" customHeight="1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ht="24" customHeight="1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ht="24" customHeight="1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ht="24" customHeight="1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ht="6" customHeight="1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ht="24" customHeight="1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ht="24" customHeight="1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ht="24" customHeight="1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ht="24" customHeight="1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ht="24" customHeight="1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ht="24" customHeight="1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ht="6" customHeight="1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ht="24" customHeight="1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ht="24" customHeight="1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ht="24" customHeight="1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ht="6" customHeight="1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ht="24" customHeight="1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ht="24" customHeight="1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ht="24" customHeight="1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ht="24" customHeight="1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ht="24" customHeight="1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ht="24" customHeight="1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ht="6" customHeight="1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ht="24" customHeight="1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ht="24" customHeight="1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ht="6" customHeight="1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ht="24" customHeight="1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ht="24" customHeight="1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ht="24" customHeight="1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ht="24" customHeight="1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ht="24" customHeight="1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ht="24" customHeight="1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ht="24" customHeight="1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ht="24" customHeight="1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ht="24" customHeight="1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ht="24" customHeight="1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ht="24" customHeight="1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ht="24" customHeight="1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ht="24" customHeight="1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ht="24" customHeight="1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ht="24" customHeight="1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ht="24" customHeight="1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ht="24" customHeight="1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ht="24" customHeight="1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ht="24" customHeight="1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ht="24" customHeight="1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ht="24" customHeight="1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ht="24" customHeight="1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ht="24" customHeight="1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ht="24" customHeight="1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ht="24" customHeight="1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ht="6" customHeight="1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ht="24" customHeight="1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ht="24" customHeight="1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ht="24" customHeight="1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ht="24" customHeight="1" x14ac:dyDescent="0.3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ht="24" customHeight="1" x14ac:dyDescent="0.3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ht="6" customHeight="1" x14ac:dyDescent="0.3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ht="24" customHeight="1" x14ac:dyDescent="0.3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ht="24" customHeight="1" x14ac:dyDescent="0.3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ht="24" customHeight="1" x14ac:dyDescent="0.3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ht="24" customHeight="1" x14ac:dyDescent="0.3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ht="6" customHeight="1" x14ac:dyDescent="0.3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ht="24" customHeight="1" x14ac:dyDescent="0.3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ht="6" customHeight="1" x14ac:dyDescent="0.3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ht="24" customHeight="1" x14ac:dyDescent="0.3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ht="24" customHeight="1" x14ac:dyDescent="0.3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ht="24" customHeight="1" x14ac:dyDescent="0.3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ht="24" customHeight="1" x14ac:dyDescent="0.3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ht="24" customHeight="1" x14ac:dyDescent="0.3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ht="24" customHeight="1" x14ac:dyDescent="0.3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ht="24" customHeight="1" x14ac:dyDescent="0.3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ht="24" customHeight="1" x14ac:dyDescent="0.3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ht="24" customHeight="1" x14ac:dyDescent="0.3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ht="24" customHeight="1" x14ac:dyDescent="0.3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ht="24" customHeight="1" x14ac:dyDescent="0.3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ht="24" customHeight="1" x14ac:dyDescent="0.3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ht="24" customHeight="1" x14ac:dyDescent="0.3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ht="6" customHeight="1" x14ac:dyDescent="0.3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ht="24" customHeight="1" x14ac:dyDescent="0.3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ht="24" customHeight="1" x14ac:dyDescent="0.3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ht="24" customHeight="1" x14ac:dyDescent="0.3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ht="24" customHeight="1" x14ac:dyDescent="0.3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ht="24" customHeight="1" x14ac:dyDescent="0.3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ht="24" customHeight="1" x14ac:dyDescent="0.3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ht="24" customHeight="1" x14ac:dyDescent="0.3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ht="24" customHeight="1" x14ac:dyDescent="0.3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ht="24" customHeight="1" x14ac:dyDescent="0.3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ht="24" customHeight="1" x14ac:dyDescent="0.3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ht="24" customHeight="1" x14ac:dyDescent="0.3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ht="24" customHeight="1" x14ac:dyDescent="0.3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ht="24" customHeight="1" x14ac:dyDescent="0.3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ht="6" customHeight="1" x14ac:dyDescent="0.3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ht="24" customHeight="1" x14ac:dyDescent="0.3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ht="24" customHeight="1" x14ac:dyDescent="0.3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ht="24" customHeight="1" x14ac:dyDescent="0.3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ht="24" customHeight="1" x14ac:dyDescent="0.3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ht="24" customHeight="1" x14ac:dyDescent="0.3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ht="24" customHeight="1" x14ac:dyDescent="0.3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ht="24" customHeight="1" x14ac:dyDescent="0.3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ht="24" customHeight="1" x14ac:dyDescent="0.3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ht="24" customHeight="1" x14ac:dyDescent="0.3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ht="24" customHeight="1" x14ac:dyDescent="0.3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ht="24" customHeight="1" x14ac:dyDescent="0.3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ht="24" customHeight="1" x14ac:dyDescent="0.3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ht="24" customHeight="1" x14ac:dyDescent="0.3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ht="24" customHeight="1" x14ac:dyDescent="0.3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ht="24" customHeight="1" x14ac:dyDescent="0.3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ht="24" customHeight="1" x14ac:dyDescent="0.3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ht="24" customHeight="1" x14ac:dyDescent="0.3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ht="24" customHeight="1" x14ac:dyDescent="0.3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ht="24" customHeight="1" x14ac:dyDescent="0.3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</sheetData>
  <mergeCells count="31">
    <mergeCell ref="H118:I118"/>
    <mergeCell ref="G117:J117"/>
    <mergeCell ref="F87:J87"/>
    <mergeCell ref="K87:O87"/>
    <mergeCell ref="D88:D89"/>
    <mergeCell ref="E88:E89"/>
    <mergeCell ref="K117:O117"/>
    <mergeCell ref="N41:N42"/>
    <mergeCell ref="O41:O42"/>
    <mergeCell ref="D41:D42"/>
    <mergeCell ref="D54:D55"/>
    <mergeCell ref="K53:O53"/>
    <mergeCell ref="F53:J53"/>
    <mergeCell ref="E54:E55"/>
    <mergeCell ref="M41:M42"/>
    <mergeCell ref="L29:L30"/>
    <mergeCell ref="H29:I30"/>
    <mergeCell ref="E41:E42"/>
    <mergeCell ref="F41:F42"/>
    <mergeCell ref="G41:G42"/>
    <mergeCell ref="H41:H42"/>
    <mergeCell ref="I41:I42"/>
    <mergeCell ref="J41:J42"/>
    <mergeCell ref="K41:K42"/>
    <mergeCell ref="L41:L42"/>
    <mergeCell ref="F29:F30"/>
    <mergeCell ref="D29:D30"/>
    <mergeCell ref="E29:E30"/>
    <mergeCell ref="B29:B30"/>
    <mergeCell ref="J29:J30"/>
    <mergeCell ref="K29:K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Cover</vt:lpstr>
      <vt:lpstr>Historical Financials</vt:lpstr>
      <vt:lpstr>Capex &amp; NWC Drivers</vt:lpstr>
      <vt:lpstr>P&amp;L Drivers</vt:lpstr>
      <vt:lpstr>Returns Model</vt:lpstr>
      <vt:lpstr>Cover!_FilterDatabase</vt:lpstr>
      <vt:lpstr>'Capex &amp; NWC Drivers'!Print_Area</vt:lpstr>
      <vt:lpstr>Cover!Print_Area</vt:lpstr>
      <vt:lpstr>'Historical Financials'!Print_Area</vt:lpstr>
      <vt:lpstr>'P&amp;L Drivers'!Print_Area</vt:lpstr>
      <vt:lpstr>'Returns 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Lee</dc:creator>
  <cp:lastModifiedBy>Tyler Lee</cp:lastModifiedBy>
  <dcterms:created xsi:type="dcterms:W3CDTF">2026-01-22T18:05:41Z</dcterms:created>
  <dcterms:modified xsi:type="dcterms:W3CDTF">2026-02-28T12:03:55Z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nalysis00" linkTarget="Prop_Analysis00">
    <vt:lpwstr>#REF!</vt:lpwstr>
  </property>
  <property fmtid="{D5CDD505-2E9C-101B-9397-08002B2CF9AE}" pid="3" name="Analysis99" linkTarget="Prop_Analysis99">
    <vt:lpwstr>#REF!</vt:lpwstr>
  </property>
  <property fmtid="{D5CDD505-2E9C-101B-9397-08002B2CF9AE}" pid="4" name="TAX_GROW" linkTarget="PROP_TAX_GROW">
    <vt:lpwstr>#REF!</vt:lpwstr>
  </property>
</Properties>
</file>