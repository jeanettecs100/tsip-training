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ai\Downloads\"/>
    </mc:Choice>
  </mc:AlternateContent>
  <xr:revisionPtr revIDLastSave="0" documentId="13_ncr:1_{94B52AE2-27E5-4DFB-92C3-8120BC3F2CAC}" xr6:coauthVersionLast="47" xr6:coauthVersionMax="47" xr10:uidLastSave="{00000000-0000-0000-0000-000000000000}"/>
  <bookViews>
    <workbookView xWindow="34452" yWindow="-108" windowWidth="61656" windowHeight="25416" xr2:uid="{527CADB1-A6B5-4195-9E9D-4B270FBBAA3C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H31" i="1"/>
  <c r="J31" i="1"/>
  <c r="K31" i="1"/>
  <c r="L31" i="1"/>
  <c r="N31" i="1"/>
  <c r="O31" i="1"/>
  <c r="P31" i="1"/>
  <c r="F31" i="1"/>
  <c r="O23" i="1"/>
  <c r="K23" i="1"/>
  <c r="G23" i="1"/>
  <c r="O28" i="1"/>
  <c r="N28" i="1" s="1"/>
  <c r="K28" i="1"/>
  <c r="L28" i="1" s="1"/>
  <c r="G28" i="1"/>
  <c r="H28" i="1" s="1"/>
  <c r="K20" i="1"/>
  <c r="O20" i="1" s="1"/>
  <c r="K17" i="1"/>
  <c r="J28" i="1" l="1"/>
  <c r="F28" i="1"/>
  <c r="P28" i="1"/>
  <c r="G20" i="1"/>
  <c r="G22" i="1" s="1"/>
  <c r="O22" i="1"/>
  <c r="K22" i="1"/>
  <c r="P24" i="1" l="1"/>
  <c r="O24" i="1"/>
  <c r="N24" i="1"/>
  <c r="H24" i="1"/>
  <c r="F24" i="1"/>
  <c r="G24" i="1"/>
  <c r="L24" i="1"/>
  <c r="K24" i="1"/>
  <c r="J24" i="1"/>
  <c r="E4" i="1"/>
  <c r="F25" i="1"/>
  <c r="G25" i="1"/>
  <c r="H25" i="1"/>
  <c r="J25" i="1"/>
  <c r="K25" i="1"/>
  <c r="L25" i="1"/>
  <c r="N25" i="1"/>
  <c r="O25" i="1"/>
  <c r="P25" i="1"/>
  <c r="F26" i="1"/>
  <c r="G26" i="1"/>
  <c r="H26" i="1"/>
  <c r="J26" i="1"/>
  <c r="K26" i="1"/>
  <c r="L26" i="1"/>
  <c r="N26" i="1"/>
  <c r="O26" i="1"/>
  <c r="P26" i="1"/>
  <c r="F30" i="1"/>
  <c r="G30" i="1"/>
  <c r="H30" i="1"/>
  <c r="J30" i="1"/>
  <c r="K30" i="1"/>
  <c r="L30" i="1"/>
  <c r="N30" i="1"/>
  <c r="O30" i="1"/>
  <c r="P30" i="1"/>
  <c r="F32" i="1"/>
  <c r="G32" i="1"/>
  <c r="H32" i="1"/>
  <c r="J32" i="1"/>
  <c r="K32" i="1"/>
  <c r="L32" i="1"/>
  <c r="N32" i="1"/>
  <c r="O32" i="1"/>
  <c r="P32" i="1"/>
  <c r="F33" i="1"/>
  <c r="G33" i="1"/>
  <c r="H33" i="1"/>
  <c r="J33" i="1"/>
  <c r="K33" i="1"/>
  <c r="L33" i="1"/>
  <c r="N33" i="1"/>
  <c r="O33" i="1"/>
  <c r="P33" i="1"/>
</calcChain>
</file>

<file path=xl/sharedStrings.xml><?xml version="1.0" encoding="utf-8"?>
<sst xmlns="http://schemas.openxmlformats.org/spreadsheetml/2006/main" count="30" uniqueCount="27">
  <si>
    <t>x</t>
  </si>
  <si>
    <t>Drivers</t>
  </si>
  <si>
    <t>Assumptions</t>
  </si>
  <si>
    <t>Exit EBITDA</t>
  </si>
  <si>
    <t>Exit multiple</t>
  </si>
  <si>
    <t>Mult. Sensitivity range</t>
  </si>
  <si>
    <t>Exit Net debt</t>
  </si>
  <si>
    <t>Management rollover</t>
  </si>
  <si>
    <t>low</t>
  </si>
  <si>
    <t>mid</t>
  </si>
  <si>
    <t>high</t>
  </si>
  <si>
    <t>Multiple</t>
  </si>
  <si>
    <t>Exit EV</t>
  </si>
  <si>
    <t>(-) Net debt</t>
  </si>
  <si>
    <t>Exit Equity</t>
  </si>
  <si>
    <t>(-) Management rollover</t>
  </si>
  <si>
    <t>Entry equity</t>
  </si>
  <si>
    <t>Circ switch</t>
  </si>
  <si>
    <t>Exit equity attributable to fund</t>
  </si>
  <si>
    <t>Target IRR</t>
  </si>
  <si>
    <t>IRR sensitivity</t>
  </si>
  <si>
    <t>Holding period (yrs)</t>
  </si>
  <si>
    <t>check</t>
  </si>
  <si>
    <t>(+) Net debt at entry</t>
  </si>
  <si>
    <t>Net debt at entry</t>
  </si>
  <si>
    <t>Implied Purchase price</t>
  </si>
  <si>
    <t>Summary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</si>
</sst>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164" formatCode="0.0%"/>
    <numFmt numFmtId="165" formatCode="0.0\x"/>
    <numFmt numFmtId="166" formatCode="0_);\(0\)"/>
    <numFmt numFmtId="167" formatCode="0.000"/>
    <numFmt numFmtId="168" formatCode="&quot;$&quot;#,##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i/>
      <sz val="10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3" borderId="1" xfId="0" applyFont="1" applyFill="1" applyBorder="1" applyAlignment="1">
      <alignment horizontal="center"/>
    </xf>
    <xf numFmtId="164" fontId="4" fillId="3" borderId="1" xfId="1" applyNumberFormat="1" applyFont="1" applyFill="1" applyBorder="1" applyAlignment="1">
      <alignment horizontal="center"/>
    </xf>
    <xf numFmtId="165" fontId="4" fillId="3" borderId="1" xfId="1" applyNumberFormat="1" applyFont="1" applyFill="1" applyBorder="1" applyAlignment="1">
      <alignment horizontal="center"/>
    </xf>
    <xf numFmtId="2" fontId="0" fillId="0" borderId="0" xfId="0" applyNumberFormat="1"/>
    <xf numFmtId="165" fontId="0" fillId="0" borderId="0" xfId="0" applyNumberFormat="1"/>
    <xf numFmtId="0" fontId="0" fillId="0" borderId="2" xfId="0" applyBorder="1"/>
    <xf numFmtId="0" fontId="3" fillId="0" borderId="0" xfId="0" applyFont="1"/>
    <xf numFmtId="166" fontId="0" fillId="0" borderId="0" xfId="0" applyNumberFormat="1"/>
    <xf numFmtId="166" fontId="3" fillId="0" borderId="0" xfId="0" applyNumberFormat="1" applyFon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2" xfId="0" applyNumberFormat="1" applyBorder="1" applyAlignment="1">
      <alignment horizontal="center"/>
    </xf>
    <xf numFmtId="0" fontId="5" fillId="0" borderId="0" xfId="0" applyFont="1"/>
    <xf numFmtId="167" fontId="5" fillId="0" borderId="0" xfId="0" applyNumberFormat="1" applyFont="1" applyAlignment="1">
      <alignment horizontal="center"/>
    </xf>
    <xf numFmtId="165" fontId="6" fillId="3" borderId="1" xfId="1" applyNumberFormat="1" applyFont="1" applyFill="1" applyBorder="1" applyAlignment="1">
      <alignment horizontal="center"/>
    </xf>
    <xf numFmtId="165" fontId="7" fillId="3" borderId="1" xfId="1" applyNumberFormat="1" applyFont="1" applyFill="1" applyBorder="1" applyAlignment="1">
      <alignment horizontal="center"/>
    </xf>
    <xf numFmtId="164" fontId="6" fillId="3" borderId="1" xfId="1" applyNumberFormat="1" applyFont="1" applyFill="1" applyBorder="1" applyAlignment="1">
      <alignment horizontal="center"/>
    </xf>
    <xf numFmtId="164" fontId="7" fillId="3" borderId="1" xfId="1" applyNumberFormat="1" applyFont="1" applyFill="1" applyBorder="1" applyAlignment="1">
      <alignment horizontal="center"/>
    </xf>
    <xf numFmtId="168" fontId="0" fillId="0" borderId="0" xfId="0" applyNumberFormat="1" applyAlignment="1">
      <alignment horizontal="center"/>
    </xf>
    <xf numFmtId="5" fontId="3" fillId="0" borderId="0" xfId="0" applyNumberFormat="1" applyFont="1" applyAlignment="1">
      <alignment horizontal="center"/>
    </xf>
    <xf numFmtId="5" fontId="3" fillId="0" borderId="0" xfId="0" applyNumberFormat="1" applyFont="1"/>
    <xf numFmtId="6" fontId="0" fillId="0" borderId="0" xfId="0" applyNumberFormat="1"/>
    <xf numFmtId="0" fontId="3" fillId="4" borderId="0" xfId="0" applyFont="1" applyFill="1"/>
    <xf numFmtId="6" fontId="3" fillId="4" borderId="0" xfId="0" applyNumberFormat="1" applyFont="1" applyFill="1" applyAlignment="1">
      <alignment horizontal="center"/>
    </xf>
    <xf numFmtId="6" fontId="3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Continuous"/>
    </xf>
    <xf numFmtId="168" fontId="0" fillId="0" borderId="0" xfId="0" applyNumberFormat="1"/>
    <xf numFmtId="165" fontId="3" fillId="0" borderId="2" xfId="0" applyNumberFormat="1" applyFont="1" applyBorder="1"/>
    <xf numFmtId="164" fontId="3" fillId="0" borderId="3" xfId="0" applyNumberFormat="1" applyFont="1" applyBorder="1"/>
    <xf numFmtId="1" fontId="4" fillId="3" borderId="1" xfId="1" applyNumberFormat="1" applyFont="1" applyFill="1" applyBorder="1" applyAlignment="1">
      <alignment horizontal="center"/>
    </xf>
    <xf numFmtId="166" fontId="8" fillId="0" borderId="0" xfId="0" applyNumberFormat="1" applyFont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EB175-1708-4E64-B0AB-DF3D0FCEE447}">
  <dimension ref="A2:P33"/>
  <sheetViews>
    <sheetView showGridLines="0" tabSelected="1" zoomScale="115" zoomScaleNormal="115" workbookViewId="0"/>
  </sheetViews>
  <sheetFormatPr defaultRowHeight="14.25" x14ac:dyDescent="0.45"/>
  <cols>
    <col min="2" max="2" width="20.59765625" customWidth="1"/>
    <col min="4" max="4" width="30.59765625" customWidth="1"/>
    <col min="5" max="5" width="9" customWidth="1"/>
    <col min="6" max="6" width="10.59765625" bestFit="1" customWidth="1"/>
  </cols>
  <sheetData>
    <row r="2" spans="1:9" x14ac:dyDescent="0.45">
      <c r="A2" t="s">
        <v>0</v>
      </c>
      <c r="B2" s="1" t="s">
        <v>1</v>
      </c>
      <c r="C2" s="2"/>
      <c r="E2" s="30" t="s">
        <v>26</v>
      </c>
      <c r="F2" s="30"/>
      <c r="G2" s="30"/>
      <c r="H2" s="30"/>
      <c r="I2" s="30"/>
    </row>
    <row r="3" spans="1:9" x14ac:dyDescent="0.45">
      <c r="B3" t="s">
        <v>17</v>
      </c>
      <c r="C3" s="3">
        <v>1</v>
      </c>
    </row>
    <row r="4" spans="1:9" x14ac:dyDescent="0.45">
      <c r="E4" s="26">
        <f ca="1">+G32</f>
        <v>361.69002244302641</v>
      </c>
      <c r="F4" s="32">
        <v>9</v>
      </c>
      <c r="G4" s="32">
        <v>10</v>
      </c>
      <c r="H4" s="32">
        <v>11</v>
      </c>
    </row>
    <row r="5" spans="1:9" x14ac:dyDescent="0.45">
      <c r="A5" t="s">
        <v>0</v>
      </c>
      <c r="B5" s="1" t="s">
        <v>2</v>
      </c>
      <c r="C5" s="2"/>
      <c r="E5" s="33">
        <v>0.17500000000000002</v>
      </c>
      <c r="F5" s="31">
        <f t="dataTable" ref="F5:H7" dt2D="1" dtr="1" r1="G20" r2="G28" ca="1"/>
        <v>397.07992239688798</v>
      </c>
      <c r="G5" s="31">
        <v>440.46491180943787</v>
      </c>
      <c r="H5" s="31">
        <v>483.8499032078326</v>
      </c>
    </row>
    <row r="6" spans="1:9" x14ac:dyDescent="0.45">
      <c r="B6" t="s">
        <v>21</v>
      </c>
      <c r="C6" s="3">
        <v>5</v>
      </c>
      <c r="E6" s="33">
        <v>0.2</v>
      </c>
      <c r="F6" s="31">
        <v>361.69003599180098</v>
      </c>
      <c r="G6" s="31">
        <v>400.65126173455229</v>
      </c>
      <c r="H6" s="31">
        <v>439.61251374413257</v>
      </c>
    </row>
    <row r="7" spans="1:9" x14ac:dyDescent="0.45">
      <c r="B7" t="s">
        <v>24</v>
      </c>
      <c r="C7" s="3">
        <v>50</v>
      </c>
      <c r="E7" s="33">
        <v>0.22500000000000001</v>
      </c>
      <c r="F7" s="31">
        <v>330.59322311079995</v>
      </c>
      <c r="G7" s="31">
        <v>365.66735897620629</v>
      </c>
      <c r="H7" s="31">
        <v>400.74151039419513</v>
      </c>
    </row>
    <row r="8" spans="1:9" x14ac:dyDescent="0.45">
      <c r="B8" t="s">
        <v>3</v>
      </c>
      <c r="C8" s="34">
        <v>100</v>
      </c>
    </row>
    <row r="9" spans="1:9" x14ac:dyDescent="0.45">
      <c r="B9" t="s">
        <v>4</v>
      </c>
      <c r="C9" s="5">
        <v>10</v>
      </c>
    </row>
    <row r="10" spans="1:9" x14ac:dyDescent="0.45">
      <c r="B10" t="s">
        <v>5</v>
      </c>
      <c r="C10" s="5">
        <v>1</v>
      </c>
    </row>
    <row r="11" spans="1:9" x14ac:dyDescent="0.45">
      <c r="B11" t="s">
        <v>6</v>
      </c>
      <c r="C11" s="34">
        <v>100</v>
      </c>
    </row>
    <row r="12" spans="1:9" x14ac:dyDescent="0.45">
      <c r="B12" t="s">
        <v>7</v>
      </c>
      <c r="C12" s="4">
        <v>0.05</v>
      </c>
    </row>
    <row r="13" spans="1:9" x14ac:dyDescent="0.45">
      <c r="B13" t="s">
        <v>19</v>
      </c>
      <c r="C13" s="4">
        <v>0.2</v>
      </c>
    </row>
    <row r="14" spans="1:9" x14ac:dyDescent="0.45">
      <c r="B14" t="s">
        <v>20</v>
      </c>
      <c r="C14" s="4">
        <v>2.5000000000000001E-2</v>
      </c>
    </row>
    <row r="17" spans="4:16" x14ac:dyDescent="0.45">
      <c r="D17" s="9" t="s">
        <v>3</v>
      </c>
      <c r="K17" s="23">
        <f>+C8</f>
        <v>100</v>
      </c>
      <c r="L17" s="6"/>
      <c r="M17" s="6"/>
    </row>
    <row r="19" spans="4:16" x14ac:dyDescent="0.45">
      <c r="F19" s="12"/>
      <c r="G19" s="12" t="s">
        <v>8</v>
      </c>
      <c r="H19" s="12"/>
      <c r="J19" s="12"/>
      <c r="K19" s="12" t="s">
        <v>9</v>
      </c>
      <c r="L19" s="12"/>
      <c r="N19" s="12"/>
      <c r="O19" s="12" t="s">
        <v>10</v>
      </c>
      <c r="P19" s="12"/>
    </row>
    <row r="20" spans="4:16" x14ac:dyDescent="0.45">
      <c r="D20" s="9" t="s">
        <v>11</v>
      </c>
      <c r="F20" s="12"/>
      <c r="G20" s="19">
        <f>+K20-C10</f>
        <v>9</v>
      </c>
      <c r="H20" s="13"/>
      <c r="I20" s="7"/>
      <c r="J20" s="12"/>
      <c r="K20" s="20">
        <f>+C9</f>
        <v>10</v>
      </c>
      <c r="L20" s="13"/>
      <c r="M20" s="7"/>
      <c r="N20" s="12"/>
      <c r="O20" s="19">
        <f>+K20+C10</f>
        <v>11</v>
      </c>
      <c r="P20" s="12"/>
    </row>
    <row r="21" spans="4:16" x14ac:dyDescent="0.45">
      <c r="F21" s="12"/>
    </row>
    <row r="22" spans="4:16" x14ac:dyDescent="0.45">
      <c r="D22" s="9" t="s">
        <v>12</v>
      </c>
      <c r="E22" s="9"/>
      <c r="F22" s="14"/>
      <c r="G22" s="24">
        <f>+$K$17*G20</f>
        <v>900</v>
      </c>
      <c r="H22" s="24"/>
      <c r="I22" s="25"/>
      <c r="J22" s="24"/>
      <c r="K22" s="24">
        <f>+$K$17*K20</f>
        <v>1000</v>
      </c>
      <c r="L22" s="24"/>
      <c r="M22" s="25"/>
      <c r="N22" s="24"/>
      <c r="O22" s="24">
        <f>+$K$17*O20</f>
        <v>1100</v>
      </c>
      <c r="P22" s="12"/>
    </row>
    <row r="23" spans="4:16" x14ac:dyDescent="0.45">
      <c r="D23" t="s">
        <v>13</v>
      </c>
      <c r="F23" s="12"/>
      <c r="G23" s="35">
        <f>+$C$11*-1</f>
        <v>-100</v>
      </c>
      <c r="H23" s="15"/>
      <c r="I23" s="10"/>
      <c r="J23" s="15"/>
      <c r="K23" s="35">
        <f>+$C$11*-1</f>
        <v>-100</v>
      </c>
      <c r="L23" s="15"/>
      <c r="M23" s="10"/>
      <c r="N23" s="15"/>
      <c r="O23" s="35">
        <f>+$C$11*-1</f>
        <v>-100</v>
      </c>
      <c r="P23" s="12"/>
    </row>
    <row r="24" spans="4:16" x14ac:dyDescent="0.45">
      <c r="D24" s="9" t="s">
        <v>14</v>
      </c>
      <c r="E24" s="9"/>
      <c r="F24" s="24">
        <f>+$G22+$G23</f>
        <v>800</v>
      </c>
      <c r="G24" s="24">
        <f>+$G22+$G23</f>
        <v>800</v>
      </c>
      <c r="H24" s="24">
        <f>+$G22+$G23</f>
        <v>800</v>
      </c>
      <c r="I24" s="25"/>
      <c r="J24" s="24">
        <f>+$K22+$K23</f>
        <v>900</v>
      </c>
      <c r="K24" s="24">
        <f>+$K22+$K23</f>
        <v>900</v>
      </c>
      <c r="L24" s="24">
        <f>+$K22+$K23</f>
        <v>900</v>
      </c>
      <c r="M24" s="25"/>
      <c r="N24" s="24">
        <f>+$O22+$O23</f>
        <v>1000</v>
      </c>
      <c r="O24" s="24">
        <f>+$O22+$O23</f>
        <v>1000</v>
      </c>
      <c r="P24" s="24">
        <f>+$O22+$O23</f>
        <v>1000</v>
      </c>
    </row>
    <row r="25" spans="4:16" x14ac:dyDescent="0.45">
      <c r="D25" s="8" t="s">
        <v>15</v>
      </c>
      <c r="F25" s="16">
        <f ca="1">+IF($C$3=1,(F24-F30)*$C$12*-1,0)</f>
        <v>-22.646002912422517</v>
      </c>
      <c r="G25" s="16">
        <f ca="1">+IF($C$3=1,(G24-G30)*$C$12*-1,0)</f>
        <v>-24.41549887784868</v>
      </c>
      <c r="H25" s="16">
        <f ca="1">+IF($C$3=1,(H24-H30)*$C$12*-1,0)</f>
        <v>-25.970339239127618</v>
      </c>
      <c r="I25" s="10"/>
      <c r="J25" s="16">
        <f ca="1">+IF($C$3=1,(J24-J30)*$C$12*-1,0)</f>
        <v>-25.476753870722376</v>
      </c>
      <c r="K25" s="16">
        <f ca="1">+IF($C$3=1,(K24-K30)*$C$12*-1,0)</f>
        <v>-27.467436595688834</v>
      </c>
      <c r="L25" s="16">
        <f ca="1">+IF($C$3=1,(L24-L30)*$C$12*-1,0)</f>
        <v>-29.216631861905025</v>
      </c>
      <c r="M25" s="10"/>
      <c r="N25" s="16">
        <f ca="1">+IF($C$3=1,(N24-N30)*$C$12*-1,0)</f>
        <v>-28.307504300802634</v>
      </c>
      <c r="O25" s="16">
        <f ca="1">+IF($C$3=1,(O24-O30)*$C$12*-1,0)</f>
        <v>-30.519373995209818</v>
      </c>
      <c r="P25" s="16">
        <f ca="1">+IF($C$3=1,(P24-P30)*$C$12*-1,0)</f>
        <v>-32.462924291005585</v>
      </c>
    </row>
    <row r="26" spans="4:16" x14ac:dyDescent="0.45">
      <c r="D26" s="9" t="s">
        <v>18</v>
      </c>
      <c r="E26" s="9"/>
      <c r="F26" s="24">
        <f ca="1">+F24+F25</f>
        <v>777.35399708757745</v>
      </c>
      <c r="G26" s="24">
        <f t="shared" ref="G26:H26" ca="1" si="0">+G24+G25</f>
        <v>775.58450112215132</v>
      </c>
      <c r="H26" s="24">
        <f t="shared" ca="1" si="0"/>
        <v>774.02966076087239</v>
      </c>
      <c r="I26" s="11"/>
      <c r="J26" s="24">
        <f ca="1">+J24+J25</f>
        <v>874.5232461292776</v>
      </c>
      <c r="K26" s="24">
        <f t="shared" ref="K26:L26" ca="1" si="1">+K24+K25</f>
        <v>872.53256340431119</v>
      </c>
      <c r="L26" s="24">
        <f t="shared" ca="1" si="1"/>
        <v>870.78336813809494</v>
      </c>
      <c r="M26" s="25"/>
      <c r="N26" s="24">
        <f ca="1">+N24+N25</f>
        <v>971.69249569919737</v>
      </c>
      <c r="O26" s="24">
        <f t="shared" ref="O26:P26" ca="1" si="2">+O24+O25</f>
        <v>969.48062600479022</v>
      </c>
      <c r="P26" s="24">
        <f t="shared" ca="1" si="2"/>
        <v>967.53707570899439</v>
      </c>
    </row>
    <row r="27" spans="4:16" x14ac:dyDescent="0.45">
      <c r="F27" s="12"/>
      <c r="G27" s="12"/>
      <c r="H27" s="12"/>
      <c r="J27" s="12"/>
      <c r="K27" s="12"/>
      <c r="L27" s="12"/>
      <c r="N27" s="12"/>
      <c r="O27" s="12"/>
      <c r="P27" s="12"/>
    </row>
    <row r="28" spans="4:16" x14ac:dyDescent="0.45">
      <c r="D28" t="s">
        <v>19</v>
      </c>
      <c r="F28" s="21">
        <f>+G28-$C$14</f>
        <v>0.17500000000000002</v>
      </c>
      <c r="G28" s="22">
        <f>+$C$13</f>
        <v>0.2</v>
      </c>
      <c r="H28" s="21">
        <f>+G28+$C$14</f>
        <v>0.22500000000000001</v>
      </c>
      <c r="I28" s="9"/>
      <c r="J28" s="21">
        <f>+K28-$C$14</f>
        <v>0.17500000000000002</v>
      </c>
      <c r="K28" s="22">
        <f>+$C$13</f>
        <v>0.2</v>
      </c>
      <c r="L28" s="21">
        <f>+K28+$C$14</f>
        <v>0.22500000000000001</v>
      </c>
      <c r="M28" s="9"/>
      <c r="N28" s="21">
        <f>+O28-$C$14</f>
        <v>0.17500000000000002</v>
      </c>
      <c r="O28" s="22">
        <f>+$C$13</f>
        <v>0.2</v>
      </c>
      <c r="P28" s="21">
        <f>+O28+$C$14</f>
        <v>0.22500000000000001</v>
      </c>
    </row>
    <row r="30" spans="4:16" x14ac:dyDescent="0.45">
      <c r="D30" s="9" t="s">
        <v>16</v>
      </c>
      <c r="E30" s="9"/>
      <c r="F30" s="29">
        <f ca="1">+PV(F28,$C$6,,F26)*-1</f>
        <v>347.07993142300194</v>
      </c>
      <c r="G30" s="29">
        <f ca="1">+PV(G28,$C$6,,G26)*-1</f>
        <v>311.69001620456828</v>
      </c>
      <c r="H30" s="29">
        <f ca="1">+PV(H28,$C$6,,H26)*-1</f>
        <v>280.59321141412039</v>
      </c>
      <c r="I30" s="29"/>
      <c r="J30" s="29">
        <f ca="1">+PV(J28,$C$6,,J26)*-1</f>
        <v>390.46492258555247</v>
      </c>
      <c r="K30" s="29">
        <f ca="1">+PV(K28,$C$6,,K26)*-1</f>
        <v>350.65126808622335</v>
      </c>
      <c r="L30" s="29">
        <f ca="1">+PV(L28,$C$6,,L26)*-1</f>
        <v>315.66736276189948</v>
      </c>
      <c r="M30" s="29"/>
      <c r="N30" s="29">
        <f ca="1">+PV(N28,$C$6,,N26)*-1</f>
        <v>433.84991398394726</v>
      </c>
      <c r="O30" s="29">
        <f ca="1">+PV(O28,$C$6,,O26)*-1</f>
        <v>389.61252009580369</v>
      </c>
      <c r="P30" s="29">
        <f ca="1">+PV(P28,$C$6,,P26)*-1</f>
        <v>350.74151417988833</v>
      </c>
    </row>
    <row r="31" spans="4:16" x14ac:dyDescent="0.45">
      <c r="D31" s="8" t="s">
        <v>23</v>
      </c>
      <c r="F31" s="36">
        <f>+$C$7</f>
        <v>50</v>
      </c>
      <c r="G31" s="36">
        <f t="shared" ref="G31:P31" si="3">+$C$7</f>
        <v>50</v>
      </c>
      <c r="H31" s="36">
        <f t="shared" si="3"/>
        <v>50</v>
      </c>
      <c r="I31" s="37"/>
      <c r="J31" s="36">
        <f t="shared" si="3"/>
        <v>50</v>
      </c>
      <c r="K31" s="36">
        <f t="shared" si="3"/>
        <v>50</v>
      </c>
      <c r="L31" s="36">
        <f t="shared" si="3"/>
        <v>50</v>
      </c>
      <c r="M31" s="37"/>
      <c r="N31" s="36">
        <f t="shared" si="3"/>
        <v>50</v>
      </c>
      <c r="O31" s="36">
        <f t="shared" si="3"/>
        <v>50</v>
      </c>
      <c r="P31" s="36">
        <f t="shared" si="3"/>
        <v>50</v>
      </c>
    </row>
    <row r="32" spans="4:16" x14ac:dyDescent="0.45">
      <c r="D32" s="27" t="s">
        <v>25</v>
      </c>
      <c r="E32" s="9"/>
      <c r="F32" s="28">
        <f ca="1">SUM(F30:F31)</f>
        <v>397.07993142300194</v>
      </c>
      <c r="G32" s="28">
        <f t="shared" ref="G32:P32" ca="1" si="4">SUM(G30:G31)</f>
        <v>361.69001620456828</v>
      </c>
      <c r="H32" s="28">
        <f t="shared" ca="1" si="4"/>
        <v>330.59321141412039</v>
      </c>
      <c r="I32" s="29"/>
      <c r="J32" s="28">
        <f t="shared" ca="1" si="4"/>
        <v>440.46492258555247</v>
      </c>
      <c r="K32" s="28">
        <f t="shared" ca="1" si="4"/>
        <v>400.65126808622335</v>
      </c>
      <c r="L32" s="28">
        <f t="shared" ca="1" si="4"/>
        <v>365.66736276189948</v>
      </c>
      <c r="M32" s="29"/>
      <c r="N32" s="28">
        <f t="shared" ca="1" si="4"/>
        <v>483.84991398394726</v>
      </c>
      <c r="O32" s="28">
        <f t="shared" ca="1" si="4"/>
        <v>439.61252009580369</v>
      </c>
      <c r="P32" s="28">
        <f t="shared" ca="1" si="4"/>
        <v>400.74151417988833</v>
      </c>
    </row>
    <row r="33" spans="4:16" ht="15" customHeight="1" x14ac:dyDescent="0.45">
      <c r="D33" s="17" t="s">
        <v>22</v>
      </c>
      <c r="E33" s="17"/>
      <c r="F33" s="18">
        <f ca="1">+FV(F28,$C$6,,F30)+F26</f>
        <v>0</v>
      </c>
      <c r="G33" s="18">
        <f ca="1">+FV(G28,$C$6,,G30)+G26</f>
        <v>0</v>
      </c>
      <c r="H33" s="18">
        <f ca="1">+FV(H28,$C$6,,H30)+H26</f>
        <v>0</v>
      </c>
      <c r="I33" s="18"/>
      <c r="J33" s="18">
        <f ca="1">+FV(J28,$C$6,,J30)+J26</f>
        <v>0</v>
      </c>
      <c r="K33" s="18">
        <f ca="1">+FV(K28,$C$6,,K30)+K26</f>
        <v>0</v>
      </c>
      <c r="L33" s="18">
        <f ca="1">+FV(L28,$C$6,,L30)+L26</f>
        <v>0</v>
      </c>
      <c r="M33" s="18"/>
      <c r="N33" s="18">
        <f ca="1">+FV(N28,$C$6,,N30)+N26</f>
        <v>0</v>
      </c>
      <c r="O33" s="18">
        <f ca="1">+FV(O28,$C$6,,O30)+O26</f>
        <v>0</v>
      </c>
      <c r="P33" s="18">
        <f ca="1">+FV(P28,$C$6,,P30)+P26</f>
        <v>0</v>
      </c>
    </row>
  </sheetData>
  <conditionalFormatting sqref="F5:H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Colton Moraine</cp:lastModifiedBy>
  <dcterms:created xsi:type="dcterms:W3CDTF">2025-12-04T18:40:44Z</dcterms:created>
  <dcterms:modified xsi:type="dcterms:W3CDTF">2025-12-16T16:56:29Z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{E76037C6-46DD-4400-85D6-2E6F8BFCCBEA}</vt:lpwstr>
  </property>
</Properties>
</file>