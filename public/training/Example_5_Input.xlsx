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66925"/>
  <xr:revisionPtr revIDLastSave="0" documentId="13_ncr:1_{5F307665-5397-457E-8476-201D317F7445}" xr6:coauthVersionLast="47" xr6:coauthVersionMax="47" xr10:uidLastSave="{00000000-0000-0000-0000-000000000000}"/>
  <bookViews>
    <workbookView xWindow="2280" yWindow="950" windowWidth="17000" windowHeight="20650" activeTab="1" xr2:uid="{0E912B02-B0E6-41FE-80D1-383EC273A710}"/>
  </bookViews>
  <sheets>
    <sheet name="Assumptions" sheetId="3" r:id="rId1"/>
    <sheet name="LBO Model" sheetId="2" r:id="rId2"/>
  </sheets>
  <definedNames>
    <definedName name="circ">'LBO Model'!$O$5</definedName>
    <definedName name="circ2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45927.0226851852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Assumptions!$B$2:$K$31</definedName>
    <definedName name="_xlnm.Print_Area" localSheetId="1">'LBO Model'!$B$3:$M$84,'LBO Model'!$B$118:$L$158,'LBO Model'!$B$161:$L$272,'LBO Model'!$A$275:$N$309,'LBO Model'!$B$87:$L$115</definedName>
    <definedName name="_xlnm.Print_Titles" localSheetId="1">'LBO Model'!$3:$3</definedName>
    <definedName name="recap">'LBO Model'!$D$23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10" i="2" s="1"/>
  <c r="H165" i="2"/>
  <c r="I165" i="2"/>
  <c r="J165" i="2" s="1"/>
  <c r="K165" i="2" s="1"/>
  <c r="F181" i="2"/>
  <c r="F190" i="2"/>
  <c r="H91" i="2"/>
  <c r="H93" i="2" s="1"/>
  <c r="H121" i="2" s="1"/>
  <c r="I91" i="2"/>
  <c r="I93" i="2" s="1"/>
  <c r="H92" i="2"/>
  <c r="I92" i="2"/>
  <c r="J92" i="2" s="1"/>
  <c r="K92" i="2" s="1"/>
  <c r="L92" i="2" s="1"/>
  <c r="H99" i="2"/>
  <c r="I99" i="2"/>
  <c r="H100" i="2"/>
  <c r="H101" i="2" s="1"/>
  <c r="H103" i="2" s="1"/>
  <c r="I128" i="2"/>
  <c r="H195" i="2"/>
  <c r="G198" i="2"/>
  <c r="K198" i="2" s="1"/>
  <c r="H198" i="2"/>
  <c r="F75" i="2"/>
  <c r="F11" i="2" s="1"/>
  <c r="M34" i="2" s="1"/>
  <c r="F12" i="2"/>
  <c r="F43" i="2"/>
  <c r="F44" i="2"/>
  <c r="K23" i="2"/>
  <c r="K24" i="2"/>
  <c r="F29" i="2"/>
  <c r="F24" i="2"/>
  <c r="F25" i="2" s="1"/>
  <c r="F34" i="2"/>
  <c r="K28" i="2"/>
  <c r="H145" i="2"/>
  <c r="H146" i="2"/>
  <c r="K56" i="2"/>
  <c r="G224" i="2" s="1"/>
  <c r="K57" i="2"/>
  <c r="G225" i="2"/>
  <c r="K58" i="2"/>
  <c r="G226" i="2"/>
  <c r="K66" i="2"/>
  <c r="G234" i="2"/>
  <c r="G259" i="2" s="1"/>
  <c r="K67" i="2"/>
  <c r="G235" i="2"/>
  <c r="H128" i="2"/>
  <c r="G172" i="2"/>
  <c r="F172" i="2"/>
  <c r="H172" i="2"/>
  <c r="M35" i="2"/>
  <c r="M37" i="2"/>
  <c r="H80" i="2" s="1"/>
  <c r="H55" i="2"/>
  <c r="I55" i="2"/>
  <c r="K55" i="2"/>
  <c r="F59" i="2"/>
  <c r="H59" i="2"/>
  <c r="I59" i="2"/>
  <c r="K61" i="2"/>
  <c r="I62" i="2"/>
  <c r="I64" i="2" s="1"/>
  <c r="F64" i="2"/>
  <c r="F68" i="2"/>
  <c r="H68" i="2"/>
  <c r="I68" i="2"/>
  <c r="K68" i="2"/>
  <c r="O68" i="2"/>
  <c r="H70" i="2"/>
  <c r="K70" i="2" s="1"/>
  <c r="K71" i="2"/>
  <c r="K72" i="2"/>
  <c r="I73" i="2"/>
  <c r="I74" i="2"/>
  <c r="K74" i="2" s="1"/>
  <c r="G241" i="2" s="1"/>
  <c r="H75" i="2"/>
  <c r="F81" i="2"/>
  <c r="G89" i="2"/>
  <c r="I89" i="2"/>
  <c r="J89" i="2"/>
  <c r="K89" i="2" s="1"/>
  <c r="L89" i="2" s="1"/>
  <c r="G93" i="2"/>
  <c r="J99" i="2"/>
  <c r="K99" i="2"/>
  <c r="G101" i="2"/>
  <c r="H104" i="2"/>
  <c r="G120" i="2"/>
  <c r="I120" i="2"/>
  <c r="J120" i="2" s="1"/>
  <c r="K120" i="2"/>
  <c r="L120" i="2" s="1"/>
  <c r="J128" i="2"/>
  <c r="K128" i="2"/>
  <c r="J172" i="2"/>
  <c r="K172" i="2"/>
  <c r="I198" i="2"/>
  <c r="J198" i="2"/>
  <c r="H175" i="2"/>
  <c r="H176" i="2" s="1"/>
  <c r="I175" i="2"/>
  <c r="J175" i="2"/>
  <c r="K175" i="2"/>
  <c r="L175" i="2"/>
  <c r="F185" i="2"/>
  <c r="G185" i="2"/>
  <c r="H185" i="2" s="1"/>
  <c r="I185" i="2"/>
  <c r="K185" i="2"/>
  <c r="L185" i="2"/>
  <c r="F198" i="2"/>
  <c r="H204" i="2"/>
  <c r="F207" i="2"/>
  <c r="G207" i="2"/>
  <c r="H207" i="2"/>
  <c r="I207" i="2" s="1"/>
  <c r="J207" i="2"/>
  <c r="K207" i="2" s="1"/>
  <c r="L207" i="2" s="1"/>
  <c r="H222" i="2"/>
  <c r="I222" i="2" s="1"/>
  <c r="J222" i="2"/>
  <c r="K222" i="2" s="1"/>
  <c r="L222" i="2" s="1"/>
  <c r="G223" i="2"/>
  <c r="G229" i="2"/>
  <c r="G238" i="2"/>
  <c r="G239" i="2"/>
  <c r="F5" i="3"/>
  <c r="F9" i="3" s="1"/>
  <c r="F15" i="3" s="1"/>
  <c r="F6" i="3"/>
  <c r="F7" i="3"/>
  <c r="F8" i="3"/>
  <c r="F11" i="3"/>
  <c r="F12" i="3"/>
  <c r="F13" i="3"/>
  <c r="F14" i="3"/>
  <c r="F17" i="3"/>
  <c r="F19" i="3" s="1"/>
  <c r="F18" i="3"/>
  <c r="F21" i="3"/>
  <c r="F22" i="3"/>
  <c r="F23" i="3"/>
  <c r="F24" i="3"/>
  <c r="F25" i="3"/>
  <c r="F26" i="3"/>
  <c r="F28" i="3"/>
  <c r="F30" i="3"/>
  <c r="I95" i="2" l="1"/>
  <c r="I96" i="2" s="1"/>
  <c r="F31" i="3"/>
  <c r="G227" i="2"/>
  <c r="G258" i="2"/>
  <c r="G260" i="2" s="1"/>
  <c r="G242" i="2"/>
  <c r="L172" i="2"/>
  <c r="I172" i="2"/>
  <c r="H196" i="2"/>
  <c r="K75" i="2"/>
  <c r="H127" i="2"/>
  <c r="H148" i="2"/>
  <c r="H271" i="2"/>
  <c r="H132" i="2"/>
  <c r="H141" i="2" s="1"/>
  <c r="G121" i="2"/>
  <c r="G130" i="2" s="1"/>
  <c r="F35" i="2"/>
  <c r="K25" i="2"/>
  <c r="M36" i="2" s="1"/>
  <c r="G236" i="2"/>
  <c r="L198" i="2"/>
  <c r="I75" i="2"/>
  <c r="K73" i="2"/>
  <c r="G240" i="2" s="1"/>
  <c r="H126" i="2"/>
  <c r="H95" i="2"/>
  <c r="I182" i="2"/>
  <c r="K59" i="2"/>
  <c r="O59" i="2" s="1"/>
  <c r="J91" i="2"/>
  <c r="F83" i="2"/>
  <c r="K182" i="2"/>
  <c r="L165" i="2"/>
  <c r="L182" i="2" s="1"/>
  <c r="F13" i="2"/>
  <c r="M33" i="2" s="1"/>
  <c r="J185" i="2"/>
  <c r="L99" i="2"/>
  <c r="I100" i="2"/>
  <c r="F216" i="2" l="1"/>
  <c r="H77" i="2"/>
  <c r="H142" i="2"/>
  <c r="H199" i="2"/>
  <c r="H213" i="2" s="1"/>
  <c r="H197" i="2"/>
  <c r="H226" i="2"/>
  <c r="H224" i="2"/>
  <c r="H235" i="2"/>
  <c r="I146" i="2"/>
  <c r="I145" i="2"/>
  <c r="H229" i="2"/>
  <c r="G244" i="2"/>
  <c r="G247" i="2" s="1"/>
  <c r="G246" i="2"/>
  <c r="O75" i="2"/>
  <c r="M38" i="2"/>
  <c r="F42" i="2"/>
  <c r="F45" i="2" s="1"/>
  <c r="J100" i="2"/>
  <c r="I101" i="2"/>
  <c r="L146" i="2"/>
  <c r="L145" i="2"/>
  <c r="L128" i="2"/>
  <c r="H122" i="2"/>
  <c r="H96" i="2"/>
  <c r="K91" i="2"/>
  <c r="J93" i="2"/>
  <c r="K146" i="2"/>
  <c r="K145" i="2"/>
  <c r="H272" i="2" l="1"/>
  <c r="H123" i="2"/>
  <c r="J101" i="2"/>
  <c r="K100" i="2"/>
  <c r="F46" i="2"/>
  <c r="J95" i="2"/>
  <c r="J121" i="2"/>
  <c r="J96" i="2"/>
  <c r="F38" i="2"/>
  <c r="F37" i="2" s="1"/>
  <c r="K77" i="2"/>
  <c r="H81" i="2"/>
  <c r="I104" i="2"/>
  <c r="I103" i="2"/>
  <c r="I122" i="2" s="1"/>
  <c r="I272" i="2" s="1"/>
  <c r="I121" i="2"/>
  <c r="H240" i="2"/>
  <c r="I195" i="2"/>
  <c r="L91" i="2"/>
  <c r="L93" i="2" s="1"/>
  <c r="K93" i="2"/>
  <c r="H216" i="2"/>
  <c r="H136" i="2" s="1"/>
  <c r="H144" i="2" s="1"/>
  <c r="I216" i="2"/>
  <c r="I136" i="2" s="1"/>
  <c r="I144" i="2" s="1"/>
  <c r="J216" i="2"/>
  <c r="J136" i="2" s="1"/>
  <c r="J144" i="2" s="1"/>
  <c r="K216" i="2"/>
  <c r="K136" i="2" s="1"/>
  <c r="K144" i="2" s="1"/>
  <c r="L216" i="2"/>
  <c r="L136" i="2" s="1"/>
  <c r="L144" i="2" s="1"/>
  <c r="O38" i="2" l="1"/>
  <c r="G249" i="2"/>
  <c r="H249" i="2" s="1"/>
  <c r="I249" i="2" s="1"/>
  <c r="J249" i="2" s="1"/>
  <c r="K249" i="2" s="1"/>
  <c r="L249" i="2" s="1"/>
  <c r="L96" i="2"/>
  <c r="L95" i="2"/>
  <c r="I196" i="2"/>
  <c r="I197" i="2" s="1"/>
  <c r="J148" i="2"/>
  <c r="J127" i="2"/>
  <c r="J132" i="2"/>
  <c r="J141" i="2" s="1"/>
  <c r="J126" i="2"/>
  <c r="J271" i="2"/>
  <c r="L100" i="2"/>
  <c r="L101" i="2" s="1"/>
  <c r="L121" i="2" s="1"/>
  <c r="K101" i="2"/>
  <c r="K95" i="2"/>
  <c r="K121" i="2"/>
  <c r="K96" i="2"/>
  <c r="I80" i="2"/>
  <c r="K80" i="2" s="1"/>
  <c r="G252" i="2" s="1"/>
  <c r="J103" i="2"/>
  <c r="J122" i="2" s="1"/>
  <c r="F47" i="2"/>
  <c r="F48" i="2" s="1"/>
  <c r="H62" i="2" s="1"/>
  <c r="H63" i="2"/>
  <c r="K63" i="2" s="1"/>
  <c r="G231" i="2" s="1"/>
  <c r="J46" i="2"/>
  <c r="I123" i="2"/>
  <c r="I132" i="2"/>
  <c r="I141" i="2" s="1"/>
  <c r="I126" i="2"/>
  <c r="I127" i="2"/>
  <c r="I271" i="2"/>
  <c r="I148" i="2"/>
  <c r="H129" i="2"/>
  <c r="H124" i="2"/>
  <c r="I234" i="2"/>
  <c r="I225" i="2"/>
  <c r="H225" i="2"/>
  <c r="H258" i="2" s="1"/>
  <c r="H234" i="2"/>
  <c r="J272" i="2" l="1"/>
  <c r="J123" i="2"/>
  <c r="I240" i="2"/>
  <c r="J195" i="2"/>
  <c r="L126" i="2"/>
  <c r="L148" i="2"/>
  <c r="L271" i="2"/>
  <c r="L132" i="2"/>
  <c r="L141" i="2" s="1"/>
  <c r="L127" i="2"/>
  <c r="J104" i="2"/>
  <c r="K62" i="2"/>
  <c r="H64" i="2"/>
  <c r="K126" i="2"/>
  <c r="K148" i="2"/>
  <c r="K127" i="2"/>
  <c r="K132" i="2"/>
  <c r="K141" i="2" s="1"/>
  <c r="K271" i="2"/>
  <c r="I236" i="2"/>
  <c r="I124" i="2"/>
  <c r="I129" i="2"/>
  <c r="K103" i="2"/>
  <c r="K122" i="2" s="1"/>
  <c r="H259" i="2"/>
  <c r="H260" i="2" s="1"/>
  <c r="H261" i="2" s="1"/>
  <c r="H149" i="2" s="1"/>
  <c r="H236" i="2"/>
  <c r="I142" i="2"/>
  <c r="I199" i="2"/>
  <c r="I213" i="2" s="1"/>
  <c r="H189" i="2"/>
  <c r="H190" i="2" s="1"/>
  <c r="H130" i="2"/>
  <c r="I235" i="2"/>
  <c r="I259" i="2" s="1"/>
  <c r="I226" i="2"/>
  <c r="I224" i="2"/>
  <c r="I258" i="2" s="1"/>
  <c r="L133" i="2"/>
  <c r="L143" i="2" s="1"/>
  <c r="H133" i="2"/>
  <c r="H143" i="2" s="1"/>
  <c r="I133" i="2"/>
  <c r="I143" i="2" s="1"/>
  <c r="J133" i="2"/>
  <c r="J143" i="2" s="1"/>
  <c r="K133" i="2"/>
  <c r="K143" i="2" s="1"/>
  <c r="L103" i="2"/>
  <c r="L104" i="2" s="1"/>
  <c r="I229" i="2"/>
  <c r="J47" i="2"/>
  <c r="I78" i="2"/>
  <c r="J224" i="2"/>
  <c r="J226" i="2"/>
  <c r="J235" i="2"/>
  <c r="L122" i="2"/>
  <c r="L272" i="2" s="1"/>
  <c r="H134" i="2" l="1"/>
  <c r="K272" i="2"/>
  <c r="K123" i="2"/>
  <c r="H147" i="2"/>
  <c r="I147" i="2"/>
  <c r="K147" i="2"/>
  <c r="J147" i="2"/>
  <c r="L147" i="2"/>
  <c r="J225" i="2"/>
  <c r="J234" i="2"/>
  <c r="I260" i="2"/>
  <c r="I261" i="2" s="1"/>
  <c r="I149" i="2" s="1"/>
  <c r="K104" i="2"/>
  <c r="K235" i="2"/>
  <c r="K226" i="2"/>
  <c r="K224" i="2"/>
  <c r="L123" i="2"/>
  <c r="L225" i="2"/>
  <c r="L234" i="2"/>
  <c r="G230" i="2"/>
  <c r="K64" i="2"/>
  <c r="J258" i="2"/>
  <c r="J196" i="2"/>
  <c r="J197" i="2"/>
  <c r="J229" i="2"/>
  <c r="L224" i="2"/>
  <c r="L226" i="2"/>
  <c r="L235" i="2"/>
  <c r="I134" i="2"/>
  <c r="I130" i="2"/>
  <c r="I189" i="2"/>
  <c r="I190" i="2" s="1"/>
  <c r="K78" i="2"/>
  <c r="I81" i="2"/>
  <c r="H231" i="2"/>
  <c r="I231" i="2" s="1"/>
  <c r="J231" i="2" s="1"/>
  <c r="K231" i="2" s="1"/>
  <c r="L231" i="2" s="1"/>
  <c r="J129" i="2"/>
  <c r="J124" i="2"/>
  <c r="H230" i="2" l="1"/>
  <c r="G232" i="2"/>
  <c r="L236" i="2"/>
  <c r="L259" i="2"/>
  <c r="J260" i="2"/>
  <c r="J261" i="2" s="1"/>
  <c r="J149" i="2" s="1"/>
  <c r="G250" i="2"/>
  <c r="K81" i="2"/>
  <c r="O81" i="2" s="1"/>
  <c r="L258" i="2"/>
  <c r="J189" i="2"/>
  <c r="J190" i="2" s="1"/>
  <c r="J134" i="2"/>
  <c r="J130" i="2"/>
  <c r="K195" i="2"/>
  <c r="J240" i="2"/>
  <c r="O64" i="2"/>
  <c r="K129" i="2"/>
  <c r="K124" i="2"/>
  <c r="K229" i="2"/>
  <c r="J142" i="2"/>
  <c r="J199" i="2"/>
  <c r="J213" i="2" s="1"/>
  <c r="L129" i="2"/>
  <c r="L124" i="2"/>
  <c r="J236" i="2"/>
  <c r="J259" i="2"/>
  <c r="K234" i="2"/>
  <c r="K225" i="2"/>
  <c r="K258" i="2" s="1"/>
  <c r="K83" i="2" l="1"/>
  <c r="K196" i="2"/>
  <c r="K197" i="2"/>
  <c r="H250" i="2"/>
  <c r="I250" i="2" s="1"/>
  <c r="J250" i="2" s="1"/>
  <c r="K250" i="2" s="1"/>
  <c r="L250" i="2" s="1"/>
  <c r="G253" i="2"/>
  <c r="G255" i="2" s="1"/>
  <c r="K189" i="2"/>
  <c r="K190" i="2" s="1"/>
  <c r="K134" i="2"/>
  <c r="K130" i="2"/>
  <c r="L229" i="2"/>
  <c r="I230" i="2"/>
  <c r="K236" i="2"/>
  <c r="K259" i="2"/>
  <c r="K260" i="2" s="1"/>
  <c r="K261" i="2" s="1"/>
  <c r="K149" i="2" s="1"/>
  <c r="L260" i="2"/>
  <c r="L130" i="2"/>
  <c r="L189" i="2"/>
  <c r="L190" i="2" s="1"/>
  <c r="L134" i="2"/>
  <c r="K240" i="2" l="1"/>
  <c r="L195" i="2"/>
  <c r="L261" i="2"/>
  <c r="L149" i="2" s="1"/>
  <c r="K142" i="2"/>
  <c r="K199" i="2"/>
  <c r="K213" i="2" s="1"/>
  <c r="J230" i="2"/>
  <c r="L196" i="2" l="1"/>
  <c r="K230" i="2"/>
  <c r="L230" i="2" l="1"/>
  <c r="L142" i="2"/>
  <c r="L199" i="2"/>
  <c r="L213" i="2" s="1"/>
  <c r="L197" i="2"/>
  <c r="L240" i="2" s="1"/>
  <c r="H135" i="2" l="1"/>
  <c r="I135" i="2"/>
  <c r="J135" i="2"/>
  <c r="K135" i="2"/>
  <c r="L135" i="2"/>
  <c r="H137" i="2"/>
  <c r="I137" i="2"/>
  <c r="J137" i="2"/>
  <c r="K137" i="2"/>
  <c r="L137" i="2"/>
  <c r="H138" i="2"/>
  <c r="I138" i="2"/>
  <c r="J138" i="2"/>
  <c r="K138" i="2"/>
  <c r="L138" i="2"/>
  <c r="H139" i="2"/>
  <c r="I139" i="2"/>
  <c r="J139" i="2"/>
  <c r="K139" i="2"/>
  <c r="L139" i="2"/>
  <c r="J145" i="2"/>
  <c r="J146" i="2"/>
  <c r="H150" i="2"/>
  <c r="I150" i="2"/>
  <c r="J150" i="2"/>
  <c r="K150" i="2"/>
  <c r="L150" i="2"/>
  <c r="O150" i="2"/>
  <c r="H151" i="2"/>
  <c r="I151" i="2"/>
  <c r="J151" i="2"/>
  <c r="K151" i="2"/>
  <c r="L151" i="2"/>
  <c r="H152" i="2"/>
  <c r="I152" i="2"/>
  <c r="J152" i="2"/>
  <c r="K152" i="2"/>
  <c r="L152" i="2"/>
  <c r="H166" i="2"/>
  <c r="I166" i="2"/>
  <c r="J166" i="2"/>
  <c r="K166" i="2"/>
  <c r="L166" i="2"/>
  <c r="I169" i="2"/>
  <c r="J169" i="2"/>
  <c r="K169" i="2"/>
  <c r="L169" i="2"/>
  <c r="H170" i="2"/>
  <c r="I170" i="2"/>
  <c r="J170" i="2"/>
  <c r="K170" i="2"/>
  <c r="L170" i="2"/>
  <c r="H171" i="2"/>
  <c r="I171" i="2"/>
  <c r="J171" i="2"/>
  <c r="K171" i="2"/>
  <c r="L171" i="2"/>
  <c r="H173" i="2"/>
  <c r="I173" i="2"/>
  <c r="J173" i="2"/>
  <c r="K173" i="2"/>
  <c r="L173" i="2"/>
  <c r="I176" i="2"/>
  <c r="J176" i="2"/>
  <c r="K176" i="2"/>
  <c r="L176" i="2"/>
  <c r="H178" i="2"/>
  <c r="I178" i="2"/>
  <c r="J178" i="2"/>
  <c r="K178" i="2"/>
  <c r="L178" i="2"/>
  <c r="I181" i="2"/>
  <c r="J181" i="2"/>
  <c r="K181" i="2"/>
  <c r="L181" i="2"/>
  <c r="J182" i="2"/>
  <c r="H183" i="2"/>
  <c r="I183" i="2"/>
  <c r="J183" i="2"/>
  <c r="K183" i="2"/>
  <c r="L183" i="2"/>
  <c r="H184" i="2"/>
  <c r="I184" i="2"/>
  <c r="J184" i="2"/>
  <c r="K184" i="2"/>
  <c r="L184" i="2"/>
  <c r="H186" i="2"/>
  <c r="I186" i="2"/>
  <c r="J186" i="2"/>
  <c r="K186" i="2"/>
  <c r="L186" i="2"/>
  <c r="H191" i="2"/>
  <c r="I191" i="2"/>
  <c r="J191" i="2"/>
  <c r="K191" i="2"/>
  <c r="L191" i="2"/>
  <c r="H192" i="2"/>
  <c r="I192" i="2"/>
  <c r="J192" i="2"/>
  <c r="K192" i="2"/>
  <c r="L192" i="2"/>
  <c r="H201" i="2"/>
  <c r="I201" i="2"/>
  <c r="J201" i="2"/>
  <c r="K201" i="2"/>
  <c r="L201" i="2"/>
  <c r="I204" i="2"/>
  <c r="J204" i="2"/>
  <c r="K204" i="2"/>
  <c r="L204" i="2"/>
  <c r="H205" i="2"/>
  <c r="I205" i="2"/>
  <c r="J205" i="2"/>
  <c r="K205" i="2"/>
  <c r="L205" i="2"/>
  <c r="H206" i="2"/>
  <c r="I206" i="2"/>
  <c r="J206" i="2"/>
  <c r="K206" i="2"/>
  <c r="L206" i="2"/>
  <c r="H208" i="2"/>
  <c r="I208" i="2"/>
  <c r="J208" i="2"/>
  <c r="K208" i="2"/>
  <c r="L208" i="2"/>
  <c r="H211" i="2"/>
  <c r="I211" i="2"/>
  <c r="J211" i="2"/>
  <c r="K211" i="2"/>
  <c r="L211" i="2"/>
  <c r="H212" i="2"/>
  <c r="I212" i="2"/>
  <c r="J212" i="2"/>
  <c r="K212" i="2"/>
  <c r="L212" i="2"/>
  <c r="H214" i="2"/>
  <c r="I214" i="2"/>
  <c r="J214" i="2"/>
  <c r="K214" i="2"/>
  <c r="L214" i="2"/>
  <c r="H215" i="2"/>
  <c r="I215" i="2"/>
  <c r="J215" i="2"/>
  <c r="K215" i="2"/>
  <c r="L215" i="2"/>
  <c r="H217" i="2"/>
  <c r="I217" i="2"/>
  <c r="J217" i="2"/>
  <c r="K217" i="2"/>
  <c r="L217" i="2"/>
  <c r="H223" i="2"/>
  <c r="I223" i="2"/>
  <c r="J223" i="2"/>
  <c r="K223" i="2"/>
  <c r="L223" i="2"/>
  <c r="H227" i="2"/>
  <c r="I227" i="2"/>
  <c r="J227" i="2"/>
  <c r="K227" i="2"/>
  <c r="L227" i="2"/>
  <c r="H232" i="2"/>
  <c r="I232" i="2"/>
  <c r="J232" i="2"/>
  <c r="K232" i="2"/>
  <c r="L232" i="2"/>
  <c r="H238" i="2"/>
  <c r="I238" i="2"/>
  <c r="J238" i="2"/>
  <c r="K238" i="2"/>
  <c r="L238" i="2"/>
  <c r="H239" i="2"/>
  <c r="I239" i="2"/>
  <c r="J239" i="2"/>
  <c r="K239" i="2"/>
  <c r="L239" i="2"/>
  <c r="H241" i="2"/>
  <c r="I241" i="2"/>
  <c r="J241" i="2"/>
  <c r="K241" i="2"/>
  <c r="L241" i="2"/>
  <c r="H242" i="2"/>
  <c r="I242" i="2"/>
  <c r="J242" i="2"/>
  <c r="K242" i="2"/>
  <c r="L242" i="2"/>
  <c r="H243" i="2"/>
  <c r="I243" i="2"/>
  <c r="J243" i="2"/>
  <c r="K243" i="2"/>
  <c r="L243" i="2"/>
  <c r="H244" i="2"/>
  <c r="I244" i="2"/>
  <c r="J244" i="2"/>
  <c r="K244" i="2"/>
  <c r="L244" i="2"/>
  <c r="H246" i="2"/>
  <c r="I246" i="2"/>
  <c r="J246" i="2"/>
  <c r="K246" i="2"/>
  <c r="L246" i="2"/>
  <c r="H247" i="2"/>
  <c r="I247" i="2"/>
  <c r="J247" i="2"/>
  <c r="K247" i="2"/>
  <c r="L247" i="2"/>
  <c r="H252" i="2"/>
  <c r="I252" i="2"/>
  <c r="J252" i="2"/>
  <c r="K252" i="2"/>
  <c r="L252" i="2"/>
  <c r="H253" i="2"/>
  <c r="I253" i="2"/>
  <c r="J253" i="2"/>
  <c r="K253" i="2"/>
  <c r="L253" i="2"/>
  <c r="H255" i="2"/>
  <c r="I255" i="2"/>
  <c r="J255" i="2"/>
  <c r="K255" i="2"/>
  <c r="L255" i="2"/>
</calcChain>
</file>

<file path=xl/sharedStrings.xml><?xml version="1.0" encoding="utf-8"?>
<sst xmlns="http://schemas.openxmlformats.org/spreadsheetml/2006/main" count="283" uniqueCount="190">
  <si>
    <t>Multiple</t>
  </si>
  <si>
    <t>Transaction Drivers</t>
  </si>
  <si>
    <t>(x) Entry Multiple</t>
  </si>
  <si>
    <t>Purchase Enterprise Value</t>
  </si>
  <si>
    <t>Financial Forecast</t>
  </si>
  <si>
    <t>Revenue</t>
  </si>
  <si>
    <t>% Margin</t>
  </si>
  <si>
    <t>EBITDA</t>
  </si>
  <si>
    <t>EBIT</t>
  </si>
  <si>
    <t>Less: D&amp;A</t>
  </si>
  <si>
    <t>EBT</t>
  </si>
  <si>
    <t>Less: Taxes</t>
  </si>
  <si>
    <t>Net Income</t>
  </si>
  <si>
    <t>Less: Amortization of Financing Fees</t>
  </si>
  <si>
    <t>Plus: D&amp;A</t>
  </si>
  <si>
    <t>Plus: Amortization of Financing Fees</t>
  </si>
  <si>
    <t>Less: Capex</t>
  </si>
  <si>
    <t>Less: (Increase) / Decrease in NWC</t>
  </si>
  <si>
    <t>Free Cash Flow (Before Debt Paydown)</t>
  </si>
  <si>
    <t>Debt Schedule</t>
  </si>
  <si>
    <t>Optional Borrowing / (Repayment)</t>
  </si>
  <si>
    <t>Beginning Balance</t>
  </si>
  <si>
    <t>Ending Balance</t>
  </si>
  <si>
    <t>Revolver</t>
  </si>
  <si>
    <t>Interest Rate</t>
  </si>
  <si>
    <t>Cash Available for Revolver Paydown</t>
  </si>
  <si>
    <t>(Repayment)</t>
  </si>
  <si>
    <t>Interest Calculation</t>
  </si>
  <si>
    <t>Senior Notes</t>
  </si>
  <si>
    <t>Bank Debt</t>
  </si>
  <si>
    <t>Cash Available for Bank Debt Paydown</t>
  </si>
  <si>
    <t>Total Interest Expense</t>
  </si>
  <si>
    <t>Amortization of Financing Fees</t>
  </si>
  <si>
    <t>Balance Sheet</t>
  </si>
  <si>
    <t>Cash</t>
  </si>
  <si>
    <t>Total Debt</t>
  </si>
  <si>
    <t>% of Initial Debt</t>
  </si>
  <si>
    <t>Total Debt / EBITDA</t>
  </si>
  <si>
    <t>Equity Value</t>
  </si>
  <si>
    <t>IRR</t>
  </si>
  <si>
    <t>MoM</t>
  </si>
  <si>
    <t>Sources &amp; Uses</t>
  </si>
  <si>
    <t>Sources</t>
  </si>
  <si>
    <t>Purchase Equity Value</t>
  </si>
  <si>
    <t>Refinancing Net Debt</t>
  </si>
  <si>
    <t>Cash to B/S</t>
  </si>
  <si>
    <t>Underwriting Fees</t>
  </si>
  <si>
    <t>Transaction Expenses</t>
  </si>
  <si>
    <t>Uses</t>
  </si>
  <si>
    <t>Total Uses</t>
  </si>
  <si>
    <t>Equity Investment</t>
  </si>
  <si>
    <t>Model Assumptions</t>
  </si>
  <si>
    <t>Total Sources</t>
  </si>
  <si>
    <t>Check</t>
  </si>
  <si>
    <t>Total Leverage</t>
  </si>
  <si>
    <t>Revolver Capacity</t>
  </si>
  <si>
    <t>Rate</t>
  </si>
  <si>
    <t>L+ Floor</t>
  </si>
  <si>
    <t>Tax Rate</t>
  </si>
  <si>
    <t>Transaction</t>
  </si>
  <si>
    <t>Debt</t>
  </si>
  <si>
    <t>Entry Valuation</t>
  </si>
  <si>
    <t>(x) EBITDA</t>
  </si>
  <si>
    <t>Leverageable EBITDA</t>
  </si>
  <si>
    <t>Less: Debt</t>
  </si>
  <si>
    <t>Plus: Cash</t>
  </si>
  <si>
    <t>Fee (%)</t>
  </si>
  <si>
    <t>Fee ($)</t>
  </si>
  <si>
    <t>Operating Assumptions</t>
  </si>
  <si>
    <t>D&amp;A % of Revenue</t>
  </si>
  <si>
    <t>Capex % of Revenue</t>
  </si>
  <si>
    <t>LIBOR Curve</t>
  </si>
  <si>
    <t>Floor</t>
  </si>
  <si>
    <t>Interest Expense</t>
  </si>
  <si>
    <t>Amount</t>
  </si>
  <si>
    <t>Yrs</t>
  </si>
  <si>
    <t>Txn</t>
  </si>
  <si>
    <t>Less: Optional Borrowing / (Repayment)</t>
  </si>
  <si>
    <t>Cash Flow</t>
  </si>
  <si>
    <t>Circ</t>
  </si>
  <si>
    <t>5 Year Returns</t>
  </si>
  <si>
    <t>FCF Check</t>
  </si>
  <si>
    <t>Less: COGS</t>
  </si>
  <si>
    <t>Gross Profit</t>
  </si>
  <si>
    <t>Less: SG&amp;A</t>
  </si>
  <si>
    <t>Less: R&amp;D</t>
  </si>
  <si>
    <t>Closing Balance Sheet</t>
  </si>
  <si>
    <t>Accounts Receivable</t>
  </si>
  <si>
    <t>Inventory</t>
  </si>
  <si>
    <t>Prepaid Expenses</t>
  </si>
  <si>
    <t>Total Current Assets</t>
  </si>
  <si>
    <t>Property, Plant &amp; Equipment</t>
  </si>
  <si>
    <t>Goodwill</t>
  </si>
  <si>
    <t>Total Assets</t>
  </si>
  <si>
    <t>Accounts Payable</t>
  </si>
  <si>
    <t>Accrued Liabilities</t>
  </si>
  <si>
    <t>Total Current Liabilities</t>
  </si>
  <si>
    <t>Existing Debt</t>
  </si>
  <si>
    <t>Total Debt Outstanding</t>
  </si>
  <si>
    <t>Deferred Tax Liability</t>
  </si>
  <si>
    <t>Total Liabilities and Equity</t>
  </si>
  <si>
    <t>Pre-</t>
  </si>
  <si>
    <t>Debits</t>
  </si>
  <si>
    <t>Credits</t>
  </si>
  <si>
    <t>Pro</t>
  </si>
  <si>
    <t>Forma</t>
  </si>
  <si>
    <t>Capitalized Financing Fees</t>
  </si>
  <si>
    <t>Intangible Assets</t>
  </si>
  <si>
    <t>Shareholder Equity</t>
  </si>
  <si>
    <t>Goodwill Calculation</t>
  </si>
  <si>
    <t>Plus: Existing Goodwill</t>
  </si>
  <si>
    <t>Less: Book Value of Equity</t>
  </si>
  <si>
    <t>Step-Up of Equity</t>
  </si>
  <si>
    <t>Less: Write-Up of Intangible Assets</t>
  </si>
  <si>
    <t>Plus: Deferred Tax Liability</t>
  </si>
  <si>
    <t>Pro Forma Goodwill</t>
  </si>
  <si>
    <t>Years</t>
  </si>
  <si>
    <t>% of</t>
  </si>
  <si>
    <t>Step-Up</t>
  </si>
  <si>
    <t>Annual</t>
  </si>
  <si>
    <t>SG&amp;A % of Revenue</t>
  </si>
  <si>
    <t>R&amp;D % of Revenue</t>
  </si>
  <si>
    <t>Balance Sheet Drivers</t>
  </si>
  <si>
    <t>Days AR</t>
  </si>
  <si>
    <t>Days Inventory</t>
  </si>
  <si>
    <t>Prepaid Expenses % of Revenue</t>
  </si>
  <si>
    <t>Days AP</t>
  </si>
  <si>
    <t>Accrued Liabilities % of Revenue</t>
  </si>
  <si>
    <t>Memo: Revenue</t>
  </si>
  <si>
    <t>Memo: COGS</t>
  </si>
  <si>
    <t>Less: Amortization of Intangible Writeup</t>
  </si>
  <si>
    <t>Less: Unwind of Deferred Tax Liability</t>
  </si>
  <si>
    <t>Current Liabilities</t>
  </si>
  <si>
    <t>Working Capital</t>
  </si>
  <si>
    <t>Change in Working Capital</t>
  </si>
  <si>
    <t>Plus: Amortization of Intangible Writeup</t>
  </si>
  <si>
    <t>Current Assets (excl. Cash)</t>
  </si>
  <si>
    <t>Amortized over 7 years</t>
  </si>
  <si>
    <t>60 Days COGS</t>
  </si>
  <si>
    <t>Paid down</t>
  </si>
  <si>
    <t>10% of Step-Up. Amortized over 15 years</t>
  </si>
  <si>
    <t>Balance Sheet Item</t>
  </si>
  <si>
    <t>Balance Sheet Assumptions</t>
  </si>
  <si>
    <t>Total Net Debt</t>
  </si>
  <si>
    <t>Total Net Debt / EBITDA</t>
  </si>
  <si>
    <t>PIK Debt</t>
  </si>
  <si>
    <t>Driver Forecast</t>
  </si>
  <si>
    <t>Price per Unit</t>
  </si>
  <si>
    <t>Units Sold Growth % YoY</t>
  </si>
  <si>
    <t>Units Price Growth % YoY</t>
  </si>
  <si>
    <t>Recap Debt</t>
  </si>
  <si>
    <t>E-Commerce Channel</t>
  </si>
  <si>
    <t>E-Commerce Revenue</t>
  </si>
  <si>
    <t>E-Commerce COGS</t>
  </si>
  <si>
    <t>E-Commerce Gross Profit</t>
  </si>
  <si>
    <t>Inside Sales Team</t>
  </si>
  <si>
    <t>Inside Sales Assumptions</t>
  </si>
  <si>
    <t>E-Commerce Channel Assumptions</t>
  </si>
  <si>
    <t>E-Commerce COGS % of Revenue</t>
  </si>
  <si>
    <t>Inside Sales Revenue</t>
  </si>
  <si>
    <t>Inside Sales Gross Profit</t>
  </si>
  <si>
    <t>Plus: PIK Interest</t>
  </si>
  <si>
    <t>Plus: Recap</t>
  </si>
  <si>
    <t>Year</t>
  </si>
  <si>
    <t>LTM EBITDA</t>
  </si>
  <si>
    <t>Maximum Debt</t>
  </si>
  <si>
    <t>Entry LTM EBITDA</t>
  </si>
  <si>
    <t>Recap Debt Calculation</t>
  </si>
  <si>
    <t>Less: Current Debt</t>
  </si>
  <si>
    <t>Plus: Recap Debt Draw</t>
  </si>
  <si>
    <t>Less: Recap Dividend</t>
  </si>
  <si>
    <t>Less: Interest Expense</t>
  </si>
  <si>
    <t>Total Interest Expense + Amortization</t>
  </si>
  <si>
    <t xml:space="preserve"> </t>
  </si>
  <si>
    <t>LTM Exit Multiple</t>
  </si>
  <si>
    <t>30 Days Sales</t>
  </si>
  <si>
    <t>2.0% of Revenue</t>
  </si>
  <si>
    <t>Inside Sales COGS % of Revenue</t>
  </si>
  <si>
    <t>Inside Sales COGS</t>
  </si>
  <si>
    <t>Less: Inside Sales Salaries</t>
  </si>
  <si>
    <t>Maximum Capacity</t>
  </si>
  <si>
    <t>Available Capacity</t>
  </si>
  <si>
    <t>Cash Available for Senior Notes Paydown</t>
  </si>
  <si>
    <t>Capitalized Financing Fees (Contra Liability)</t>
  </si>
  <si>
    <t>Units Sold (in millions)</t>
  </si>
  <si>
    <t>Inside Sales Groups</t>
  </si>
  <si>
    <t>Sales per Group (in millions)</t>
  </si>
  <si>
    <t>Sales Group Adds</t>
  </si>
  <si>
    <t>Sales Per Group Growth</t>
  </si>
  <si>
    <t>Salary Per Group 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</si>
</sst>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\x_);\(#,##0.0\x\);\-\-_)"/>
    <numFmt numFmtId="165" formatCode="#&quot;E&quot;"/>
    <numFmt numFmtId="166" formatCode="#&quot;A&quot;"/>
    <numFmt numFmtId="167" formatCode="&quot;$&quot;#,##0_);\(&quot;$&quot;#,##0\);\-\-_)"/>
    <numFmt numFmtId="168" formatCode="0.0%"/>
    <numFmt numFmtId="169" formatCode="0.00%_);\(0.00%\);\-\-_)"/>
    <numFmt numFmtId="170" formatCode="&quot;L + &quot;#"/>
    <numFmt numFmtId="171" formatCode="0.0%_);\(0.0%\);\-\-_)"/>
    <numFmt numFmtId="172" formatCode="0%_);\(0%\);\-\-_)"/>
    <numFmt numFmtId="173" formatCode="#,##0_);\(#,##0\);\-\-_)"/>
    <numFmt numFmtId="174" formatCode="#\ &quot;Years&quot;"/>
    <numFmt numFmtId="175" formatCode="&quot;On&quot;;;&quot;Off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i/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i/>
      <u/>
      <sz val="10"/>
      <color theme="1"/>
      <name val="Arial"/>
      <family val="2"/>
    </font>
    <font>
      <sz val="10"/>
      <color rgb="FF00B050"/>
      <name val="Arial"/>
      <family val="2"/>
    </font>
    <font>
      <i/>
      <sz val="10"/>
      <color rgb="FF00B050"/>
      <name val="Arial"/>
      <family val="2"/>
    </font>
    <font>
      <i/>
      <sz val="10"/>
      <name val="Arial"/>
      <family val="2"/>
    </font>
    <font>
      <b/>
      <sz val="10"/>
      <color rgb="FF00B050"/>
      <name val="Arial"/>
      <family val="2"/>
    </font>
    <font>
      <b/>
      <i/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 applyAlignment="1">
      <alignment horizontal="center"/>
    </xf>
    <xf numFmtId="164" fontId="5" fillId="0" borderId="0" xfId="0" applyNumberFormat="1" applyFont="1"/>
    <xf numFmtId="0" fontId="2" fillId="0" borderId="2" xfId="0" applyFont="1" applyBorder="1"/>
    <xf numFmtId="0" fontId="6" fillId="0" borderId="2" xfId="0" applyFont="1" applyBorder="1"/>
    <xf numFmtId="0" fontId="6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2" fillId="4" borderId="0" xfId="0" applyFont="1" applyFill="1"/>
    <xf numFmtId="0" fontId="6" fillId="4" borderId="0" xfId="0" applyFont="1" applyFill="1"/>
    <xf numFmtId="167" fontId="2" fillId="0" borderId="2" xfId="0" applyNumberFormat="1" applyFont="1" applyBorder="1"/>
    <xf numFmtId="167" fontId="2" fillId="0" borderId="0" xfId="0" applyNumberFormat="1" applyFont="1"/>
    <xf numFmtId="167" fontId="6" fillId="0" borderId="0" xfId="0" applyNumberFormat="1" applyFont="1"/>
    <xf numFmtId="167" fontId="6" fillId="0" borderId="2" xfId="0" applyNumberFormat="1" applyFont="1" applyBorder="1"/>
    <xf numFmtId="164" fontId="7" fillId="0" borderId="0" xfId="0" applyNumberFormat="1" applyFont="1"/>
    <xf numFmtId="169" fontId="5" fillId="0" borderId="0" xfId="1" applyNumberFormat="1" applyFont="1"/>
    <xf numFmtId="164" fontId="5" fillId="0" borderId="2" xfId="0" applyNumberFormat="1" applyFont="1" applyBorder="1"/>
    <xf numFmtId="169" fontId="5" fillId="0" borderId="2" xfId="1" applyNumberFormat="1" applyFont="1" applyBorder="1"/>
    <xf numFmtId="170" fontId="5" fillId="0" borderId="2" xfId="0" applyNumberFormat="1" applyFont="1" applyBorder="1" applyAlignment="1">
      <alignment horizontal="center"/>
    </xf>
    <xf numFmtId="169" fontId="5" fillId="0" borderId="0" xfId="1" applyNumberFormat="1" applyFont="1" applyBorder="1"/>
    <xf numFmtId="170" fontId="5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172" fontId="5" fillId="0" borderId="0" xfId="1" applyNumberFormat="1" applyFont="1"/>
    <xf numFmtId="167" fontId="5" fillId="0" borderId="0" xfId="0" applyNumberFormat="1" applyFont="1"/>
    <xf numFmtId="173" fontId="7" fillId="0" borderId="0" xfId="0" applyNumberFormat="1" applyFont="1"/>
    <xf numFmtId="0" fontId="11" fillId="0" borderId="2" xfId="0" applyFont="1" applyBorder="1"/>
    <xf numFmtId="167" fontId="11" fillId="0" borderId="2" xfId="0" applyNumberFormat="1" applyFont="1" applyBorder="1"/>
    <xf numFmtId="173" fontId="5" fillId="0" borderId="0" xfId="0" applyNumberFormat="1" applyFont="1"/>
    <xf numFmtId="173" fontId="7" fillId="0" borderId="0" xfId="0" applyNumberFormat="1" applyFont="1" applyAlignment="1">
      <alignment horizontal="center"/>
    </xf>
    <xf numFmtId="0" fontId="6" fillId="3" borderId="0" xfId="0" applyFont="1" applyFill="1"/>
    <xf numFmtId="174" fontId="5" fillId="0" borderId="0" xfId="0" applyNumberFormat="1" applyFont="1" applyAlignment="1">
      <alignment horizontal="center"/>
    </xf>
    <xf numFmtId="168" fontId="9" fillId="0" borderId="0" xfId="1" applyNumberFormat="1" applyFont="1"/>
    <xf numFmtId="0" fontId="8" fillId="0" borderId="0" xfId="0" applyFont="1" applyAlignment="1">
      <alignment horizontal="center"/>
    </xf>
    <xf numFmtId="165" fontId="6" fillId="0" borderId="0" xfId="0" applyNumberFormat="1" applyFont="1"/>
    <xf numFmtId="0" fontId="12" fillId="0" borderId="2" xfId="0" applyFont="1" applyBorder="1" applyAlignment="1">
      <alignment horizontal="center"/>
    </xf>
    <xf numFmtId="169" fontId="14" fillId="0" borderId="0" xfId="0" applyNumberFormat="1" applyFont="1" applyAlignment="1">
      <alignment horizontal="center"/>
    </xf>
    <xf numFmtId="170" fontId="14" fillId="0" borderId="0" xfId="0" applyNumberFormat="1" applyFont="1" applyAlignment="1">
      <alignment horizontal="center"/>
    </xf>
    <xf numFmtId="168" fontId="15" fillId="0" borderId="0" xfId="1" applyNumberFormat="1" applyFont="1"/>
    <xf numFmtId="171" fontId="14" fillId="0" borderId="0" xfId="0" applyNumberFormat="1" applyFont="1" applyAlignment="1">
      <alignment horizontal="center"/>
    </xf>
    <xf numFmtId="167" fontId="13" fillId="0" borderId="0" xfId="0" applyNumberFormat="1" applyFont="1"/>
    <xf numFmtId="167" fontId="2" fillId="4" borderId="0" xfId="0" applyNumberFormat="1" applyFont="1" applyFill="1"/>
    <xf numFmtId="167" fontId="6" fillId="4" borderId="0" xfId="0" applyNumberFormat="1" applyFont="1" applyFill="1"/>
    <xf numFmtId="0" fontId="2" fillId="4" borderId="2" xfId="0" applyFont="1" applyFill="1" applyBorder="1"/>
    <xf numFmtId="167" fontId="6" fillId="4" borderId="2" xfId="0" applyNumberFormat="1" applyFont="1" applyFill="1" applyBorder="1"/>
    <xf numFmtId="0" fontId="6" fillId="4" borderId="2" xfId="0" applyFont="1" applyFill="1" applyBorder="1"/>
    <xf numFmtId="173" fontId="13" fillId="0" borderId="0" xfId="0" applyNumberFormat="1" applyFont="1"/>
    <xf numFmtId="168" fontId="8" fillId="0" borderId="0" xfId="1" applyNumberFormat="1" applyFont="1"/>
    <xf numFmtId="164" fontId="11" fillId="0" borderId="0" xfId="0" applyNumberFormat="1" applyFont="1"/>
    <xf numFmtId="167" fontId="13" fillId="0" borderId="2" xfId="0" applyNumberFormat="1" applyFont="1" applyBorder="1"/>
    <xf numFmtId="0" fontId="2" fillId="4" borderId="1" xfId="0" applyFont="1" applyFill="1" applyBorder="1"/>
    <xf numFmtId="0" fontId="6" fillId="4" borderId="4" xfId="0" applyFont="1" applyFill="1" applyBorder="1"/>
    <xf numFmtId="168" fontId="6" fillId="4" borderId="5" xfId="1" applyNumberFormat="1" applyFont="1" applyFill="1" applyBorder="1"/>
    <xf numFmtId="0" fontId="6" fillId="4" borderId="6" xfId="0" applyFont="1" applyFill="1" applyBorder="1"/>
    <xf numFmtId="164" fontId="11" fillId="4" borderId="7" xfId="0" applyNumberFormat="1" applyFont="1" applyFill="1" applyBorder="1"/>
    <xf numFmtId="0" fontId="5" fillId="0" borderId="3" xfId="0" applyFont="1" applyBorder="1" applyAlignment="1">
      <alignment horizontal="center"/>
    </xf>
    <xf numFmtId="166" fontId="6" fillId="0" borderId="8" xfId="0" applyNumberFormat="1" applyFont="1" applyBorder="1"/>
    <xf numFmtId="167" fontId="10" fillId="0" borderId="9" xfId="0" applyNumberFormat="1" applyFont="1" applyBorder="1"/>
    <xf numFmtId="0" fontId="2" fillId="0" borderId="8" xfId="0" applyFont="1" applyBorder="1"/>
    <xf numFmtId="0" fontId="2" fillId="0" borderId="9" xfId="0" applyFont="1" applyBorder="1"/>
    <xf numFmtId="167" fontId="6" fillId="0" borderId="9" xfId="0" applyNumberFormat="1" applyFont="1" applyBorder="1"/>
    <xf numFmtId="167" fontId="6" fillId="0" borderId="0" xfId="0" applyNumberFormat="1" applyFont="1" applyAlignment="1">
      <alignment horizontal="center"/>
    </xf>
    <xf numFmtId="167" fontId="5" fillId="0" borderId="2" xfId="0" applyNumberFormat="1" applyFont="1" applyBorder="1"/>
    <xf numFmtId="0" fontId="2" fillId="0" borderId="0" xfId="0" applyFont="1" applyAlignment="1">
      <alignment horizontal="left" indent="1"/>
    </xf>
    <xf numFmtId="167" fontId="16" fillId="0" borderId="0" xfId="0" applyNumberFormat="1" applyFont="1"/>
    <xf numFmtId="168" fontId="5" fillId="0" borderId="0" xfId="1" applyNumberFormat="1" applyFont="1" applyAlignment="1">
      <alignment horizontal="center"/>
    </xf>
    <xf numFmtId="167" fontId="7" fillId="0" borderId="0" xfId="0" applyNumberFormat="1" applyFont="1"/>
    <xf numFmtId="173" fontId="7" fillId="0" borderId="10" xfId="0" applyNumberFormat="1" applyFont="1" applyBorder="1"/>
    <xf numFmtId="167" fontId="2" fillId="0" borderId="8" xfId="0" applyNumberFormat="1" applyFont="1" applyBorder="1"/>
    <xf numFmtId="167" fontId="2" fillId="0" borderId="11" xfId="0" applyNumberFormat="1" applyFont="1" applyBorder="1"/>
    <xf numFmtId="168" fontId="15" fillId="0" borderId="8" xfId="1" applyNumberFormat="1" applyFont="1" applyBorder="1"/>
    <xf numFmtId="167" fontId="14" fillId="0" borderId="0" xfId="0" applyNumberFormat="1" applyFont="1"/>
    <xf numFmtId="173" fontId="2" fillId="0" borderId="0" xfId="0" applyNumberFormat="1" applyFont="1"/>
    <xf numFmtId="0" fontId="6" fillId="4" borderId="12" xfId="0" applyFont="1" applyFill="1" applyBorder="1"/>
    <xf numFmtId="0" fontId="2" fillId="4" borderId="13" xfId="0" applyFont="1" applyFill="1" applyBorder="1"/>
    <xf numFmtId="167" fontId="11" fillId="4" borderId="13" xfId="0" applyNumberFormat="1" applyFont="1" applyFill="1" applyBorder="1"/>
    <xf numFmtId="167" fontId="11" fillId="4" borderId="14" xfId="0" applyNumberFormat="1" applyFont="1" applyFill="1" applyBorder="1"/>
    <xf numFmtId="167" fontId="11" fillId="0" borderId="0" xfId="0" applyNumberFormat="1" applyFont="1"/>
    <xf numFmtId="0" fontId="4" fillId="0" borderId="8" xfId="0" applyFont="1" applyBorder="1" applyAlignment="1">
      <alignment horizontal="center"/>
    </xf>
    <xf numFmtId="167" fontId="13" fillId="0" borderId="9" xfId="0" applyNumberFormat="1" applyFont="1" applyBorder="1"/>
    <xf numFmtId="173" fontId="13" fillId="0" borderId="8" xfId="0" applyNumberFormat="1" applyFont="1" applyBorder="1"/>
    <xf numFmtId="167" fontId="11" fillId="0" borderId="9" xfId="0" applyNumberFormat="1" applyFont="1" applyBorder="1"/>
    <xf numFmtId="167" fontId="13" fillId="0" borderId="8" xfId="0" applyNumberFormat="1" applyFont="1" applyBorder="1"/>
    <xf numFmtId="167" fontId="11" fillId="4" borderId="15" xfId="0" applyNumberFormat="1" applyFont="1" applyFill="1" applyBorder="1"/>
    <xf numFmtId="164" fontId="11" fillId="0" borderId="8" xfId="0" applyNumberFormat="1" applyFont="1" applyBorder="1"/>
    <xf numFmtId="167" fontId="7" fillId="0" borderId="8" xfId="0" applyNumberFormat="1" applyFont="1" applyBorder="1"/>
    <xf numFmtId="173" fontId="2" fillId="0" borderId="8" xfId="0" applyNumberFormat="1" applyFont="1" applyBorder="1"/>
    <xf numFmtId="173" fontId="6" fillId="0" borderId="8" xfId="0" applyNumberFormat="1" applyFont="1" applyBorder="1"/>
    <xf numFmtId="0" fontId="6" fillId="4" borderId="13" xfId="0" applyFont="1" applyFill="1" applyBorder="1"/>
    <xf numFmtId="167" fontId="6" fillId="4" borderId="13" xfId="0" applyNumberFormat="1" applyFont="1" applyFill="1" applyBorder="1"/>
    <xf numFmtId="167" fontId="6" fillId="4" borderId="14" xfId="0" applyNumberFormat="1" applyFont="1" applyFill="1" applyBorder="1"/>
    <xf numFmtId="167" fontId="6" fillId="0" borderId="11" xfId="0" applyNumberFormat="1" applyFont="1" applyBorder="1"/>
    <xf numFmtId="0" fontId="4" fillId="4" borderId="2" xfId="0" applyFont="1" applyFill="1" applyBorder="1"/>
    <xf numFmtId="0" fontId="6" fillId="4" borderId="9" xfId="0" applyFont="1" applyFill="1" applyBorder="1"/>
    <xf numFmtId="173" fontId="5" fillId="0" borderId="8" xfId="0" applyNumberFormat="1" applyFont="1" applyBorder="1"/>
    <xf numFmtId="167" fontId="5" fillId="0" borderId="8" xfId="0" applyNumberFormat="1" applyFont="1" applyBorder="1"/>
    <xf numFmtId="0" fontId="12" fillId="0" borderId="0" xfId="0" applyFont="1" applyAlignment="1">
      <alignment horizontal="center"/>
    </xf>
    <xf numFmtId="0" fontId="5" fillId="0" borderId="2" xfId="0" applyFont="1" applyBorder="1"/>
    <xf numFmtId="164" fontId="2" fillId="0" borderId="0" xfId="0" applyNumberFormat="1" applyFont="1" applyAlignment="1">
      <alignment horizontal="center"/>
    </xf>
    <xf numFmtId="0" fontId="2" fillId="3" borderId="0" xfId="0" applyFont="1" applyFill="1"/>
    <xf numFmtId="0" fontId="17" fillId="3" borderId="0" xfId="0" applyFont="1" applyFill="1"/>
    <xf numFmtId="0" fontId="2" fillId="0" borderId="4" xfId="0" applyFont="1" applyBorder="1"/>
    <xf numFmtId="175" fontId="2" fillId="5" borderId="3" xfId="0" applyNumberFormat="1" applyFont="1" applyFill="1" applyBorder="1" applyAlignment="1">
      <alignment horizontal="center"/>
    </xf>
    <xf numFmtId="173" fontId="7" fillId="0" borderId="8" xfId="0" applyNumberFormat="1" applyFont="1" applyBorder="1"/>
    <xf numFmtId="173" fontId="7" fillId="0" borderId="3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67" fontId="1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43BA-A171-48C1-897B-33DB17C48C0D}">
  <dimension ref="B2:K31"/>
  <sheetViews>
    <sheetView showGridLines="0" view="pageBreakPreview" zoomScaleNormal="115" zoomScaleSheetLayoutView="100" workbookViewId="0">
      <selection activeCell="H4" sqref="H4:H29"/>
    </sheetView>
  </sheetViews>
  <sheetFormatPr defaultColWidth="9.1796875" defaultRowHeight="12.5" x14ac:dyDescent="0.25"/>
  <cols>
    <col min="1" max="16384" width="9.1796875" style="1"/>
  </cols>
  <sheetData>
    <row r="2" spans="2:11" ht="13" x14ac:dyDescent="0.3">
      <c r="B2" s="2" t="s">
        <v>142</v>
      </c>
      <c r="C2" s="2"/>
      <c r="D2" s="2"/>
      <c r="E2" s="2"/>
      <c r="F2" s="2"/>
      <c r="G2" s="2"/>
      <c r="H2" s="2"/>
      <c r="I2" s="2"/>
      <c r="J2" s="2"/>
      <c r="K2" s="2"/>
    </row>
    <row r="3" spans="2:11" ht="13" x14ac:dyDescent="0.3">
      <c r="B3" s="7"/>
      <c r="C3" s="7"/>
      <c r="D3" s="7"/>
      <c r="E3" s="7"/>
      <c r="F3" s="65" t="s">
        <v>101</v>
      </c>
    </row>
    <row r="4" spans="2:11" ht="13" x14ac:dyDescent="0.3">
      <c r="B4" s="7" t="s">
        <v>141</v>
      </c>
      <c r="C4" s="7"/>
      <c r="D4" s="7"/>
      <c r="E4" s="7"/>
      <c r="F4" s="65" t="s">
        <v>59</v>
      </c>
      <c r="H4" s="7" t="s">
        <v>68</v>
      </c>
    </row>
    <row r="5" spans="2:11" ht="13" x14ac:dyDescent="0.3">
      <c r="B5" s="5" t="s">
        <v>34</v>
      </c>
      <c r="C5" s="6"/>
      <c r="D5" s="6"/>
      <c r="E5" s="6"/>
      <c r="F5" s="53">
        <f>'LBO Model'!F55</f>
        <v>200</v>
      </c>
      <c r="G5" s="5"/>
      <c r="H5" s="5"/>
      <c r="I5" s="5"/>
      <c r="J5" s="5"/>
      <c r="K5" s="5"/>
    </row>
    <row r="6" spans="2:11" ht="13" x14ac:dyDescent="0.3">
      <c r="B6" s="1" t="s">
        <v>87</v>
      </c>
      <c r="C6" s="7"/>
      <c r="D6" s="7"/>
      <c r="E6" s="7"/>
      <c r="F6" s="50">
        <f>'LBO Model'!F56</f>
        <v>200</v>
      </c>
      <c r="H6" s="11" t="s">
        <v>175</v>
      </c>
    </row>
    <row r="7" spans="2:11" ht="13" x14ac:dyDescent="0.3">
      <c r="B7" s="1" t="s">
        <v>88</v>
      </c>
      <c r="C7" s="7"/>
      <c r="D7" s="7"/>
      <c r="E7" s="7"/>
      <c r="F7" s="50">
        <f>'LBO Model'!F57</f>
        <v>250</v>
      </c>
      <c r="H7" s="11" t="s">
        <v>138</v>
      </c>
    </row>
    <row r="8" spans="2:11" ht="13" x14ac:dyDescent="0.3">
      <c r="B8" s="1" t="s">
        <v>89</v>
      </c>
      <c r="C8" s="7"/>
      <c r="D8" s="7"/>
      <c r="E8" s="7"/>
      <c r="F8" s="50">
        <f>'LBO Model'!F58</f>
        <v>50</v>
      </c>
      <c r="H8" s="11" t="s">
        <v>176</v>
      </c>
    </row>
    <row r="9" spans="2:11" ht="13" x14ac:dyDescent="0.3">
      <c r="B9" s="6" t="s">
        <v>90</v>
      </c>
      <c r="C9" s="6"/>
      <c r="D9" s="6"/>
      <c r="E9" s="6"/>
      <c r="F9" s="17">
        <f>SUM(F5:F8)</f>
        <v>700</v>
      </c>
      <c r="H9" s="11"/>
    </row>
    <row r="10" spans="2:11" ht="13" x14ac:dyDescent="0.3">
      <c r="C10" s="7"/>
      <c r="D10" s="7"/>
      <c r="E10" s="7"/>
      <c r="F10" s="16"/>
      <c r="H10" s="11"/>
    </row>
    <row r="11" spans="2:11" ht="13" x14ac:dyDescent="0.3">
      <c r="B11" s="1" t="s">
        <v>91</v>
      </c>
      <c r="C11" s="7"/>
      <c r="D11" s="7"/>
      <c r="E11" s="7"/>
      <c r="F11" s="44">
        <f>'LBO Model'!F61</f>
        <v>2000</v>
      </c>
      <c r="H11" s="11"/>
    </row>
    <row r="12" spans="2:11" ht="13" x14ac:dyDescent="0.3">
      <c r="B12" s="1" t="s">
        <v>106</v>
      </c>
      <c r="C12" s="7"/>
      <c r="D12" s="7"/>
      <c r="E12" s="7"/>
      <c r="F12" s="50">
        <f>'LBO Model'!F77</f>
        <v>0</v>
      </c>
      <c r="H12" s="11" t="s">
        <v>137</v>
      </c>
    </row>
    <row r="13" spans="2:11" ht="13" x14ac:dyDescent="0.3">
      <c r="B13" s="1" t="s">
        <v>92</v>
      </c>
      <c r="C13" s="7"/>
      <c r="D13" s="7"/>
      <c r="E13" s="7"/>
      <c r="F13" s="50">
        <f>'LBO Model'!F62</f>
        <v>1300</v>
      </c>
      <c r="H13" s="11"/>
    </row>
    <row r="14" spans="2:11" ht="13" x14ac:dyDescent="0.3">
      <c r="B14" s="1" t="s">
        <v>107</v>
      </c>
      <c r="C14" s="7"/>
      <c r="D14" s="7"/>
      <c r="E14" s="7"/>
      <c r="F14" s="50">
        <f>'LBO Model'!F63</f>
        <v>0</v>
      </c>
      <c r="H14" s="11" t="s">
        <v>140</v>
      </c>
    </row>
    <row r="15" spans="2:11" ht="13" x14ac:dyDescent="0.3">
      <c r="B15" s="77" t="s">
        <v>93</v>
      </c>
      <c r="C15" s="92"/>
      <c r="D15" s="92"/>
      <c r="E15" s="92"/>
      <c r="F15" s="94">
        <f>SUM(F11:F14)+F9</f>
        <v>4000</v>
      </c>
      <c r="H15" s="11"/>
    </row>
    <row r="16" spans="2:11" ht="13" x14ac:dyDescent="0.3">
      <c r="C16" s="7"/>
      <c r="D16" s="7"/>
      <c r="E16" s="7"/>
      <c r="F16" s="28"/>
      <c r="H16" s="11"/>
    </row>
    <row r="17" spans="2:8" ht="13" x14ac:dyDescent="0.3">
      <c r="B17" s="1" t="s">
        <v>94</v>
      </c>
      <c r="C17" s="7"/>
      <c r="D17" s="7"/>
      <c r="E17" s="7"/>
      <c r="F17" s="44">
        <f>'LBO Model'!F66</f>
        <v>200</v>
      </c>
      <c r="H17" s="11" t="s">
        <v>138</v>
      </c>
    </row>
    <row r="18" spans="2:8" ht="13" x14ac:dyDescent="0.3">
      <c r="B18" s="1" t="s">
        <v>95</v>
      </c>
      <c r="C18" s="7"/>
      <c r="D18" s="7"/>
      <c r="E18" s="7"/>
      <c r="F18" s="50">
        <f>'LBO Model'!F67</f>
        <v>50</v>
      </c>
      <c r="H18" s="11" t="s">
        <v>176</v>
      </c>
    </row>
    <row r="19" spans="2:8" ht="13" x14ac:dyDescent="0.3">
      <c r="B19" s="6" t="s">
        <v>96</v>
      </c>
      <c r="C19" s="6"/>
      <c r="D19" s="6"/>
      <c r="E19" s="6"/>
      <c r="F19" s="17">
        <f>SUM(F17:F18)</f>
        <v>250</v>
      </c>
      <c r="H19" s="11"/>
    </row>
    <row r="20" spans="2:8" ht="13" x14ac:dyDescent="0.3">
      <c r="C20" s="7"/>
      <c r="D20" s="7"/>
      <c r="E20" s="7"/>
      <c r="F20" s="16"/>
      <c r="H20" s="11"/>
    </row>
    <row r="21" spans="2:8" ht="13" x14ac:dyDescent="0.3">
      <c r="B21" s="1" t="s">
        <v>97</v>
      </c>
      <c r="C21" s="7"/>
      <c r="D21" s="7"/>
      <c r="E21" s="7"/>
      <c r="F21" s="44">
        <f>'LBO Model'!F70</f>
        <v>2500</v>
      </c>
      <c r="H21" s="11" t="s">
        <v>139</v>
      </c>
    </row>
    <row r="22" spans="2:8" ht="13" x14ac:dyDescent="0.3">
      <c r="B22" s="1" t="s">
        <v>23</v>
      </c>
      <c r="C22" s="7"/>
      <c r="D22" s="7"/>
      <c r="E22" s="7"/>
      <c r="F22" s="50">
        <f>'LBO Model'!F71</f>
        <v>0</v>
      </c>
      <c r="H22" s="11"/>
    </row>
    <row r="23" spans="2:8" ht="13" x14ac:dyDescent="0.3">
      <c r="B23" s="1" t="s">
        <v>150</v>
      </c>
      <c r="C23" s="7"/>
      <c r="D23" s="7"/>
      <c r="E23" s="7"/>
      <c r="F23" s="50">
        <f>'LBO Model'!F72</f>
        <v>0</v>
      </c>
      <c r="H23" s="11"/>
    </row>
    <row r="24" spans="2:8" ht="13" x14ac:dyDescent="0.3">
      <c r="B24" s="1" t="s">
        <v>29</v>
      </c>
      <c r="C24" s="7"/>
      <c r="D24" s="7"/>
      <c r="E24" s="7"/>
      <c r="F24" s="50">
        <f>'LBO Model'!F73</f>
        <v>0</v>
      </c>
      <c r="H24" s="11"/>
    </row>
    <row r="25" spans="2:8" ht="13" x14ac:dyDescent="0.3">
      <c r="B25" s="1" t="s">
        <v>28</v>
      </c>
      <c r="C25" s="7"/>
      <c r="D25" s="7"/>
      <c r="E25" s="7"/>
      <c r="F25" s="50">
        <f>'LBO Model'!F74</f>
        <v>0</v>
      </c>
      <c r="H25" s="11"/>
    </row>
    <row r="26" spans="2:8" ht="13" x14ac:dyDescent="0.3">
      <c r="B26" s="6" t="s">
        <v>98</v>
      </c>
      <c r="C26" s="6"/>
      <c r="D26" s="6"/>
      <c r="E26" s="6"/>
      <c r="F26" s="17">
        <f>SUM(F21:F25)</f>
        <v>2500</v>
      </c>
      <c r="H26" s="11"/>
    </row>
    <row r="27" spans="2:8" ht="13" x14ac:dyDescent="0.3">
      <c r="C27" s="7"/>
      <c r="D27" s="7"/>
      <c r="E27" s="7"/>
      <c r="F27" s="16"/>
      <c r="H27" s="11"/>
    </row>
    <row r="28" spans="2:8" ht="13" x14ac:dyDescent="0.3">
      <c r="B28" s="1" t="s">
        <v>99</v>
      </c>
      <c r="C28" s="7"/>
      <c r="D28" s="7"/>
      <c r="E28" s="7"/>
      <c r="F28" s="44">
        <f>'LBO Model'!F78</f>
        <v>0</v>
      </c>
      <c r="H28" s="11" t="s">
        <v>140</v>
      </c>
    </row>
    <row r="29" spans="2:8" ht="13" x14ac:dyDescent="0.3">
      <c r="C29" s="7"/>
      <c r="D29" s="7"/>
      <c r="E29" s="7"/>
      <c r="F29" s="68"/>
    </row>
    <row r="30" spans="2:8" ht="13" x14ac:dyDescent="0.3">
      <c r="B30" s="1" t="s">
        <v>108</v>
      </c>
      <c r="C30" s="7"/>
      <c r="D30" s="7"/>
      <c r="E30" s="7"/>
      <c r="F30" s="44">
        <f>'LBO Model'!F80</f>
        <v>1250</v>
      </c>
    </row>
    <row r="31" spans="2:8" ht="13" x14ac:dyDescent="0.3">
      <c r="B31" s="77" t="s">
        <v>100</v>
      </c>
      <c r="C31" s="92"/>
      <c r="D31" s="92"/>
      <c r="E31" s="92"/>
      <c r="F31" s="94">
        <f>F26+F28+F30+F19</f>
        <v>4000</v>
      </c>
    </row>
  </sheetData>
  <pageMargins left="0.7" right="0.7" top="0.75" bottom="0.75" header="0.3" footer="0.3"/>
  <pageSetup scale="98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238B-6AA7-499C-ABA6-4423EE0973CA}">
  <dimension ref="A1:O309"/>
  <sheetViews>
    <sheetView showGridLines="0" tabSelected="1" view="pageBreakPreview" zoomScale="70" zoomScaleNormal="115" zoomScaleSheetLayoutView="70" workbookViewId="0">
      <selection activeCell="L9" sqref="L9"/>
    </sheetView>
  </sheetViews>
  <sheetFormatPr defaultColWidth="9.1796875" defaultRowHeight="12.5" x14ac:dyDescent="0.25"/>
  <cols>
    <col min="1" max="16384" width="9.1796875" style="1"/>
  </cols>
  <sheetData>
    <row r="1" spans="1:15" x14ac:dyDescent="0.25">
      <c r="A1" s="1" t="s">
        <v>173</v>
      </c>
    </row>
    <row r="4" spans="1:15" ht="13" x14ac:dyDescent="0.3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O4" s="9" t="s">
        <v>79</v>
      </c>
    </row>
    <row r="5" spans="1:15" x14ac:dyDescent="0.25">
      <c r="O5" s="59">
        <v>1</v>
      </c>
    </row>
    <row r="6" spans="1:15" ht="13" x14ac:dyDescent="0.3">
      <c r="B6" s="34" t="s">
        <v>51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1:15" ht="13" x14ac:dyDescent="0.3">
      <c r="B7" s="8" t="s">
        <v>61</v>
      </c>
    </row>
    <row r="8" spans="1:15" ht="13" x14ac:dyDescent="0.3">
      <c r="B8" s="1" t="s">
        <v>166</v>
      </c>
      <c r="F8" s="44">
        <f>G129</f>
        <v>500</v>
      </c>
      <c r="I8" s="7" t="s">
        <v>80</v>
      </c>
    </row>
    <row r="9" spans="1:15" ht="13" x14ac:dyDescent="0.3">
      <c r="B9" s="1" t="s">
        <v>2</v>
      </c>
      <c r="F9" s="4">
        <v>10</v>
      </c>
      <c r="I9" s="55" t="s">
        <v>39</v>
      </c>
      <c r="J9" s="47"/>
      <c r="K9" s="47"/>
      <c r="L9" s="47"/>
      <c r="M9" s="56"/>
    </row>
    <row r="10" spans="1:15" ht="13" x14ac:dyDescent="0.3">
      <c r="B10" s="6" t="s">
        <v>3</v>
      </c>
      <c r="C10" s="6"/>
      <c r="D10" s="6"/>
      <c r="E10" s="6"/>
      <c r="F10" s="17">
        <f>F8*F9</f>
        <v>5000</v>
      </c>
      <c r="I10" s="57" t="s">
        <v>40</v>
      </c>
      <c r="J10" s="54"/>
      <c r="K10" s="54"/>
      <c r="L10" s="54"/>
      <c r="M10" s="58"/>
    </row>
    <row r="11" spans="1:15" ht="13" x14ac:dyDescent="0.3">
      <c r="B11" s="1" t="s">
        <v>64</v>
      </c>
      <c r="C11" s="7"/>
      <c r="D11" s="7"/>
      <c r="E11" s="7"/>
      <c r="F11" s="44">
        <f>-F75</f>
        <v>-2500</v>
      </c>
    </row>
    <row r="12" spans="1:15" ht="13" x14ac:dyDescent="0.3">
      <c r="B12" s="1" t="s">
        <v>65</v>
      </c>
      <c r="C12" s="7"/>
      <c r="D12" s="7"/>
      <c r="E12" s="7"/>
      <c r="F12" s="50">
        <f>F55</f>
        <v>200</v>
      </c>
    </row>
    <row r="13" spans="1:15" ht="13" x14ac:dyDescent="0.3">
      <c r="B13" s="6" t="s">
        <v>38</v>
      </c>
      <c r="C13" s="6"/>
      <c r="D13" s="6"/>
      <c r="E13" s="6"/>
      <c r="F13" s="17">
        <f>SUM(F10:F12)</f>
        <v>2700</v>
      </c>
    </row>
    <row r="15" spans="1:15" ht="13" x14ac:dyDescent="0.3">
      <c r="B15" s="8" t="s">
        <v>59</v>
      </c>
      <c r="F15" s="15"/>
    </row>
    <row r="16" spans="1:15" x14ac:dyDescent="0.25">
      <c r="B16" s="1" t="s">
        <v>174</v>
      </c>
      <c r="F16" s="4">
        <v>10</v>
      </c>
    </row>
    <row r="17" spans="2:13" x14ac:dyDescent="0.25">
      <c r="B17" s="1" t="s">
        <v>58</v>
      </c>
      <c r="F17" s="27">
        <v>0.38</v>
      </c>
    </row>
    <row r="18" spans="2:13" x14ac:dyDescent="0.25">
      <c r="B18" s="1" t="s">
        <v>45</v>
      </c>
      <c r="F18" s="28">
        <v>100</v>
      </c>
    </row>
    <row r="19" spans="2:13" x14ac:dyDescent="0.25">
      <c r="B19" s="1" t="s">
        <v>47</v>
      </c>
      <c r="F19" s="28">
        <v>25</v>
      </c>
    </row>
    <row r="21" spans="2:13" ht="13" x14ac:dyDescent="0.3">
      <c r="B21" s="8" t="s">
        <v>60</v>
      </c>
      <c r="F21" s="10" t="s">
        <v>62</v>
      </c>
    </row>
    <row r="22" spans="2:13" ht="13" x14ac:dyDescent="0.3">
      <c r="B22" s="1" t="s">
        <v>54</v>
      </c>
      <c r="F22" s="4">
        <v>6</v>
      </c>
      <c r="H22" s="10" t="s">
        <v>57</v>
      </c>
      <c r="I22" s="10" t="s">
        <v>56</v>
      </c>
      <c r="J22" s="10" t="s">
        <v>66</v>
      </c>
      <c r="K22" s="10" t="s">
        <v>67</v>
      </c>
      <c r="L22" s="10" t="s">
        <v>163</v>
      </c>
      <c r="M22" s="10" t="s">
        <v>0</v>
      </c>
    </row>
    <row r="23" spans="2:13" x14ac:dyDescent="0.25">
      <c r="B23" s="25" t="s">
        <v>150</v>
      </c>
      <c r="C23" s="5"/>
      <c r="D23" s="106">
        <v>1</v>
      </c>
      <c r="E23" s="105"/>
      <c r="F23" s="20">
        <v>0</v>
      </c>
      <c r="G23" s="5"/>
      <c r="H23" s="21">
        <v>0.01</v>
      </c>
      <c r="I23" s="22">
        <v>400</v>
      </c>
      <c r="J23" s="21">
        <v>0</v>
      </c>
      <c r="K23" s="14">
        <f>J23*F32</f>
        <v>0</v>
      </c>
      <c r="L23" s="101">
        <v>2023</v>
      </c>
      <c r="M23" s="20">
        <v>6</v>
      </c>
    </row>
    <row r="24" spans="2:13" x14ac:dyDescent="0.25">
      <c r="B24" s="26" t="s">
        <v>145</v>
      </c>
      <c r="F24" s="18">
        <f>F33/F29</f>
        <v>3</v>
      </c>
      <c r="H24" s="19">
        <v>0</v>
      </c>
      <c r="I24" s="19">
        <v>0.08</v>
      </c>
      <c r="J24" s="23">
        <v>0.02</v>
      </c>
      <c r="K24" s="29">
        <f t="shared" ref="K24:K25" si="0">J24*F33</f>
        <v>30</v>
      </c>
    </row>
    <row r="25" spans="2:13" x14ac:dyDescent="0.25">
      <c r="B25" s="26" t="s">
        <v>28</v>
      </c>
      <c r="F25" s="18">
        <f>MAX(F22-F24,0)</f>
        <v>3</v>
      </c>
      <c r="H25" s="19">
        <v>0</v>
      </c>
      <c r="I25" s="19">
        <v>7.0000000000000007E-2</v>
      </c>
      <c r="J25" s="19">
        <v>0.02</v>
      </c>
      <c r="K25" s="29">
        <f t="shared" si="0"/>
        <v>30</v>
      </c>
    </row>
    <row r="27" spans="2:13" x14ac:dyDescent="0.25">
      <c r="B27" s="26"/>
      <c r="F27" s="18"/>
      <c r="H27" s="19"/>
      <c r="I27" s="19"/>
      <c r="J27" s="19"/>
    </row>
    <row r="28" spans="2:13" x14ac:dyDescent="0.25">
      <c r="B28" s="1" t="s">
        <v>55</v>
      </c>
      <c r="F28" s="28">
        <v>300</v>
      </c>
      <c r="H28" s="23">
        <v>0.01</v>
      </c>
      <c r="I28" s="24">
        <v>400</v>
      </c>
      <c r="J28" s="19">
        <v>0</v>
      </c>
      <c r="K28" s="29">
        <f>J28*F28</f>
        <v>0</v>
      </c>
    </row>
    <row r="29" spans="2:13" x14ac:dyDescent="0.25">
      <c r="B29" s="1" t="s">
        <v>63</v>
      </c>
      <c r="F29" s="44">
        <f>G129</f>
        <v>500</v>
      </c>
      <c r="H29" s="23"/>
      <c r="I29" s="24"/>
      <c r="J29" s="19"/>
    </row>
    <row r="30" spans="2:13" x14ac:dyDescent="0.25">
      <c r="E30" s="15"/>
    </row>
    <row r="31" spans="2:13" ht="13" x14ac:dyDescent="0.3">
      <c r="B31" s="34" t="s">
        <v>41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</row>
    <row r="32" spans="2:13" ht="13" x14ac:dyDescent="0.3">
      <c r="B32" s="8" t="s">
        <v>42</v>
      </c>
      <c r="I32" s="8" t="s">
        <v>48</v>
      </c>
    </row>
    <row r="33" spans="2:15" x14ac:dyDescent="0.25">
      <c r="B33" s="1" t="s">
        <v>145</v>
      </c>
      <c r="F33" s="28">
        <v>1500</v>
      </c>
      <c r="I33" s="1" t="s">
        <v>43</v>
      </c>
      <c r="M33" s="44">
        <f>F13</f>
        <v>2700</v>
      </c>
    </row>
    <row r="34" spans="2:15" x14ac:dyDescent="0.25">
      <c r="B34" s="1" t="s">
        <v>28</v>
      </c>
      <c r="F34" s="29">
        <f>F25*$F$29</f>
        <v>1500</v>
      </c>
      <c r="I34" s="1" t="s">
        <v>44</v>
      </c>
      <c r="M34" s="29">
        <f>-SUM(F11:F12)</f>
        <v>2300</v>
      </c>
    </row>
    <row r="35" spans="2:15" ht="13" x14ac:dyDescent="0.3">
      <c r="B35" s="30" t="s">
        <v>35</v>
      </c>
      <c r="C35" s="30"/>
      <c r="D35" s="30"/>
      <c r="E35" s="30"/>
      <c r="F35" s="31">
        <f>SUM(F33:F34)</f>
        <v>3000</v>
      </c>
      <c r="I35" s="1" t="s">
        <v>45</v>
      </c>
      <c r="M35" s="50">
        <f>F18</f>
        <v>100</v>
      </c>
    </row>
    <row r="36" spans="2:15" x14ac:dyDescent="0.25">
      <c r="I36" s="1" t="s">
        <v>46</v>
      </c>
      <c r="M36" s="29">
        <f>SUM(K23:K28)</f>
        <v>60</v>
      </c>
    </row>
    <row r="37" spans="2:15" x14ac:dyDescent="0.25">
      <c r="B37" s="1" t="s">
        <v>50</v>
      </c>
      <c r="F37" s="15">
        <f>MAX(F38-F35,0)</f>
        <v>2185</v>
      </c>
      <c r="I37" s="1" t="s">
        <v>47</v>
      </c>
      <c r="M37" s="50">
        <f>F19</f>
        <v>25</v>
      </c>
      <c r="O37" s="9" t="s">
        <v>53</v>
      </c>
    </row>
    <row r="38" spans="2:15" ht="13" x14ac:dyDescent="0.3">
      <c r="B38" s="6" t="s">
        <v>52</v>
      </c>
      <c r="C38" s="6"/>
      <c r="D38" s="6"/>
      <c r="E38" s="6"/>
      <c r="F38" s="17">
        <f>M38</f>
        <v>5185</v>
      </c>
      <c r="I38" s="6" t="s">
        <v>49</v>
      </c>
      <c r="J38" s="6"/>
      <c r="K38" s="6"/>
      <c r="L38" s="6"/>
      <c r="M38" s="17">
        <f>SUM(M33:M37)</f>
        <v>5185</v>
      </c>
      <c r="O38" s="33">
        <f>M38-F38</f>
        <v>0</v>
      </c>
    </row>
    <row r="39" spans="2:15" ht="13" x14ac:dyDescent="0.3">
      <c r="B39" s="7"/>
      <c r="C39" s="7"/>
      <c r="D39" s="7"/>
      <c r="E39" s="7"/>
      <c r="F39" s="16"/>
      <c r="I39" s="7"/>
      <c r="J39" s="7"/>
      <c r="K39" s="7"/>
      <c r="L39" s="7"/>
      <c r="M39" s="16"/>
      <c r="O39" s="33"/>
    </row>
    <row r="40" spans="2:15" ht="13" x14ac:dyDescent="0.3">
      <c r="B40" s="34" t="s">
        <v>109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33"/>
    </row>
    <row r="41" spans="2:15" ht="13" x14ac:dyDescent="0.3">
      <c r="B41" s="7"/>
      <c r="C41" s="7"/>
      <c r="D41" s="7"/>
      <c r="E41" s="7"/>
      <c r="F41" s="16"/>
      <c r="I41" s="7"/>
      <c r="J41" s="7"/>
      <c r="K41" s="7"/>
      <c r="L41" s="7"/>
      <c r="M41" s="16"/>
      <c r="O41" s="33"/>
    </row>
    <row r="42" spans="2:15" ht="13" x14ac:dyDescent="0.3">
      <c r="B42" s="1" t="s">
        <v>43</v>
      </c>
      <c r="C42" s="7"/>
      <c r="D42" s="7"/>
      <c r="E42" s="7"/>
      <c r="F42" s="44">
        <f>M33</f>
        <v>2700</v>
      </c>
      <c r="I42" s="7"/>
      <c r="J42" s="7"/>
      <c r="K42" s="7"/>
      <c r="L42" s="7"/>
      <c r="M42" s="16"/>
      <c r="O42" s="33"/>
    </row>
    <row r="43" spans="2:15" ht="13" x14ac:dyDescent="0.3">
      <c r="B43" s="67" t="s">
        <v>111</v>
      </c>
      <c r="C43" s="7"/>
      <c r="D43" s="7"/>
      <c r="E43" s="7"/>
      <c r="F43" s="50">
        <f>-F80</f>
        <v>-1250</v>
      </c>
      <c r="I43" s="7"/>
      <c r="J43" s="7"/>
      <c r="K43" s="7"/>
      <c r="L43" s="7"/>
      <c r="M43" s="16"/>
      <c r="O43" s="33"/>
    </row>
    <row r="44" spans="2:15" ht="13" x14ac:dyDescent="0.3">
      <c r="B44" s="67" t="s">
        <v>110</v>
      </c>
      <c r="C44" s="7"/>
      <c r="D44" s="7"/>
      <c r="E44" s="7"/>
      <c r="F44" s="50">
        <f>F62</f>
        <v>1300</v>
      </c>
      <c r="H44" s="10" t="s">
        <v>117</v>
      </c>
      <c r="I44" s="7"/>
      <c r="J44" s="7"/>
      <c r="K44" s="7"/>
      <c r="L44" s="7"/>
      <c r="M44" s="16"/>
      <c r="O44" s="33"/>
    </row>
    <row r="45" spans="2:15" ht="13" x14ac:dyDescent="0.3">
      <c r="B45" s="6" t="s">
        <v>112</v>
      </c>
      <c r="C45" s="6"/>
      <c r="D45" s="6"/>
      <c r="E45" s="6"/>
      <c r="F45" s="17">
        <f>SUM(F42:F44)</f>
        <v>2750</v>
      </c>
      <c r="H45" s="3" t="s">
        <v>118</v>
      </c>
      <c r="I45" s="3" t="s">
        <v>116</v>
      </c>
      <c r="J45" s="3" t="s">
        <v>119</v>
      </c>
      <c r="K45" s="7"/>
      <c r="L45" s="7"/>
      <c r="M45" s="16"/>
      <c r="O45" s="33"/>
    </row>
    <row r="46" spans="2:15" ht="13" x14ac:dyDescent="0.3">
      <c r="B46" s="67" t="s">
        <v>113</v>
      </c>
      <c r="C46" s="7"/>
      <c r="D46" s="7"/>
      <c r="E46" s="7"/>
      <c r="F46" s="29">
        <f>-H46*$F$45</f>
        <v>-275</v>
      </c>
      <c r="H46" s="69">
        <v>0.1</v>
      </c>
      <c r="I46" s="35">
        <v>15</v>
      </c>
      <c r="J46" s="70">
        <f>-F46/I46</f>
        <v>18.333333333333332</v>
      </c>
      <c r="K46" s="7"/>
      <c r="L46" s="7"/>
      <c r="M46" s="16"/>
      <c r="O46" s="33"/>
    </row>
    <row r="47" spans="2:15" ht="13" x14ac:dyDescent="0.3">
      <c r="B47" s="67" t="s">
        <v>114</v>
      </c>
      <c r="C47" s="7"/>
      <c r="D47" s="7"/>
      <c r="E47" s="7"/>
      <c r="F47" s="29">
        <f>-F17*$F$46</f>
        <v>104.5</v>
      </c>
      <c r="H47" s="69"/>
      <c r="I47" s="35">
        <v>15</v>
      </c>
      <c r="J47" s="29">
        <f>F47/I47</f>
        <v>6.9666666666666668</v>
      </c>
      <c r="K47" s="7"/>
      <c r="L47" s="7"/>
      <c r="M47" s="16"/>
      <c r="O47" s="33"/>
    </row>
    <row r="48" spans="2:15" ht="13" x14ac:dyDescent="0.3">
      <c r="B48" s="6" t="s">
        <v>115</v>
      </c>
      <c r="C48" s="6"/>
      <c r="D48" s="6"/>
      <c r="E48" s="6"/>
      <c r="F48" s="17">
        <f>SUM(F45:F47)</f>
        <v>2579.5</v>
      </c>
      <c r="I48" s="7"/>
      <c r="J48" s="7"/>
      <c r="K48" s="7"/>
      <c r="L48" s="7"/>
      <c r="M48" s="16"/>
      <c r="O48" s="33"/>
    </row>
    <row r="49" spans="2:15" ht="13" x14ac:dyDescent="0.3">
      <c r="B49" s="7"/>
      <c r="C49" s="7"/>
      <c r="D49" s="7"/>
      <c r="E49" s="7"/>
      <c r="F49" s="16"/>
      <c r="I49" s="7"/>
      <c r="J49" s="7"/>
      <c r="K49" s="7"/>
      <c r="L49" s="7"/>
      <c r="M49" s="16"/>
      <c r="O49" s="33"/>
    </row>
    <row r="50" spans="2:15" ht="13" x14ac:dyDescent="0.3">
      <c r="B50" s="7"/>
      <c r="C50" s="7"/>
      <c r="D50" s="7"/>
      <c r="E50" s="7"/>
      <c r="F50" s="16"/>
      <c r="I50" s="7"/>
      <c r="J50" s="7"/>
      <c r="K50" s="7"/>
      <c r="L50" s="7"/>
      <c r="M50" s="16"/>
      <c r="O50" s="33"/>
    </row>
    <row r="51" spans="2:15" ht="13" x14ac:dyDescent="0.3">
      <c r="B51" s="34" t="s">
        <v>86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O51" s="33"/>
    </row>
    <row r="52" spans="2:15" ht="13" x14ac:dyDescent="0.3">
      <c r="B52" s="7"/>
      <c r="C52" s="7"/>
      <c r="D52" s="7"/>
      <c r="E52" s="7"/>
      <c r="F52" s="16"/>
      <c r="I52" s="7"/>
      <c r="J52" s="7"/>
      <c r="K52" s="7"/>
      <c r="L52" s="7"/>
      <c r="M52" s="16"/>
      <c r="O52" s="33"/>
    </row>
    <row r="53" spans="2:15" ht="13" x14ac:dyDescent="0.3">
      <c r="B53" s="7"/>
      <c r="C53" s="7"/>
      <c r="D53" s="7"/>
      <c r="E53" s="7"/>
      <c r="F53" s="65" t="s">
        <v>101</v>
      </c>
      <c r="I53" s="7"/>
      <c r="J53" s="7"/>
      <c r="K53" s="10" t="s">
        <v>104</v>
      </c>
      <c r="L53" s="7"/>
      <c r="M53" s="16"/>
      <c r="O53" s="33"/>
    </row>
    <row r="54" spans="2:15" ht="13" x14ac:dyDescent="0.3">
      <c r="B54" s="7"/>
      <c r="C54" s="7"/>
      <c r="D54" s="7"/>
      <c r="E54" s="7"/>
      <c r="F54" s="65" t="s">
        <v>59</v>
      </c>
      <c r="H54" s="10" t="s">
        <v>102</v>
      </c>
      <c r="I54" s="10" t="s">
        <v>103</v>
      </c>
      <c r="J54" s="7"/>
      <c r="K54" s="10" t="s">
        <v>105</v>
      </c>
      <c r="L54" s="7"/>
      <c r="M54" s="16"/>
      <c r="O54" s="33"/>
    </row>
    <row r="55" spans="2:15" ht="13" x14ac:dyDescent="0.3">
      <c r="B55" s="1" t="s">
        <v>34</v>
      </c>
      <c r="C55" s="7"/>
      <c r="D55" s="7"/>
      <c r="E55" s="7"/>
      <c r="F55" s="66">
        <v>200</v>
      </c>
      <c r="H55" s="53">
        <f>F18</f>
        <v>100</v>
      </c>
      <c r="I55" s="53">
        <f>-F55</f>
        <v>-200</v>
      </c>
      <c r="J55" s="7"/>
      <c r="K55" s="14">
        <f>F55+H55+I55</f>
        <v>100</v>
      </c>
      <c r="L55" s="7"/>
      <c r="M55" s="16"/>
      <c r="O55" s="33"/>
    </row>
    <row r="56" spans="2:15" ht="13" x14ac:dyDescent="0.3">
      <c r="B56" s="1" t="s">
        <v>87</v>
      </c>
      <c r="C56" s="7"/>
      <c r="D56" s="7"/>
      <c r="E56" s="7"/>
      <c r="F56" s="32">
        <v>200</v>
      </c>
      <c r="H56" s="32">
        <v>0</v>
      </c>
      <c r="I56" s="32">
        <v>0</v>
      </c>
      <c r="J56" s="7"/>
      <c r="K56" s="29">
        <f t="shared" ref="K56:K58" si="1">F56+H56+I56</f>
        <v>200</v>
      </c>
      <c r="L56" s="7"/>
      <c r="M56" s="16"/>
      <c r="O56" s="33"/>
    </row>
    <row r="57" spans="2:15" ht="13" x14ac:dyDescent="0.3">
      <c r="B57" s="1" t="s">
        <v>88</v>
      </c>
      <c r="C57" s="7"/>
      <c r="D57" s="7"/>
      <c r="E57" s="7"/>
      <c r="F57" s="32">
        <v>250</v>
      </c>
      <c r="H57" s="32">
        <v>0</v>
      </c>
      <c r="I57" s="32">
        <v>0</v>
      </c>
      <c r="J57" s="7"/>
      <c r="K57" s="29">
        <f t="shared" si="1"/>
        <v>250</v>
      </c>
      <c r="L57" s="7"/>
      <c r="M57" s="16"/>
      <c r="O57" s="33"/>
    </row>
    <row r="58" spans="2:15" ht="13" x14ac:dyDescent="0.3">
      <c r="B58" s="1" t="s">
        <v>89</v>
      </c>
      <c r="C58" s="7"/>
      <c r="D58" s="7"/>
      <c r="E58" s="7"/>
      <c r="F58" s="32">
        <v>50</v>
      </c>
      <c r="H58" s="32">
        <v>0</v>
      </c>
      <c r="I58" s="32">
        <v>0</v>
      </c>
      <c r="J58" s="7"/>
      <c r="K58" s="29">
        <f t="shared" si="1"/>
        <v>50</v>
      </c>
      <c r="L58" s="7"/>
      <c r="M58" s="16"/>
      <c r="O58" s="9" t="s">
        <v>53</v>
      </c>
    </row>
    <row r="59" spans="2:15" ht="13" x14ac:dyDescent="0.3">
      <c r="B59" s="6" t="s">
        <v>90</v>
      </c>
      <c r="C59" s="6"/>
      <c r="D59" s="6"/>
      <c r="E59" s="6"/>
      <c r="F59" s="17">
        <f>SUM(F55:F58)</f>
        <v>700</v>
      </c>
      <c r="G59" s="5"/>
      <c r="H59" s="17">
        <f>SUM(H55:H58)</f>
        <v>100</v>
      </c>
      <c r="I59" s="17">
        <f>SUM(I55:I58)</f>
        <v>-200</v>
      </c>
      <c r="J59" s="6"/>
      <c r="K59" s="17">
        <f>SUM(K55:K58)</f>
        <v>600</v>
      </c>
      <c r="L59" s="7"/>
      <c r="M59" s="16"/>
      <c r="O59" s="33">
        <f>F59+H59+I59-K59</f>
        <v>0</v>
      </c>
    </row>
    <row r="60" spans="2:15" ht="13" x14ac:dyDescent="0.3">
      <c r="C60" s="7"/>
      <c r="D60" s="7"/>
      <c r="E60" s="7"/>
      <c r="F60" s="16"/>
      <c r="I60" s="7"/>
      <c r="J60" s="7"/>
      <c r="K60" s="7"/>
      <c r="L60" s="7"/>
      <c r="M60" s="16"/>
      <c r="O60" s="33"/>
    </row>
    <row r="61" spans="2:15" ht="13" x14ac:dyDescent="0.3">
      <c r="B61" s="1" t="s">
        <v>91</v>
      </c>
      <c r="C61" s="7"/>
      <c r="D61" s="7"/>
      <c r="E61" s="7"/>
      <c r="F61" s="28">
        <v>2000</v>
      </c>
      <c r="H61" s="28">
        <v>0</v>
      </c>
      <c r="I61" s="28">
        <v>0</v>
      </c>
      <c r="J61" s="7"/>
      <c r="K61" s="15">
        <f t="shared" ref="K61:K63" si="2">F61+H61+I61</f>
        <v>2000</v>
      </c>
      <c r="L61" s="7"/>
      <c r="M61" s="16"/>
      <c r="O61" s="33"/>
    </row>
    <row r="62" spans="2:15" ht="13" x14ac:dyDescent="0.3">
      <c r="B62" s="1" t="s">
        <v>92</v>
      </c>
      <c r="C62" s="7"/>
      <c r="D62" s="7"/>
      <c r="E62" s="7"/>
      <c r="F62" s="32">
        <v>1300</v>
      </c>
      <c r="H62" s="50">
        <f>F48</f>
        <v>2579.5</v>
      </c>
      <c r="I62" s="50">
        <f>-F62</f>
        <v>-1300</v>
      </c>
      <c r="J62" s="7"/>
      <c r="K62" s="29">
        <f t="shared" si="2"/>
        <v>2579.5</v>
      </c>
      <c r="L62" s="7"/>
      <c r="M62" s="16"/>
      <c r="O62" s="33"/>
    </row>
    <row r="63" spans="2:15" ht="13" x14ac:dyDescent="0.3">
      <c r="B63" s="1" t="s">
        <v>107</v>
      </c>
      <c r="C63" s="7"/>
      <c r="D63" s="7"/>
      <c r="E63" s="7"/>
      <c r="F63" s="32">
        <v>0</v>
      </c>
      <c r="H63" s="50">
        <f>-F46</f>
        <v>275</v>
      </c>
      <c r="I63" s="32">
        <v>0</v>
      </c>
      <c r="J63" s="7"/>
      <c r="K63" s="29">
        <f t="shared" si="2"/>
        <v>275</v>
      </c>
      <c r="L63" s="7"/>
      <c r="M63" s="16"/>
      <c r="O63" s="33"/>
    </row>
    <row r="64" spans="2:15" ht="13" x14ac:dyDescent="0.3">
      <c r="B64" s="77" t="s">
        <v>93</v>
      </c>
      <c r="C64" s="92"/>
      <c r="D64" s="92"/>
      <c r="E64" s="92"/>
      <c r="F64" s="93">
        <f>SUM(F61:F63)+F59</f>
        <v>4000</v>
      </c>
      <c r="G64" s="92"/>
      <c r="H64" s="93">
        <f>SUM(H61:H63)+H59</f>
        <v>2954.5</v>
      </c>
      <c r="I64" s="93">
        <f>SUM(I61:I63)+I59</f>
        <v>-1500</v>
      </c>
      <c r="J64" s="92"/>
      <c r="K64" s="94">
        <f>SUM(K61:K63)+K59</f>
        <v>5454.5</v>
      </c>
      <c r="L64" s="7"/>
      <c r="M64" s="16"/>
      <c r="O64" s="33">
        <f>F64+H64+I64-K64</f>
        <v>0</v>
      </c>
    </row>
    <row r="65" spans="2:15" ht="13" x14ac:dyDescent="0.3">
      <c r="C65" s="7"/>
      <c r="D65" s="7"/>
      <c r="E65" s="7"/>
      <c r="F65" s="28"/>
      <c r="I65" s="7"/>
      <c r="J65" s="7"/>
      <c r="K65" s="7"/>
      <c r="L65" s="7"/>
      <c r="M65" s="16"/>
      <c r="O65" s="33"/>
    </row>
    <row r="66" spans="2:15" ht="13" x14ac:dyDescent="0.3">
      <c r="B66" s="1" t="s">
        <v>94</v>
      </c>
      <c r="C66" s="7"/>
      <c r="D66" s="7"/>
      <c r="E66" s="7"/>
      <c r="F66" s="28">
        <v>200</v>
      </c>
      <c r="H66" s="28">
        <v>0</v>
      </c>
      <c r="I66" s="28">
        <v>0</v>
      </c>
      <c r="J66" s="7"/>
      <c r="K66" s="15">
        <f t="shared" ref="K66:K67" si="3">F66+H66+I66</f>
        <v>200</v>
      </c>
      <c r="L66" s="7"/>
      <c r="M66" s="16"/>
      <c r="O66" s="33"/>
    </row>
    <row r="67" spans="2:15" ht="13" x14ac:dyDescent="0.3">
      <c r="B67" s="1" t="s">
        <v>95</v>
      </c>
      <c r="C67" s="7"/>
      <c r="D67" s="7"/>
      <c r="E67" s="7"/>
      <c r="F67" s="32">
        <v>50</v>
      </c>
      <c r="H67" s="32">
        <v>0</v>
      </c>
      <c r="I67" s="32">
        <v>0</v>
      </c>
      <c r="J67" s="7"/>
      <c r="K67" s="29">
        <f t="shared" si="3"/>
        <v>50</v>
      </c>
      <c r="L67" s="7"/>
      <c r="M67" s="16"/>
      <c r="O67" s="33"/>
    </row>
    <row r="68" spans="2:15" ht="13" x14ac:dyDescent="0.3">
      <c r="B68" s="6" t="s">
        <v>96</v>
      </c>
      <c r="C68" s="6"/>
      <c r="D68" s="6"/>
      <c r="E68" s="6"/>
      <c r="F68" s="17">
        <f>SUM(F66:F67)</f>
        <v>250</v>
      </c>
      <c r="G68" s="6"/>
      <c r="H68" s="17">
        <f t="shared" ref="H68:I68" si="4">SUM(H66:H67)</f>
        <v>0</v>
      </c>
      <c r="I68" s="17">
        <f t="shared" si="4"/>
        <v>0</v>
      </c>
      <c r="J68" s="6"/>
      <c r="K68" s="17">
        <f>SUM(K66:K67)</f>
        <v>250</v>
      </c>
      <c r="L68" s="7"/>
      <c r="M68" s="16"/>
      <c r="O68" s="33">
        <f>F68+H68+I68-K68</f>
        <v>0</v>
      </c>
    </row>
    <row r="69" spans="2:15" ht="13" x14ac:dyDescent="0.3">
      <c r="C69" s="7"/>
      <c r="D69" s="7"/>
      <c r="E69" s="7"/>
      <c r="F69" s="16"/>
      <c r="I69" s="7"/>
      <c r="J69" s="7"/>
      <c r="K69" s="7"/>
      <c r="L69" s="7"/>
      <c r="M69" s="16"/>
      <c r="O69" s="33"/>
    </row>
    <row r="70" spans="2:15" ht="13" x14ac:dyDescent="0.3">
      <c r="B70" s="1" t="s">
        <v>97</v>
      </c>
      <c r="C70" s="7"/>
      <c r="D70" s="7"/>
      <c r="E70" s="7"/>
      <c r="F70" s="28">
        <v>2500</v>
      </c>
      <c r="H70" s="44">
        <f>-F70</f>
        <v>-2500</v>
      </c>
      <c r="I70" s="28">
        <v>0</v>
      </c>
      <c r="J70" s="7"/>
      <c r="K70" s="15">
        <f t="shared" ref="K70:K74" si="5">F70+H70+I70</f>
        <v>0</v>
      </c>
      <c r="L70" s="7"/>
      <c r="M70" s="16"/>
      <c r="O70" s="33"/>
    </row>
    <row r="71" spans="2:15" ht="13" x14ac:dyDescent="0.3">
      <c r="B71" s="1" t="s">
        <v>23</v>
      </c>
      <c r="C71" s="7"/>
      <c r="D71" s="7"/>
      <c r="E71" s="7"/>
      <c r="F71" s="32">
        <v>0</v>
      </c>
      <c r="H71" s="32">
        <v>0</v>
      </c>
      <c r="I71" s="32">
        <v>0</v>
      </c>
      <c r="J71" s="7"/>
      <c r="K71" s="29">
        <f t="shared" si="5"/>
        <v>0</v>
      </c>
      <c r="L71" s="7"/>
      <c r="M71" s="16"/>
      <c r="O71" s="33"/>
    </row>
    <row r="72" spans="2:15" ht="13" x14ac:dyDescent="0.3">
      <c r="B72" s="1" t="s">
        <v>150</v>
      </c>
      <c r="C72" s="7"/>
      <c r="D72" s="7"/>
      <c r="E72" s="7"/>
      <c r="F72" s="32">
        <v>0</v>
      </c>
      <c r="H72" s="32">
        <v>0</v>
      </c>
      <c r="I72" s="32">
        <v>0</v>
      </c>
      <c r="J72" s="7"/>
      <c r="K72" s="29">
        <f t="shared" si="5"/>
        <v>0</v>
      </c>
      <c r="L72" s="7"/>
      <c r="M72" s="16"/>
      <c r="O72" s="33"/>
    </row>
    <row r="73" spans="2:15" ht="13" x14ac:dyDescent="0.3">
      <c r="B73" s="1" t="s">
        <v>145</v>
      </c>
      <c r="C73" s="7"/>
      <c r="D73" s="7"/>
      <c r="E73" s="7"/>
      <c r="F73" s="32">
        <v>0</v>
      </c>
      <c r="H73" s="32">
        <v>0</v>
      </c>
      <c r="I73" s="50">
        <f>F33</f>
        <v>1500</v>
      </c>
      <c r="J73" s="7"/>
      <c r="K73" s="29">
        <f t="shared" si="5"/>
        <v>1500</v>
      </c>
      <c r="L73" s="7"/>
      <c r="M73" s="16"/>
      <c r="O73" s="33"/>
    </row>
    <row r="74" spans="2:15" ht="13" x14ac:dyDescent="0.3">
      <c r="B74" s="1" t="s">
        <v>28</v>
      </c>
      <c r="C74" s="7"/>
      <c r="D74" s="7"/>
      <c r="E74" s="7"/>
      <c r="F74" s="32">
        <v>0</v>
      </c>
      <c r="H74" s="32">
        <v>0</v>
      </c>
      <c r="I74" s="50">
        <f>F34</f>
        <v>1500</v>
      </c>
      <c r="J74" s="7"/>
      <c r="K74" s="29">
        <f t="shared" si="5"/>
        <v>1500</v>
      </c>
      <c r="L74" s="7"/>
      <c r="M74" s="16"/>
      <c r="O74" s="33"/>
    </row>
    <row r="75" spans="2:15" ht="13" x14ac:dyDescent="0.3">
      <c r="B75" s="6" t="s">
        <v>98</v>
      </c>
      <c r="C75" s="6"/>
      <c r="D75" s="6"/>
      <c r="E75" s="6"/>
      <c r="F75" s="17">
        <f>SUM(F70:F74)</f>
        <v>2500</v>
      </c>
      <c r="G75" s="5"/>
      <c r="H75" s="17">
        <f t="shared" ref="H75:I75" si="6">SUM(H70:H74)</f>
        <v>-2500</v>
      </c>
      <c r="I75" s="17">
        <f t="shared" si="6"/>
        <v>3000</v>
      </c>
      <c r="J75" s="6"/>
      <c r="K75" s="17">
        <f>SUM(K70:K74)</f>
        <v>3000</v>
      </c>
      <c r="L75" s="7"/>
      <c r="M75" s="16"/>
      <c r="O75" s="33">
        <f>F75+H75+I75-K75</f>
        <v>0</v>
      </c>
    </row>
    <row r="76" spans="2:15" ht="13" x14ac:dyDescent="0.3">
      <c r="C76" s="7"/>
      <c r="D76" s="7"/>
      <c r="E76" s="7"/>
      <c r="F76" s="16"/>
      <c r="I76" s="7"/>
      <c r="J76" s="7"/>
      <c r="K76" s="7"/>
      <c r="L76" s="7"/>
      <c r="M76" s="16"/>
      <c r="O76" s="33"/>
    </row>
    <row r="77" spans="2:15" ht="13" x14ac:dyDescent="0.3">
      <c r="B77" s="1" t="s">
        <v>106</v>
      </c>
      <c r="C77" s="7"/>
      <c r="D77" s="7"/>
      <c r="E77" s="7"/>
      <c r="F77" s="32">
        <v>0</v>
      </c>
      <c r="H77" s="50">
        <f>-M36</f>
        <v>-60</v>
      </c>
      <c r="I77" s="32">
        <v>0</v>
      </c>
      <c r="J77" s="7"/>
      <c r="K77" s="29">
        <f>F77+H77+I77</f>
        <v>-60</v>
      </c>
      <c r="L77" s="7"/>
      <c r="M77" s="16"/>
      <c r="O77" s="33"/>
    </row>
    <row r="78" spans="2:15" ht="13" x14ac:dyDescent="0.3">
      <c r="B78" s="1" t="s">
        <v>99</v>
      </c>
      <c r="C78" s="7"/>
      <c r="D78" s="7"/>
      <c r="E78" s="7"/>
      <c r="F78" s="28">
        <v>0</v>
      </c>
      <c r="H78" s="32">
        <v>0</v>
      </c>
      <c r="I78" s="44">
        <f>F47</f>
        <v>104.5</v>
      </c>
      <c r="J78" s="7"/>
      <c r="K78" s="15">
        <f t="shared" ref="K78:K80" si="7">F78+H78+I78</f>
        <v>104.5</v>
      </c>
      <c r="L78" s="7"/>
      <c r="M78" s="16"/>
      <c r="O78" s="33"/>
    </row>
    <row r="79" spans="2:15" ht="13" x14ac:dyDescent="0.3">
      <c r="C79" s="7"/>
      <c r="D79" s="7"/>
      <c r="E79" s="7"/>
      <c r="F79" s="16"/>
      <c r="I79" s="7"/>
      <c r="J79" s="7"/>
      <c r="K79" s="7"/>
      <c r="L79" s="7"/>
      <c r="M79" s="16"/>
      <c r="O79" s="33"/>
    </row>
    <row r="80" spans="2:15" ht="13" x14ac:dyDescent="0.3">
      <c r="B80" s="1" t="s">
        <v>108</v>
      </c>
      <c r="C80" s="7"/>
      <c r="D80" s="7"/>
      <c r="E80" s="7"/>
      <c r="F80" s="28">
        <v>1250</v>
      </c>
      <c r="H80" s="15">
        <f>-F80-M37</f>
        <v>-1275</v>
      </c>
      <c r="I80" s="44">
        <f>F37</f>
        <v>2185</v>
      </c>
      <c r="J80" s="7"/>
      <c r="K80" s="15">
        <f t="shared" si="7"/>
        <v>2160</v>
      </c>
      <c r="L80" s="7"/>
      <c r="M80" s="16"/>
      <c r="O80" s="33"/>
    </row>
    <row r="81" spans="2:15" ht="13" x14ac:dyDescent="0.3">
      <c r="B81" s="77" t="s">
        <v>100</v>
      </c>
      <c r="C81" s="92"/>
      <c r="D81" s="92"/>
      <c r="E81" s="92"/>
      <c r="F81" s="93">
        <f>F75+F77+F78+F80+F68</f>
        <v>4000</v>
      </c>
      <c r="G81" s="78"/>
      <c r="H81" s="93">
        <f>H75+H77+H78+H80+H68</f>
        <v>-3835</v>
      </c>
      <c r="I81" s="93">
        <f>I75+I77+I78+I80+I68</f>
        <v>5289.5</v>
      </c>
      <c r="J81" s="92"/>
      <c r="K81" s="94">
        <f>K75+K77+K78+K80+K68</f>
        <v>5454.5</v>
      </c>
      <c r="L81" s="7"/>
      <c r="M81" s="16"/>
      <c r="O81" s="33">
        <f>F81+H81+I81-K81</f>
        <v>0</v>
      </c>
    </row>
    <row r="82" spans="2:15" ht="13" x14ac:dyDescent="0.3">
      <c r="B82" s="7"/>
      <c r="C82" s="7"/>
      <c r="D82" s="7"/>
      <c r="E82" s="7"/>
      <c r="F82" s="16"/>
      <c r="I82" s="7"/>
      <c r="J82" s="7"/>
      <c r="K82" s="7"/>
      <c r="L82" s="7"/>
      <c r="M82" s="16"/>
      <c r="O82" s="33"/>
    </row>
    <row r="83" spans="2:15" ht="13" x14ac:dyDescent="0.3">
      <c r="B83" s="11" t="s">
        <v>53</v>
      </c>
      <c r="C83" s="7"/>
      <c r="D83" s="7"/>
      <c r="E83" s="7"/>
      <c r="F83" s="15">
        <f>F64-F81</f>
        <v>0</v>
      </c>
      <c r="I83" s="7"/>
      <c r="J83" s="7"/>
      <c r="K83" s="15">
        <f>K64-K81</f>
        <v>0</v>
      </c>
      <c r="L83" s="7"/>
      <c r="M83" s="16"/>
      <c r="O83" s="33"/>
    </row>
    <row r="84" spans="2:15" ht="13" x14ac:dyDescent="0.3">
      <c r="B84" s="7"/>
      <c r="C84" s="7"/>
      <c r="D84" s="7"/>
      <c r="E84" s="7"/>
      <c r="F84" s="16"/>
      <c r="I84" s="7"/>
      <c r="J84" s="7"/>
      <c r="K84" s="7"/>
      <c r="L84" s="7"/>
      <c r="M84" s="16"/>
      <c r="O84" s="33"/>
    </row>
    <row r="87" spans="2:15" ht="13" x14ac:dyDescent="0.3">
      <c r="B87" s="2" t="s">
        <v>146</v>
      </c>
      <c r="C87" s="2"/>
      <c r="D87" s="2"/>
      <c r="E87" s="2"/>
      <c r="F87" s="2"/>
      <c r="G87" s="2"/>
      <c r="H87" s="2"/>
      <c r="I87" s="2"/>
      <c r="J87" s="2"/>
      <c r="K87" s="2"/>
      <c r="L87" s="2"/>
    </row>
    <row r="89" spans="2:15" ht="13" x14ac:dyDescent="0.3">
      <c r="G89" s="60">
        <f>H89-1</f>
        <v>2020</v>
      </c>
      <c r="H89" s="38">
        <v>2021</v>
      </c>
      <c r="I89" s="38">
        <f>H89+1</f>
        <v>2022</v>
      </c>
      <c r="J89" s="38">
        <f t="shared" ref="J89:L89" si="8">I89+1</f>
        <v>2023</v>
      </c>
      <c r="K89" s="38">
        <f t="shared" si="8"/>
        <v>2024</v>
      </c>
      <c r="L89" s="38">
        <f t="shared" si="8"/>
        <v>2025</v>
      </c>
    </row>
    <row r="90" spans="2:15" ht="13" x14ac:dyDescent="0.3">
      <c r="B90" s="96" t="s">
        <v>151</v>
      </c>
      <c r="C90" s="49"/>
      <c r="D90" s="49"/>
      <c r="E90" s="49"/>
      <c r="F90" s="49"/>
      <c r="G90" s="97"/>
      <c r="H90" s="49"/>
      <c r="I90" s="49"/>
      <c r="J90" s="49"/>
      <c r="K90" s="49"/>
      <c r="L90" s="49"/>
    </row>
    <row r="91" spans="2:15" x14ac:dyDescent="0.25">
      <c r="B91" s="1" t="s">
        <v>184</v>
      </c>
      <c r="G91" s="98">
        <v>400</v>
      </c>
      <c r="H91" s="29">
        <f t="shared" ref="H91:L92" si="9">G91*(1+H107)</f>
        <v>420</v>
      </c>
      <c r="I91" s="29">
        <f t="shared" si="9"/>
        <v>441</v>
      </c>
      <c r="J91" s="29">
        <f t="shared" si="9"/>
        <v>463.05</v>
      </c>
      <c r="K91" s="29">
        <f t="shared" si="9"/>
        <v>486.20250000000004</v>
      </c>
      <c r="L91" s="29">
        <f t="shared" si="9"/>
        <v>510.51262500000007</v>
      </c>
    </row>
    <row r="92" spans="2:15" x14ac:dyDescent="0.25">
      <c r="B92" s="1" t="s">
        <v>147</v>
      </c>
      <c r="G92" s="99">
        <v>4</v>
      </c>
      <c r="H92" s="15">
        <f t="shared" si="9"/>
        <v>4.08</v>
      </c>
      <c r="I92" s="15">
        <f t="shared" si="9"/>
        <v>4.1616</v>
      </c>
      <c r="J92" s="15">
        <f t="shared" si="9"/>
        <v>4.2448319999999997</v>
      </c>
      <c r="K92" s="15">
        <f t="shared" si="9"/>
        <v>4.3297286399999999</v>
      </c>
      <c r="L92" s="15">
        <f t="shared" si="9"/>
        <v>4.4163232128000001</v>
      </c>
    </row>
    <row r="93" spans="2:15" ht="13" x14ac:dyDescent="0.3">
      <c r="B93" s="6" t="s">
        <v>152</v>
      </c>
      <c r="C93" s="6"/>
      <c r="D93" s="6"/>
      <c r="E93" s="6"/>
      <c r="F93" s="6"/>
      <c r="G93" s="85">
        <f>G91*G92</f>
        <v>1600</v>
      </c>
      <c r="H93" s="31">
        <f t="shared" ref="H93:L93" si="10">H91*H92</f>
        <v>1713.6000000000001</v>
      </c>
      <c r="I93" s="31">
        <f t="shared" si="10"/>
        <v>1835.2655999999999</v>
      </c>
      <c r="J93" s="31">
        <f t="shared" si="10"/>
        <v>1965.5694575999999</v>
      </c>
      <c r="K93" s="31">
        <f t="shared" si="10"/>
        <v>2105.1248890895999</v>
      </c>
      <c r="L93" s="31">
        <f t="shared" si="10"/>
        <v>2254.5887562149619</v>
      </c>
    </row>
    <row r="94" spans="2:15" x14ac:dyDescent="0.25">
      <c r="G94" s="62"/>
    </row>
    <row r="95" spans="2:15" x14ac:dyDescent="0.25">
      <c r="B95" s="1" t="s">
        <v>153</v>
      </c>
      <c r="G95" s="62"/>
      <c r="H95" s="15">
        <f>-H109*H93</f>
        <v>-856.80000000000007</v>
      </c>
      <c r="I95" s="15">
        <f>-I109*I93</f>
        <v>-917.63279999999997</v>
      </c>
      <c r="J95" s="15">
        <f>-J109*J93</f>
        <v>-982.78472879999993</v>
      </c>
      <c r="K95" s="15">
        <f>-K109*K93</f>
        <v>-1052.5624445448</v>
      </c>
      <c r="L95" s="15">
        <f>-L109*L93</f>
        <v>-1127.294378107481</v>
      </c>
    </row>
    <row r="96" spans="2:15" ht="13" x14ac:dyDescent="0.3">
      <c r="B96" s="6" t="s">
        <v>154</v>
      </c>
      <c r="C96" s="5"/>
      <c r="D96" s="5"/>
      <c r="E96" s="5"/>
      <c r="F96" s="5"/>
      <c r="G96" s="63"/>
      <c r="H96" s="17">
        <f>H93+H95</f>
        <v>856.80000000000007</v>
      </c>
      <c r="I96" s="17">
        <f t="shared" ref="I96:L96" si="11">I93+I95</f>
        <v>917.63279999999997</v>
      </c>
      <c r="J96" s="17">
        <f t="shared" si="11"/>
        <v>982.78472879999993</v>
      </c>
      <c r="K96" s="17">
        <f t="shared" si="11"/>
        <v>1052.5624445448</v>
      </c>
      <c r="L96" s="17">
        <f t="shared" si="11"/>
        <v>1127.294378107481</v>
      </c>
    </row>
    <row r="97" spans="2:12" x14ac:dyDescent="0.25">
      <c r="G97" s="62"/>
    </row>
    <row r="98" spans="2:12" ht="13" x14ac:dyDescent="0.3">
      <c r="B98" s="96" t="s">
        <v>155</v>
      </c>
      <c r="C98" s="49"/>
      <c r="D98" s="49"/>
      <c r="E98" s="49"/>
      <c r="F98" s="49"/>
      <c r="G98" s="97"/>
      <c r="H98" s="49"/>
      <c r="I98" s="49"/>
      <c r="J98" s="49"/>
      <c r="K98" s="49"/>
      <c r="L98" s="49"/>
    </row>
    <row r="99" spans="2:12" ht="13" x14ac:dyDescent="0.3">
      <c r="B99" s="1" t="s">
        <v>185</v>
      </c>
      <c r="C99" s="7"/>
      <c r="D99" s="7"/>
      <c r="E99" s="7"/>
      <c r="F99" s="7"/>
      <c r="G99" s="98">
        <v>5</v>
      </c>
      <c r="H99" s="29">
        <f>G99+H112</f>
        <v>6</v>
      </c>
      <c r="I99" s="29">
        <f>H99+I112</f>
        <v>7</v>
      </c>
      <c r="J99" s="29">
        <f>I99+J112</f>
        <v>8</v>
      </c>
      <c r="K99" s="29">
        <f>J99+K112</f>
        <v>9</v>
      </c>
      <c r="L99" s="29">
        <f>K99+L112</f>
        <v>10</v>
      </c>
    </row>
    <row r="100" spans="2:12" ht="13" x14ac:dyDescent="0.3">
      <c r="B100" s="1" t="s">
        <v>186</v>
      </c>
      <c r="C100" s="7"/>
      <c r="D100" s="7"/>
      <c r="E100" s="7"/>
      <c r="F100" s="7"/>
      <c r="G100" s="99">
        <v>200</v>
      </c>
      <c r="H100" s="15">
        <f>G100*(1+H113)</f>
        <v>204</v>
      </c>
      <c r="I100" s="15">
        <f>H100*(1+I113)</f>
        <v>208.08</v>
      </c>
      <c r="J100" s="15">
        <f>I100*(1+J113)</f>
        <v>212.24160000000001</v>
      </c>
      <c r="K100" s="15">
        <f>J100*(1+K113)</f>
        <v>216.48643200000001</v>
      </c>
      <c r="L100" s="15">
        <f>K100*(1+L113)</f>
        <v>220.81616064000002</v>
      </c>
    </row>
    <row r="101" spans="2:12" ht="13" x14ac:dyDescent="0.3">
      <c r="B101" s="6" t="s">
        <v>159</v>
      </c>
      <c r="C101" s="6"/>
      <c r="D101" s="6"/>
      <c r="E101" s="6"/>
      <c r="F101" s="6"/>
      <c r="G101" s="85">
        <f>G99*G100</f>
        <v>1000</v>
      </c>
      <c r="H101" s="31">
        <f t="shared" ref="H101:L101" si="12">H99*H100</f>
        <v>1224</v>
      </c>
      <c r="I101" s="31">
        <f t="shared" si="12"/>
        <v>1456.5600000000002</v>
      </c>
      <c r="J101" s="31">
        <f t="shared" si="12"/>
        <v>1697.9328</v>
      </c>
      <c r="K101" s="31">
        <f t="shared" si="12"/>
        <v>1948.377888</v>
      </c>
      <c r="L101" s="31">
        <f t="shared" si="12"/>
        <v>2208.1616064</v>
      </c>
    </row>
    <row r="102" spans="2:12" x14ac:dyDescent="0.25">
      <c r="G102" s="62"/>
    </row>
    <row r="103" spans="2:12" x14ac:dyDescent="0.25">
      <c r="B103" s="1" t="s">
        <v>178</v>
      </c>
      <c r="G103" s="62"/>
      <c r="H103" s="15">
        <f>-H114*H101</f>
        <v>-612</v>
      </c>
      <c r="I103" s="15">
        <f>-I114*I101</f>
        <v>-728.28000000000009</v>
      </c>
      <c r="J103" s="15">
        <f>-J114*J101</f>
        <v>-848.96640000000002</v>
      </c>
      <c r="K103" s="15">
        <f>-K114*K101</f>
        <v>-974.18894399999999</v>
      </c>
      <c r="L103" s="15">
        <f>-L114*L101</f>
        <v>-1104.0808032</v>
      </c>
    </row>
    <row r="104" spans="2:12" ht="13" x14ac:dyDescent="0.3">
      <c r="B104" s="6" t="s">
        <v>160</v>
      </c>
      <c r="C104" s="5"/>
      <c r="D104" s="5"/>
      <c r="E104" s="5"/>
      <c r="F104" s="5"/>
      <c r="G104" s="63"/>
      <c r="H104" s="17">
        <f>H101+H103</f>
        <v>612</v>
      </c>
      <c r="I104" s="17">
        <f t="shared" ref="I104:L104" si="13">I101+I103</f>
        <v>728.28000000000009</v>
      </c>
      <c r="J104" s="17">
        <f t="shared" si="13"/>
        <v>848.96640000000002</v>
      </c>
      <c r="K104" s="17">
        <f t="shared" si="13"/>
        <v>974.18894399999999</v>
      </c>
      <c r="L104" s="17">
        <f t="shared" si="13"/>
        <v>1104.0808032</v>
      </c>
    </row>
    <row r="106" spans="2:12" ht="13" x14ac:dyDescent="0.3">
      <c r="B106" s="8" t="s">
        <v>157</v>
      </c>
    </row>
    <row r="107" spans="2:12" ht="13" x14ac:dyDescent="0.3">
      <c r="B107" s="1" t="s">
        <v>148</v>
      </c>
      <c r="H107" s="36">
        <v>0.05</v>
      </c>
      <c r="I107" s="36">
        <v>0.05</v>
      </c>
      <c r="J107" s="36">
        <v>0.05</v>
      </c>
      <c r="K107" s="36">
        <v>0.05</v>
      </c>
      <c r="L107" s="36">
        <v>0.05</v>
      </c>
    </row>
    <row r="108" spans="2:12" ht="13" x14ac:dyDescent="0.3">
      <c r="B108" s="1" t="s">
        <v>149</v>
      </c>
      <c r="H108" s="36">
        <v>0.02</v>
      </c>
      <c r="I108" s="36">
        <v>0.02</v>
      </c>
      <c r="J108" s="36">
        <v>0.02</v>
      </c>
      <c r="K108" s="36">
        <v>0.02</v>
      </c>
      <c r="L108" s="36">
        <v>0.02</v>
      </c>
    </row>
    <row r="109" spans="2:12" ht="13" x14ac:dyDescent="0.3">
      <c r="B109" s="1" t="s">
        <v>158</v>
      </c>
      <c r="H109" s="36">
        <v>0.5</v>
      </c>
      <c r="I109" s="36">
        <v>0.5</v>
      </c>
      <c r="J109" s="36">
        <v>0.5</v>
      </c>
      <c r="K109" s="36">
        <v>0.5</v>
      </c>
      <c r="L109" s="36">
        <v>0.5</v>
      </c>
    </row>
    <row r="110" spans="2:12" ht="13" x14ac:dyDescent="0.3">
      <c r="H110" s="36"/>
      <c r="I110" s="36"/>
      <c r="J110" s="36"/>
      <c r="K110" s="36"/>
      <c r="L110" s="36"/>
    </row>
    <row r="111" spans="2:12" ht="13" x14ac:dyDescent="0.3">
      <c r="B111" s="8" t="s">
        <v>156</v>
      </c>
      <c r="H111" s="36"/>
      <c r="I111" s="36"/>
      <c r="J111" s="36"/>
      <c r="K111" s="36"/>
      <c r="L111" s="36"/>
    </row>
    <row r="112" spans="2:12" x14ac:dyDescent="0.25">
      <c r="B112" s="1" t="s">
        <v>187</v>
      </c>
      <c r="H112" s="32">
        <v>1</v>
      </c>
      <c r="I112" s="32">
        <v>1</v>
      </c>
      <c r="J112" s="32">
        <v>1</v>
      </c>
      <c r="K112" s="32">
        <v>1</v>
      </c>
      <c r="L112" s="32">
        <v>1</v>
      </c>
    </row>
    <row r="113" spans="2:12" ht="13" x14ac:dyDescent="0.3">
      <c r="B113" s="1" t="s">
        <v>188</v>
      </c>
      <c r="H113" s="36">
        <v>0.02</v>
      </c>
      <c r="I113" s="36">
        <v>0.02</v>
      </c>
      <c r="J113" s="36">
        <v>0.02</v>
      </c>
      <c r="K113" s="36">
        <v>0.02</v>
      </c>
      <c r="L113" s="36">
        <v>0.02</v>
      </c>
    </row>
    <row r="114" spans="2:12" ht="13" x14ac:dyDescent="0.3">
      <c r="B114" s="1" t="s">
        <v>177</v>
      </c>
      <c r="H114" s="36">
        <v>0.5</v>
      </c>
      <c r="I114" s="36">
        <v>0.5</v>
      </c>
      <c r="J114" s="36">
        <v>0.5</v>
      </c>
      <c r="K114" s="36">
        <v>0.5</v>
      </c>
      <c r="L114" s="36">
        <v>0.5</v>
      </c>
    </row>
    <row r="115" spans="2:12" x14ac:dyDescent="0.25">
      <c r="B115" s="1" t="s">
        <v>189</v>
      </c>
      <c r="H115" s="28">
        <v>50</v>
      </c>
      <c r="I115" s="28">
        <v>50</v>
      </c>
      <c r="J115" s="28">
        <v>50</v>
      </c>
      <c r="K115" s="28">
        <v>50</v>
      </c>
      <c r="L115" s="28">
        <v>50</v>
      </c>
    </row>
    <row r="118" spans="2:12" ht="13" x14ac:dyDescent="0.3">
      <c r="B118" s="2" t="s">
        <v>4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20" spans="2:12" ht="13" x14ac:dyDescent="0.3">
      <c r="G120" s="60">
        <f>H120-1</f>
        <v>2020</v>
      </c>
      <c r="H120" s="38">
        <v>2021</v>
      </c>
      <c r="I120" s="38">
        <f>H120+1</f>
        <v>2022</v>
      </c>
      <c r="J120" s="38">
        <f t="shared" ref="J120:L120" si="14">I120+1</f>
        <v>2023</v>
      </c>
      <c r="K120" s="38">
        <f t="shared" si="14"/>
        <v>2024</v>
      </c>
      <c r="L120" s="38">
        <f t="shared" si="14"/>
        <v>2025</v>
      </c>
    </row>
    <row r="121" spans="2:12" ht="13" x14ac:dyDescent="0.3">
      <c r="B121" s="6" t="s">
        <v>5</v>
      </c>
      <c r="C121" s="5"/>
      <c r="D121" s="5"/>
      <c r="E121" s="5"/>
      <c r="F121" s="5"/>
      <c r="G121" s="85">
        <f t="shared" ref="G121:L121" si="15">G93+G101</f>
        <v>2600</v>
      </c>
      <c r="H121" s="17">
        <f t="shared" si="15"/>
        <v>2937.6000000000004</v>
      </c>
      <c r="I121" s="17">
        <f t="shared" si="15"/>
        <v>3291.8256000000001</v>
      </c>
      <c r="J121" s="17">
        <f t="shared" si="15"/>
        <v>3663.5022576000001</v>
      </c>
      <c r="K121" s="17">
        <f t="shared" si="15"/>
        <v>4053.5027770895999</v>
      </c>
      <c r="L121" s="17">
        <f t="shared" si="15"/>
        <v>4462.7503626149619</v>
      </c>
    </row>
    <row r="122" spans="2:12" x14ac:dyDescent="0.25">
      <c r="B122" s="1" t="s">
        <v>82</v>
      </c>
      <c r="G122" s="71"/>
      <c r="H122" s="29">
        <f>H95+H103</f>
        <v>-1468.8000000000002</v>
      </c>
      <c r="I122" s="29">
        <f t="shared" ref="I122:L122" si="16">I95+I103</f>
        <v>-1645.9128000000001</v>
      </c>
      <c r="J122" s="29">
        <f t="shared" si="16"/>
        <v>-1831.7511288000001</v>
      </c>
      <c r="K122" s="29">
        <f t="shared" si="16"/>
        <v>-2026.7513885448</v>
      </c>
      <c r="L122" s="29">
        <f t="shared" si="16"/>
        <v>-2231.3751813074809</v>
      </c>
    </row>
    <row r="123" spans="2:12" ht="13" x14ac:dyDescent="0.3">
      <c r="B123" s="6" t="s">
        <v>83</v>
      </c>
      <c r="C123" s="5"/>
      <c r="D123" s="5"/>
      <c r="E123" s="5"/>
      <c r="F123" s="5"/>
      <c r="G123" s="64"/>
      <c r="H123" s="17">
        <f t="shared" ref="H123:L123" si="17">SUM(H121:H122)</f>
        <v>1468.8000000000002</v>
      </c>
      <c r="I123" s="17">
        <f t="shared" si="17"/>
        <v>1645.9128000000001</v>
      </c>
      <c r="J123" s="17">
        <f t="shared" si="17"/>
        <v>1831.7511288000001</v>
      </c>
      <c r="K123" s="17">
        <f t="shared" si="17"/>
        <v>2026.7513885448</v>
      </c>
      <c r="L123" s="17">
        <f t="shared" si="17"/>
        <v>2231.3751813074809</v>
      </c>
    </row>
    <row r="124" spans="2:12" ht="13" x14ac:dyDescent="0.3">
      <c r="B124" s="11" t="s">
        <v>6</v>
      </c>
      <c r="G124" s="74"/>
      <c r="H124" s="42">
        <f t="shared" ref="H124" si="18">H123/H$121</f>
        <v>0.5</v>
      </c>
      <c r="I124" s="42">
        <f t="shared" ref="I124" si="19">I123/I$121</f>
        <v>0.5</v>
      </c>
      <c r="J124" s="42">
        <f t="shared" ref="J124" si="20">J123/J$121</f>
        <v>0.5</v>
      </c>
      <c r="K124" s="42">
        <f t="shared" ref="K124" si="21">K123/K$121</f>
        <v>0.5</v>
      </c>
      <c r="L124" s="42">
        <f t="shared" ref="L124" si="22">L123/L$121</f>
        <v>0.5</v>
      </c>
    </row>
    <row r="125" spans="2:12" x14ac:dyDescent="0.25">
      <c r="G125" s="62"/>
    </row>
    <row r="126" spans="2:12" x14ac:dyDescent="0.25">
      <c r="B126" s="1" t="s">
        <v>84</v>
      </c>
      <c r="G126" s="72"/>
      <c r="H126" s="73">
        <f t="shared" ref="H126:L127" si="23">-H155*H$121</f>
        <v>-293.76000000000005</v>
      </c>
      <c r="I126" s="15">
        <f t="shared" si="23"/>
        <v>-329.18256000000002</v>
      </c>
      <c r="J126" s="15">
        <f t="shared" si="23"/>
        <v>-366.35022576000006</v>
      </c>
      <c r="K126" s="15">
        <f t="shared" si="23"/>
        <v>-405.35027770895999</v>
      </c>
      <c r="L126" s="15">
        <f t="shared" si="23"/>
        <v>-446.27503626149621</v>
      </c>
    </row>
    <row r="127" spans="2:12" x14ac:dyDescent="0.25">
      <c r="B127" s="1" t="s">
        <v>85</v>
      </c>
      <c r="G127" s="107"/>
      <c r="H127" s="29">
        <f t="shared" si="23"/>
        <v>-264.38400000000001</v>
      </c>
      <c r="I127" s="29">
        <f t="shared" si="23"/>
        <v>-296.26430399999998</v>
      </c>
      <c r="J127" s="29">
        <f t="shared" si="23"/>
        <v>-329.71520318400002</v>
      </c>
      <c r="K127" s="29">
        <f t="shared" si="23"/>
        <v>-364.81524993806397</v>
      </c>
      <c r="L127" s="29">
        <f t="shared" si="23"/>
        <v>-401.64753263534658</v>
      </c>
    </row>
    <row r="128" spans="2:12" x14ac:dyDescent="0.25">
      <c r="B128" s="1" t="s">
        <v>179</v>
      </c>
      <c r="G128" s="107"/>
      <c r="H128" s="29">
        <f>-H115*H99</f>
        <v>-300</v>
      </c>
      <c r="I128" s="29">
        <f t="shared" ref="I128:L128" si="24">-I115*I99</f>
        <v>-350</v>
      </c>
      <c r="J128" s="29">
        <f t="shared" si="24"/>
        <v>-400</v>
      </c>
      <c r="K128" s="29">
        <f t="shared" si="24"/>
        <v>-450</v>
      </c>
      <c r="L128" s="29">
        <f t="shared" si="24"/>
        <v>-500</v>
      </c>
    </row>
    <row r="129" spans="2:12" ht="13" x14ac:dyDescent="0.3">
      <c r="B129" s="6" t="s">
        <v>7</v>
      </c>
      <c r="C129" s="5"/>
      <c r="D129" s="5"/>
      <c r="E129" s="5"/>
      <c r="F129" s="5"/>
      <c r="G129" s="61">
        <v>500</v>
      </c>
      <c r="H129" s="17">
        <f>H123+SUM(H126:H128)</f>
        <v>610.65600000000018</v>
      </c>
      <c r="I129" s="17">
        <f t="shared" ref="I129:L129" si="25">I123+SUM(I126:I128)</f>
        <v>670.46593600000006</v>
      </c>
      <c r="J129" s="17">
        <f t="shared" si="25"/>
        <v>735.68569985599993</v>
      </c>
      <c r="K129" s="17">
        <f t="shared" si="25"/>
        <v>806.585860897776</v>
      </c>
      <c r="L129" s="17">
        <f t="shared" si="25"/>
        <v>883.45261241063827</v>
      </c>
    </row>
    <row r="130" spans="2:12" ht="13" x14ac:dyDescent="0.3">
      <c r="B130" s="11" t="s">
        <v>6</v>
      </c>
      <c r="G130" s="74">
        <f>G129/G$121</f>
        <v>0.19230769230769232</v>
      </c>
      <c r="H130" s="42">
        <f t="shared" ref="H130:L130" si="26">H129/H$121</f>
        <v>0.20787581699346408</v>
      </c>
      <c r="I130" s="42">
        <f t="shared" si="26"/>
        <v>0.20367601977455915</v>
      </c>
      <c r="J130" s="42">
        <f t="shared" si="26"/>
        <v>0.20081486187972369</v>
      </c>
      <c r="K130" s="42">
        <f t="shared" si="26"/>
        <v>0.19898490398393207</v>
      </c>
      <c r="L130" s="42">
        <f t="shared" si="26"/>
        <v>0.19796146784535279</v>
      </c>
    </row>
    <row r="131" spans="2:12" x14ac:dyDescent="0.25">
      <c r="G131" s="62"/>
    </row>
    <row r="132" spans="2:12" x14ac:dyDescent="0.25">
      <c r="B132" s="1" t="s">
        <v>9</v>
      </c>
      <c r="G132" s="62"/>
      <c r="H132" s="15">
        <f>-H157*H$121</f>
        <v>-58.75200000000001</v>
      </c>
      <c r="I132" s="15">
        <f>-I157*I$121</f>
        <v>-65.836511999999999</v>
      </c>
      <c r="J132" s="15">
        <f>-J157*J$121</f>
        <v>-73.270045152000009</v>
      </c>
      <c r="K132" s="15">
        <f>-K157*K$121</f>
        <v>-81.070055541792001</v>
      </c>
      <c r="L132" s="15">
        <f>-L157*L$121</f>
        <v>-89.255007252299237</v>
      </c>
    </row>
    <row r="133" spans="2:12" x14ac:dyDescent="0.25">
      <c r="B133" s="1" t="s">
        <v>130</v>
      </c>
      <c r="G133" s="62"/>
      <c r="H133" s="29">
        <f>-$J$46</f>
        <v>-18.333333333333332</v>
      </c>
      <c r="I133" s="29">
        <f t="shared" ref="I133:L133" si="27">-$J$46</f>
        <v>-18.333333333333332</v>
      </c>
      <c r="J133" s="29">
        <f t="shared" si="27"/>
        <v>-18.333333333333332</v>
      </c>
      <c r="K133" s="29">
        <f t="shared" si="27"/>
        <v>-18.333333333333332</v>
      </c>
      <c r="L133" s="29">
        <f t="shared" si="27"/>
        <v>-18.333333333333332</v>
      </c>
    </row>
    <row r="134" spans="2:12" ht="13" x14ac:dyDescent="0.3">
      <c r="B134" s="6" t="s">
        <v>8</v>
      </c>
      <c r="C134" s="5"/>
      <c r="D134" s="5"/>
      <c r="E134" s="5"/>
      <c r="F134" s="5"/>
      <c r="G134" s="63"/>
      <c r="H134" s="17">
        <f>H129+SUM(H132:H133)</f>
        <v>533.57066666666685</v>
      </c>
      <c r="I134" s="17">
        <f t="shared" ref="I134:L134" si="28">I129+SUM(I132:I133)</f>
        <v>586.29609066666671</v>
      </c>
      <c r="J134" s="17">
        <f t="shared" si="28"/>
        <v>644.08232137066659</v>
      </c>
      <c r="K134" s="17">
        <f t="shared" si="28"/>
        <v>707.1824720226507</v>
      </c>
      <c r="L134" s="17">
        <f t="shared" si="28"/>
        <v>775.86427182500574</v>
      </c>
    </row>
    <row r="135" spans="2:12" x14ac:dyDescent="0.25">
      <c r="B135" s="1" t="s">
        <v>171</v>
      </c>
      <c r="G135" s="62"/>
      <c r="H135" s="29">
        <f ca="1">IF(circ=0,0,-H215)</f>
        <v>-213.03313230807146</v>
      </c>
      <c r="I135" s="29">
        <f ca="1">IF(circ=0,0,-I215)</f>
        <v>-198.21610065013576</v>
      </c>
      <c r="J135" s="29">
        <f ca="1">IF(circ=0,0,-J215)</f>
        <v>-272.45630754294075</v>
      </c>
      <c r="K135" s="29">
        <f ca="1">IF(circ=0,0,-K215)</f>
        <v>-262.95086658350533</v>
      </c>
      <c r="L135" s="29">
        <f ca="1">IF(circ=0,0,-L215)</f>
        <v>-249.63008165405807</v>
      </c>
    </row>
    <row r="136" spans="2:12" x14ac:dyDescent="0.25">
      <c r="B136" s="1" t="s">
        <v>13</v>
      </c>
      <c r="G136" s="62"/>
      <c r="H136" s="29">
        <f>-H216</f>
        <v>-8.5714285714285712</v>
      </c>
      <c r="I136" s="29">
        <f t="shared" ref="I136:L136" si="29">-I216</f>
        <v>-8.5714285714285712</v>
      </c>
      <c r="J136" s="29">
        <f t="shared" si="29"/>
        <v>-8.5714285714285712</v>
      </c>
      <c r="K136" s="29">
        <f t="shared" si="29"/>
        <v>-8.5714285714285712</v>
      </c>
      <c r="L136" s="29">
        <f t="shared" si="29"/>
        <v>-8.5714285714285712</v>
      </c>
    </row>
    <row r="137" spans="2:12" ht="13" x14ac:dyDescent="0.3">
      <c r="B137" s="6" t="s">
        <v>10</v>
      </c>
      <c r="C137" s="5"/>
      <c r="D137" s="5"/>
      <c r="E137" s="5"/>
      <c r="F137" s="5"/>
      <c r="G137" s="63"/>
      <c r="H137" s="17">
        <f ca="1">SUM(H134:H136)</f>
        <v>311.96610578716684</v>
      </c>
      <c r="I137" s="17">
        <f t="shared" ref="I137:L137" ca="1" si="30">SUM(I134:I136)</f>
        <v>379.50856144510237</v>
      </c>
      <c r="J137" s="17">
        <f t="shared" ca="1" si="30"/>
        <v>363.05458525629729</v>
      </c>
      <c r="K137" s="17">
        <f t="shared" ca="1" si="30"/>
        <v>435.66017686771681</v>
      </c>
      <c r="L137" s="17">
        <f t="shared" ca="1" si="30"/>
        <v>517.66276159951906</v>
      </c>
    </row>
    <row r="138" spans="2:12" x14ac:dyDescent="0.25">
      <c r="B138" s="1" t="s">
        <v>11</v>
      </c>
      <c r="G138" s="62"/>
      <c r="H138" s="29">
        <f ca="1">MIN(-H137*$F$17,0)</f>
        <v>-118.5471201991234</v>
      </c>
      <c r="I138" s="29">
        <f t="shared" ref="I138:L138" ca="1" si="31">MIN(-I137*$F$17,0)</f>
        <v>-144.21325334913891</v>
      </c>
      <c r="J138" s="29">
        <f t="shared" ca="1" si="31"/>
        <v>-137.96074239739298</v>
      </c>
      <c r="K138" s="29">
        <f t="shared" ca="1" si="31"/>
        <v>-165.55086720973239</v>
      </c>
      <c r="L138" s="29">
        <f t="shared" ca="1" si="31"/>
        <v>-196.71184940781725</v>
      </c>
    </row>
    <row r="139" spans="2:12" ht="13" x14ac:dyDescent="0.3">
      <c r="B139" s="6" t="s">
        <v>12</v>
      </c>
      <c r="C139" s="5"/>
      <c r="D139" s="5"/>
      <c r="E139" s="5"/>
      <c r="F139" s="5"/>
      <c r="G139" s="63"/>
      <c r="H139" s="17">
        <f ca="1">SUM(H137:H138)</f>
        <v>193.41898558804343</v>
      </c>
      <c r="I139" s="17">
        <f t="shared" ref="I139:L139" ca="1" si="32">SUM(I137:I138)</f>
        <v>235.29530809596346</v>
      </c>
      <c r="J139" s="17">
        <f t="shared" ca="1" si="32"/>
        <v>225.09384285890431</v>
      </c>
      <c r="K139" s="17">
        <f t="shared" ca="1" si="32"/>
        <v>270.10930965798445</v>
      </c>
      <c r="L139" s="17">
        <f t="shared" ca="1" si="32"/>
        <v>320.95091219170183</v>
      </c>
    </row>
    <row r="140" spans="2:12" x14ac:dyDescent="0.25">
      <c r="G140" s="62"/>
    </row>
    <row r="141" spans="2:12" x14ac:dyDescent="0.25">
      <c r="B141" s="1" t="s">
        <v>14</v>
      </c>
      <c r="G141" s="62"/>
      <c r="H141" s="15">
        <f>-H132</f>
        <v>58.75200000000001</v>
      </c>
      <c r="I141" s="15">
        <f t="shared" ref="I141:L141" si="33">-I132</f>
        <v>65.836511999999999</v>
      </c>
      <c r="J141" s="15">
        <f t="shared" si="33"/>
        <v>73.270045152000009</v>
      </c>
      <c r="K141" s="15">
        <f t="shared" si="33"/>
        <v>81.070055541792001</v>
      </c>
      <c r="L141" s="15">
        <f t="shared" si="33"/>
        <v>89.255007252299237</v>
      </c>
    </row>
    <row r="142" spans="2:12" x14ac:dyDescent="0.25">
      <c r="B142" s="1" t="s">
        <v>161</v>
      </c>
      <c r="G142" s="62"/>
      <c r="H142" s="29">
        <f>H196</f>
        <v>120</v>
      </c>
      <c r="I142" s="29">
        <f t="shared" ref="I142:L142" si="34">I196</f>
        <v>129.6</v>
      </c>
      <c r="J142" s="29">
        <f t="shared" si="34"/>
        <v>139.96799999999999</v>
      </c>
      <c r="K142" s="29">
        <f t="shared" si="34"/>
        <v>151.16543999999999</v>
      </c>
      <c r="L142" s="29">
        <f t="shared" si="34"/>
        <v>163.2586752</v>
      </c>
    </row>
    <row r="143" spans="2:12" x14ac:dyDescent="0.25">
      <c r="B143" s="1" t="s">
        <v>135</v>
      </c>
      <c r="G143" s="62"/>
      <c r="H143" s="29">
        <f>-H133</f>
        <v>18.333333333333332</v>
      </c>
      <c r="I143" s="29">
        <f t="shared" ref="I143:L143" si="35">-I133</f>
        <v>18.333333333333332</v>
      </c>
      <c r="J143" s="29">
        <f t="shared" si="35"/>
        <v>18.333333333333332</v>
      </c>
      <c r="K143" s="29">
        <f t="shared" si="35"/>
        <v>18.333333333333332</v>
      </c>
      <c r="L143" s="29">
        <f t="shared" si="35"/>
        <v>18.333333333333332</v>
      </c>
    </row>
    <row r="144" spans="2:12" x14ac:dyDescent="0.25">
      <c r="B144" s="1" t="s">
        <v>15</v>
      </c>
      <c r="G144" s="62"/>
      <c r="H144" s="29">
        <f>-H136</f>
        <v>8.5714285714285712</v>
      </c>
      <c r="I144" s="29">
        <f t="shared" ref="I144:L144" si="36">-I136</f>
        <v>8.5714285714285712</v>
      </c>
      <c r="J144" s="29">
        <f t="shared" si="36"/>
        <v>8.5714285714285712</v>
      </c>
      <c r="K144" s="29">
        <f t="shared" si="36"/>
        <v>8.5714285714285712</v>
      </c>
      <c r="L144" s="29">
        <f t="shared" si="36"/>
        <v>8.5714285714285712</v>
      </c>
    </row>
    <row r="145" spans="2:15" x14ac:dyDescent="0.25">
      <c r="B145" s="1" t="s">
        <v>169</v>
      </c>
      <c r="G145" s="62"/>
      <c r="H145" s="29">
        <f>H182</f>
        <v>0</v>
      </c>
      <c r="I145" s="29">
        <f t="shared" ref="I145:L145" si="37">I182</f>
        <v>0</v>
      </c>
      <c r="J145" s="29">
        <f t="shared" ca="1" si="37"/>
        <v>1470.8250919410198</v>
      </c>
      <c r="K145" s="29">
        <f t="shared" si="37"/>
        <v>0</v>
      </c>
      <c r="L145" s="29">
        <f t="shared" si="37"/>
        <v>0</v>
      </c>
    </row>
    <row r="146" spans="2:15" x14ac:dyDescent="0.25">
      <c r="B146" s="1" t="s">
        <v>170</v>
      </c>
      <c r="G146" s="62"/>
      <c r="H146" s="29">
        <f>-H182</f>
        <v>0</v>
      </c>
      <c r="I146" s="29">
        <f t="shared" ref="I146:L146" si="38">-I182</f>
        <v>0</v>
      </c>
      <c r="J146" s="29">
        <f t="shared" ca="1" si="38"/>
        <v>-1470.8250919410198</v>
      </c>
      <c r="K146" s="29">
        <f t="shared" si="38"/>
        <v>0</v>
      </c>
      <c r="L146" s="29">
        <f t="shared" si="38"/>
        <v>0</v>
      </c>
    </row>
    <row r="147" spans="2:15" x14ac:dyDescent="0.25">
      <c r="B147" s="1" t="s">
        <v>131</v>
      </c>
      <c r="G147" s="62"/>
      <c r="H147" s="29">
        <f>-$J$47</f>
        <v>-6.9666666666666668</v>
      </c>
      <c r="I147" s="29">
        <f t="shared" ref="I147:L147" si="39">-$J$47</f>
        <v>-6.9666666666666668</v>
      </c>
      <c r="J147" s="29">
        <f t="shared" si="39"/>
        <v>-6.9666666666666668</v>
      </c>
      <c r="K147" s="29">
        <f t="shared" si="39"/>
        <v>-6.9666666666666668</v>
      </c>
      <c r="L147" s="29">
        <f t="shared" si="39"/>
        <v>-6.9666666666666668</v>
      </c>
    </row>
    <row r="148" spans="2:15" x14ac:dyDescent="0.25">
      <c r="B148" s="1" t="s">
        <v>16</v>
      </c>
      <c r="G148" s="62"/>
      <c r="H148" s="29">
        <f>-H158*H$121</f>
        <v>-58.75200000000001</v>
      </c>
      <c r="I148" s="29">
        <f>-I158*I$121</f>
        <v>-65.836511999999999</v>
      </c>
      <c r="J148" s="29">
        <f>-J158*J$121</f>
        <v>-73.270045152000009</v>
      </c>
      <c r="K148" s="29">
        <f>-K158*K$121</f>
        <v>-81.070055541792001</v>
      </c>
      <c r="L148" s="29">
        <f>-L158*L$121</f>
        <v>-89.255007252299237</v>
      </c>
    </row>
    <row r="149" spans="2:15" x14ac:dyDescent="0.25">
      <c r="B149" s="1" t="s">
        <v>17</v>
      </c>
      <c r="G149" s="62"/>
      <c r="H149" s="29">
        <f>-H261</f>
        <v>8.553424657534265</v>
      </c>
      <c r="I149" s="29">
        <f t="shared" ref="I149:L149" si="40">-I261</f>
        <v>-29.114432876712272</v>
      </c>
      <c r="J149" s="29">
        <f t="shared" si="40"/>
        <v>-30.548766378082178</v>
      </c>
      <c r="K149" s="29">
        <f t="shared" si="40"/>
        <v>-32.054837218323428</v>
      </c>
      <c r="L149" s="29">
        <f t="shared" si="40"/>
        <v>-33.636787851399617</v>
      </c>
      <c r="O149" s="9" t="s">
        <v>81</v>
      </c>
    </row>
    <row r="150" spans="2:15" ht="13" x14ac:dyDescent="0.3">
      <c r="B150" s="6" t="s">
        <v>18</v>
      </c>
      <c r="C150" s="5"/>
      <c r="D150" s="5"/>
      <c r="E150" s="5"/>
      <c r="F150" s="5"/>
      <c r="G150" s="63"/>
      <c r="H150" s="17">
        <f ca="1">SUM(H141:H149)+H139</f>
        <v>341.91050548367298</v>
      </c>
      <c r="I150" s="17">
        <f ca="1">SUM(I141:I149)+I139</f>
        <v>355.71897045734647</v>
      </c>
      <c r="J150" s="17">
        <f ca="1">SUM(J141:J149)+J139</f>
        <v>354.45117171891741</v>
      </c>
      <c r="K150" s="17">
        <f ca="1">SUM(K141:K149)+K139</f>
        <v>409.15800767775625</v>
      </c>
      <c r="L150" s="17">
        <f ca="1">SUM(L141:L149)+L139</f>
        <v>470.51089477839741</v>
      </c>
      <c r="O150" s="108">
        <f ca="1">SUM(H150:L150)-(G244-L244)-SUM(H142:L142)-SUM(H182:L182)</f>
        <v>0</v>
      </c>
    </row>
    <row r="151" spans="2:15" x14ac:dyDescent="0.25">
      <c r="B151" s="1" t="s">
        <v>77</v>
      </c>
      <c r="G151" s="62"/>
      <c r="H151" s="29">
        <f ca="1">H170+H183+H205</f>
        <v>-341.91050548367298</v>
      </c>
      <c r="I151" s="29">
        <f t="shared" ref="I151:L151" ca="1" si="41">I170+I183+I205</f>
        <v>-355.71897045734647</v>
      </c>
      <c r="J151" s="29">
        <f t="shared" ca="1" si="41"/>
        <v>-354.45117171891741</v>
      </c>
      <c r="K151" s="29">
        <f t="shared" ca="1" si="41"/>
        <v>-409.15800767775625</v>
      </c>
      <c r="L151" s="29">
        <f t="shared" ca="1" si="41"/>
        <v>-470.51089477839741</v>
      </c>
      <c r="O151" s="33"/>
    </row>
    <row r="152" spans="2:15" ht="13" x14ac:dyDescent="0.3">
      <c r="B152" s="6" t="s">
        <v>78</v>
      </c>
      <c r="C152" s="5"/>
      <c r="D152" s="5"/>
      <c r="E152" s="5"/>
      <c r="F152" s="5"/>
      <c r="G152" s="63"/>
      <c r="H152" s="17">
        <f ca="1">H150+H151</f>
        <v>0</v>
      </c>
      <c r="I152" s="17">
        <f ca="1">I150+I151</f>
        <v>0</v>
      </c>
      <c r="J152" s="17">
        <f ca="1">J150+J151</f>
        <v>0</v>
      </c>
      <c r="K152" s="17">
        <f ca="1">K150+K151</f>
        <v>0</v>
      </c>
      <c r="L152" s="17">
        <f ca="1">L150+L151</f>
        <v>0</v>
      </c>
    </row>
    <row r="154" spans="2:15" ht="13" x14ac:dyDescent="0.3">
      <c r="B154" s="8" t="s">
        <v>68</v>
      </c>
    </row>
    <row r="155" spans="2:15" ht="13" x14ac:dyDescent="0.3">
      <c r="B155" s="1" t="s">
        <v>120</v>
      </c>
      <c r="G155" s="36"/>
      <c r="H155" s="36">
        <v>0.1</v>
      </c>
      <c r="I155" s="36">
        <v>0.1</v>
      </c>
      <c r="J155" s="36">
        <v>0.1</v>
      </c>
      <c r="K155" s="36">
        <v>0.1</v>
      </c>
      <c r="L155" s="36">
        <v>0.1</v>
      </c>
    </row>
    <row r="156" spans="2:15" ht="13" x14ac:dyDescent="0.3">
      <c r="B156" s="1" t="s">
        <v>121</v>
      </c>
      <c r="G156" s="36"/>
      <c r="H156" s="36">
        <v>0.09</v>
      </c>
      <c r="I156" s="36">
        <v>0.09</v>
      </c>
      <c r="J156" s="36">
        <v>0.09</v>
      </c>
      <c r="K156" s="36">
        <v>0.09</v>
      </c>
      <c r="L156" s="36">
        <v>0.09</v>
      </c>
    </row>
    <row r="157" spans="2:15" ht="13" x14ac:dyDescent="0.3">
      <c r="B157" s="1" t="s">
        <v>69</v>
      </c>
      <c r="H157" s="36">
        <v>0.02</v>
      </c>
      <c r="I157" s="36">
        <v>0.02</v>
      </c>
      <c r="J157" s="36">
        <v>0.02</v>
      </c>
      <c r="K157" s="36">
        <v>0.02</v>
      </c>
      <c r="L157" s="36">
        <v>0.02</v>
      </c>
    </row>
    <row r="158" spans="2:15" ht="13" x14ac:dyDescent="0.3">
      <c r="B158" s="1" t="s">
        <v>70</v>
      </c>
      <c r="H158" s="36">
        <v>0.02</v>
      </c>
      <c r="I158" s="36">
        <v>0.02</v>
      </c>
      <c r="J158" s="36">
        <v>0.02</v>
      </c>
      <c r="K158" s="36">
        <v>0.02</v>
      </c>
      <c r="L158" s="36">
        <v>0.02</v>
      </c>
    </row>
    <row r="159" spans="2:15" ht="13" x14ac:dyDescent="0.3">
      <c r="H159" s="36"/>
      <c r="I159" s="36"/>
      <c r="J159" s="36"/>
      <c r="K159" s="36"/>
      <c r="L159" s="36"/>
    </row>
    <row r="161" spans="2:12" ht="13" x14ac:dyDescent="0.3">
      <c r="B161" s="2" t="s">
        <v>19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3" spans="2:12" ht="13" x14ac:dyDescent="0.3">
      <c r="F163" s="37" t="s">
        <v>71</v>
      </c>
      <c r="H163" s="36">
        <v>1.4999999999999999E-2</v>
      </c>
      <c r="I163" s="36">
        <v>1.7000000000000001E-2</v>
      </c>
      <c r="J163" s="36">
        <v>1.9E-2</v>
      </c>
      <c r="K163" s="36">
        <v>2.1000000000000001E-2</v>
      </c>
      <c r="L163" s="36">
        <v>2.4E-2</v>
      </c>
    </row>
    <row r="165" spans="2:12" ht="13" x14ac:dyDescent="0.3">
      <c r="H165" s="38">
        <f>H120</f>
        <v>2021</v>
      </c>
      <c r="I165" s="38">
        <f>H165+1</f>
        <v>2022</v>
      </c>
      <c r="J165" s="38">
        <f t="shared" ref="J165:L165" si="42">I165+1</f>
        <v>2023</v>
      </c>
      <c r="K165" s="38">
        <f t="shared" si="42"/>
        <v>2024</v>
      </c>
      <c r="L165" s="38">
        <f t="shared" si="42"/>
        <v>2025</v>
      </c>
    </row>
    <row r="166" spans="2:12" ht="13" x14ac:dyDescent="0.3">
      <c r="B166" s="49" t="s">
        <v>25</v>
      </c>
      <c r="C166" s="47"/>
      <c r="D166" s="47"/>
      <c r="E166" s="47"/>
      <c r="F166" s="47"/>
      <c r="G166" s="47"/>
      <c r="H166" s="48">
        <f ca="1">H150</f>
        <v>341.91050548367298</v>
      </c>
      <c r="I166" s="48">
        <f ca="1">I150</f>
        <v>355.71897045734647</v>
      </c>
      <c r="J166" s="48">
        <f ca="1">J150</f>
        <v>354.45117171891741</v>
      </c>
      <c r="K166" s="48">
        <f ca="1">K150</f>
        <v>409.15800767775625</v>
      </c>
      <c r="L166" s="48">
        <f ca="1">L150</f>
        <v>470.51089477839741</v>
      </c>
    </row>
    <row r="168" spans="2:12" ht="13" x14ac:dyDescent="0.3">
      <c r="B168" s="8" t="s">
        <v>23</v>
      </c>
    </row>
    <row r="169" spans="2:12" x14ac:dyDescent="0.25">
      <c r="B169" s="1" t="s">
        <v>21</v>
      </c>
      <c r="H169" s="28">
        <v>0</v>
      </c>
      <c r="I169" s="15">
        <f ca="1">H171</f>
        <v>0</v>
      </c>
      <c r="J169" s="15">
        <f t="shared" ref="J169:L169" ca="1" si="43">I171</f>
        <v>0</v>
      </c>
      <c r="K169" s="15">
        <f t="shared" ca="1" si="43"/>
        <v>0</v>
      </c>
      <c r="L169" s="15">
        <f t="shared" ca="1" si="43"/>
        <v>0</v>
      </c>
    </row>
    <row r="170" spans="2:12" x14ac:dyDescent="0.25">
      <c r="B170" s="1" t="s">
        <v>20</v>
      </c>
      <c r="H170" s="29">
        <f ca="1">MIN(H176,-MIN(H166,H169))</f>
        <v>0</v>
      </c>
      <c r="I170" s="29">
        <f t="shared" ref="I170:L170" ca="1" si="44">MIN(I176,-MIN(I166,I169))</f>
        <v>0</v>
      </c>
      <c r="J170" s="29">
        <f t="shared" ca="1" si="44"/>
        <v>0</v>
      </c>
      <c r="K170" s="29">
        <f t="shared" ca="1" si="44"/>
        <v>0</v>
      </c>
      <c r="L170" s="29">
        <f t="shared" ca="1" si="44"/>
        <v>0</v>
      </c>
    </row>
    <row r="171" spans="2:12" ht="13" x14ac:dyDescent="0.3">
      <c r="B171" s="6" t="s">
        <v>22</v>
      </c>
      <c r="C171" s="5"/>
      <c r="D171" s="5"/>
      <c r="E171" s="5"/>
      <c r="F171" s="39" t="s">
        <v>72</v>
      </c>
      <c r="G171" s="39" t="s">
        <v>56</v>
      </c>
      <c r="H171" s="17">
        <f ca="1">SUM(H169:H170)</f>
        <v>0</v>
      </c>
      <c r="I171" s="17">
        <f t="shared" ref="I171:L171" ca="1" si="45">SUM(I169:I170)</f>
        <v>0</v>
      </c>
      <c r="J171" s="17">
        <f t="shared" ca="1" si="45"/>
        <v>0</v>
      </c>
      <c r="K171" s="17">
        <f t="shared" ca="1" si="45"/>
        <v>0</v>
      </c>
      <c r="L171" s="17">
        <f t="shared" ca="1" si="45"/>
        <v>0</v>
      </c>
    </row>
    <row r="172" spans="2:12" ht="13" x14ac:dyDescent="0.3">
      <c r="B172" s="1" t="s">
        <v>24</v>
      </c>
      <c r="F172" s="43">
        <f>H28</f>
        <v>0.01</v>
      </c>
      <c r="G172" s="41">
        <f>I28</f>
        <v>400</v>
      </c>
      <c r="H172" s="42">
        <f>($G172/10000+MAX($F172,H$163))</f>
        <v>5.5E-2</v>
      </c>
      <c r="I172" s="42">
        <f>($G172/10000+MAX($F172,I$163))</f>
        <v>5.7000000000000002E-2</v>
      </c>
      <c r="J172" s="42">
        <f>($G172/10000+MAX($F172,J$163))</f>
        <v>5.8999999999999997E-2</v>
      </c>
      <c r="K172" s="42">
        <f>($G172/10000+MAX($F172,K$163))</f>
        <v>6.0999999999999999E-2</v>
      </c>
      <c r="L172" s="42">
        <f>($G172/10000+MAX($F172,L$163))</f>
        <v>6.4000000000000001E-2</v>
      </c>
    </row>
    <row r="173" spans="2:12" ht="13" x14ac:dyDescent="0.3">
      <c r="B173" s="1" t="s">
        <v>73</v>
      </c>
      <c r="F173" s="40"/>
      <c r="G173" s="41"/>
      <c r="H173" s="15">
        <f ca="1">H172*AVERAGE(H169,H171)</f>
        <v>0</v>
      </c>
      <c r="I173" s="15">
        <f t="shared" ref="I173:L173" ca="1" si="46">I172*AVERAGE(I169,I171)</f>
        <v>0</v>
      </c>
      <c r="J173" s="15">
        <f t="shared" ca="1" si="46"/>
        <v>0</v>
      </c>
      <c r="K173" s="15">
        <f t="shared" ca="1" si="46"/>
        <v>0</v>
      </c>
      <c r="L173" s="15">
        <f t="shared" ca="1" si="46"/>
        <v>0</v>
      </c>
    </row>
    <row r="175" spans="2:12" x14ac:dyDescent="0.25">
      <c r="B175" s="1" t="s">
        <v>180</v>
      </c>
      <c r="H175" s="15">
        <f>$F$28</f>
        <v>300</v>
      </c>
      <c r="I175" s="15">
        <f t="shared" ref="I175:L175" si="47">$F$28</f>
        <v>300</v>
      </c>
      <c r="J175" s="15">
        <f t="shared" si="47"/>
        <v>300</v>
      </c>
      <c r="K175" s="15">
        <f t="shared" si="47"/>
        <v>300</v>
      </c>
      <c r="L175" s="15">
        <f t="shared" si="47"/>
        <v>300</v>
      </c>
    </row>
    <row r="176" spans="2:12" x14ac:dyDescent="0.25">
      <c r="B176" s="1" t="s">
        <v>181</v>
      </c>
      <c r="H176" s="15">
        <f>H175-H169</f>
        <v>300</v>
      </c>
      <c r="I176" s="15">
        <f t="shared" ref="I176:L176" ca="1" si="48">I175-I169</f>
        <v>300</v>
      </c>
      <c r="J176" s="15">
        <f t="shared" ca="1" si="48"/>
        <v>300</v>
      </c>
      <c r="K176" s="15">
        <f t="shared" ca="1" si="48"/>
        <v>300</v>
      </c>
      <c r="L176" s="15">
        <f t="shared" ca="1" si="48"/>
        <v>300</v>
      </c>
    </row>
    <row r="178" spans="2:12" ht="13" x14ac:dyDescent="0.3">
      <c r="B178" s="13" t="s">
        <v>30</v>
      </c>
      <c r="C178" s="12"/>
      <c r="D178" s="12"/>
      <c r="E178" s="12"/>
      <c r="F178" s="12"/>
      <c r="G178" s="12"/>
      <c r="H178" s="46">
        <f ca="1">H166+H170</f>
        <v>341.91050548367298</v>
      </c>
      <c r="I178" s="46">
        <f t="shared" ref="I178:L178" ca="1" si="49">I166+I170</f>
        <v>355.71897045734647</v>
      </c>
      <c r="J178" s="46">
        <f t="shared" ca="1" si="49"/>
        <v>354.45117171891741</v>
      </c>
      <c r="K178" s="46">
        <f t="shared" ca="1" si="49"/>
        <v>409.15800767775625</v>
      </c>
      <c r="L178" s="46">
        <f t="shared" ca="1" si="49"/>
        <v>470.51089477839741</v>
      </c>
    </row>
    <row r="180" spans="2:12" ht="13" x14ac:dyDescent="0.3">
      <c r="B180" s="8" t="s">
        <v>150</v>
      </c>
      <c r="F180" s="100" t="s">
        <v>163</v>
      </c>
      <c r="G180" s="100"/>
    </row>
    <row r="181" spans="2:12" x14ac:dyDescent="0.25">
      <c r="B181" s="1" t="s">
        <v>21</v>
      </c>
      <c r="F181" s="109">
        <f>L23</f>
        <v>2023</v>
      </c>
      <c r="H181" s="28">
        <v>0</v>
      </c>
      <c r="I181" s="15">
        <f ca="1">H184</f>
        <v>0</v>
      </c>
      <c r="J181" s="15">
        <f t="shared" ref="J181:L181" ca="1" si="50">I184</f>
        <v>0</v>
      </c>
      <c r="K181" s="15">
        <f t="shared" ca="1" si="50"/>
        <v>1116.3739202221022</v>
      </c>
      <c r="L181" s="15">
        <f t="shared" ca="1" si="50"/>
        <v>707.215912544346</v>
      </c>
    </row>
    <row r="182" spans="2:12" x14ac:dyDescent="0.25">
      <c r="B182" s="1" t="s">
        <v>162</v>
      </c>
      <c r="H182" s="28">
        <v>0</v>
      </c>
      <c r="I182" s="29">
        <f t="shared" ref="I182" si="51">IF(I$165=$F$181,H192,0)</f>
        <v>0</v>
      </c>
      <c r="J182" s="29">
        <f ca="1">IF(J$165=$F$181,I192,0)</f>
        <v>1470.8250919410198</v>
      </c>
      <c r="K182" s="29">
        <f t="shared" ref="K182:L182" si="52">IF(K$165=$F$181,J192,0)</f>
        <v>0</v>
      </c>
      <c r="L182" s="29">
        <f t="shared" si="52"/>
        <v>0</v>
      </c>
    </row>
    <row r="183" spans="2:12" x14ac:dyDescent="0.25">
      <c r="B183" s="1" t="s">
        <v>26</v>
      </c>
      <c r="H183" s="29">
        <f ca="1">-MIN(H178,SUM(H181,H182))</f>
        <v>0</v>
      </c>
      <c r="I183" s="29">
        <f t="shared" ref="I183:L183" ca="1" si="53">-MIN(I178,SUM(I181,I182))</f>
        <v>0</v>
      </c>
      <c r="J183" s="29">
        <f t="shared" ca="1" si="53"/>
        <v>-354.45117171891741</v>
      </c>
      <c r="K183" s="29">
        <f t="shared" ca="1" si="53"/>
        <v>-409.15800767775625</v>
      </c>
      <c r="L183" s="29">
        <f t="shared" ca="1" si="53"/>
        <v>-470.51089477839741</v>
      </c>
    </row>
    <row r="184" spans="2:12" ht="13" x14ac:dyDescent="0.3">
      <c r="B184" s="6" t="s">
        <v>22</v>
      </c>
      <c r="C184" s="5"/>
      <c r="D184" s="5"/>
      <c r="E184" s="5"/>
      <c r="F184" s="39" t="s">
        <v>72</v>
      </c>
      <c r="G184" s="39" t="s">
        <v>56</v>
      </c>
      <c r="H184" s="17">
        <f t="shared" ref="H184:I184" ca="1" si="54">SUM(H181:H183)</f>
        <v>0</v>
      </c>
      <c r="I184" s="17">
        <f t="shared" ca="1" si="54"/>
        <v>0</v>
      </c>
      <c r="J184" s="17">
        <f ca="1">SUM(J181:J183)</f>
        <v>1116.3739202221022</v>
      </c>
      <c r="K184" s="17">
        <f t="shared" ref="K184:L184" ca="1" si="55">SUM(K181:K183)</f>
        <v>707.215912544346</v>
      </c>
      <c r="L184" s="17">
        <f t="shared" ca="1" si="55"/>
        <v>236.70501776594858</v>
      </c>
    </row>
    <row r="185" spans="2:12" ht="13" x14ac:dyDescent="0.3">
      <c r="B185" s="1" t="s">
        <v>24</v>
      </c>
      <c r="F185" s="43">
        <f>H23</f>
        <v>0.01</v>
      </c>
      <c r="G185" s="41">
        <f>I23</f>
        <v>400</v>
      </c>
      <c r="H185" s="42">
        <f>($G185/10000+MAX($F185,H$163))</f>
        <v>5.5E-2</v>
      </c>
      <c r="I185" s="42">
        <f>($G185/10000+MAX($F185,I$163))</f>
        <v>5.7000000000000002E-2</v>
      </c>
      <c r="J185" s="42">
        <f>($G185/10000+MAX($F185,J$163))</f>
        <v>5.8999999999999997E-2</v>
      </c>
      <c r="K185" s="42">
        <f>($G185/10000+MAX($F185,K$163))</f>
        <v>6.0999999999999999E-2</v>
      </c>
      <c r="L185" s="42">
        <f>($G185/10000+MAX($F185,L$163))</f>
        <v>6.4000000000000001E-2</v>
      </c>
    </row>
    <row r="186" spans="2:12" ht="13" x14ac:dyDescent="0.3">
      <c r="B186" s="1" t="s">
        <v>73</v>
      </c>
      <c r="F186" s="40"/>
      <c r="G186" s="41"/>
      <c r="H186" s="15">
        <f t="shared" ref="H186:J186" ca="1" si="56">AVERAGE(SUM(H181:H182),H184)*H185</f>
        <v>0</v>
      </c>
      <c r="I186" s="15">
        <f t="shared" ca="1" si="56"/>
        <v>0</v>
      </c>
      <c r="J186" s="15">
        <f t="shared" ca="1" si="56"/>
        <v>76.322370858812093</v>
      </c>
      <c r="K186" s="15">
        <f ca="1">AVERAGE(SUM(K181:K182),K184)*K185</f>
        <v>55.619489899376667</v>
      </c>
      <c r="L186" s="15">
        <f t="shared" ref="L186" ca="1" si="57">AVERAGE(SUM(L181:L182),L184)*L185</f>
        <v>30.205469769929426</v>
      </c>
    </row>
    <row r="188" spans="2:12" ht="13" x14ac:dyDescent="0.3">
      <c r="B188" s="104" t="s">
        <v>167</v>
      </c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</row>
    <row r="189" spans="2:12" ht="13" x14ac:dyDescent="0.3">
      <c r="B189" s="1" t="s">
        <v>164</v>
      </c>
      <c r="F189" s="100" t="s">
        <v>0</v>
      </c>
      <c r="H189" s="15">
        <f>H129</f>
        <v>610.65600000000018</v>
      </c>
      <c r="I189" s="15">
        <f>I129</f>
        <v>670.46593600000006</v>
      </c>
      <c r="J189" s="15">
        <f>J129</f>
        <v>735.68569985599993</v>
      </c>
      <c r="K189" s="15">
        <f>K129</f>
        <v>806.585860897776</v>
      </c>
      <c r="L189" s="15">
        <f>L129</f>
        <v>883.45261241063827</v>
      </c>
    </row>
    <row r="190" spans="2:12" x14ac:dyDescent="0.25">
      <c r="B190" s="1" t="s">
        <v>165</v>
      </c>
      <c r="F190" s="111">
        <f>M23</f>
        <v>6</v>
      </c>
      <c r="H190" s="29">
        <f>$F$190*H189</f>
        <v>3663.9360000000011</v>
      </c>
      <c r="I190" s="29">
        <f t="shared" ref="I190:L190" si="58">$F$190*I189</f>
        <v>4022.7956160000003</v>
      </c>
      <c r="J190" s="29">
        <f t="shared" si="58"/>
        <v>4414.114199136</v>
      </c>
      <c r="K190" s="29">
        <f t="shared" si="58"/>
        <v>4839.515165386656</v>
      </c>
      <c r="L190" s="29">
        <f t="shared" si="58"/>
        <v>5300.7156744638296</v>
      </c>
    </row>
    <row r="191" spans="2:12" x14ac:dyDescent="0.25">
      <c r="B191" s="1" t="s">
        <v>168</v>
      </c>
      <c r="F191" s="102"/>
      <c r="H191" s="29">
        <f ca="1">H171+H184+H197+H206</f>
        <v>2778.0894945163272</v>
      </c>
      <c r="I191" s="29">
        <f ca="1">I171+I184+I197+I206</f>
        <v>2551.9705240589806</v>
      </c>
      <c r="J191" s="29">
        <f ca="1">J171+J184+J197+J206</f>
        <v>3808.3124442810831</v>
      </c>
      <c r="K191" s="29">
        <f ca="1">K171+K184+K197+K206</f>
        <v>3550.3198766033265</v>
      </c>
      <c r="L191" s="29">
        <f ca="1">L171+L184+L197+L206</f>
        <v>3243.0676570249293</v>
      </c>
    </row>
    <row r="192" spans="2:12" ht="13" x14ac:dyDescent="0.3">
      <c r="B192" s="6" t="s">
        <v>150</v>
      </c>
      <c r="C192" s="6"/>
      <c r="D192" s="6"/>
      <c r="E192" s="6"/>
      <c r="F192" s="39"/>
      <c r="G192" s="6"/>
      <c r="H192" s="17">
        <f ca="1">IF(recap=0,0,H190-H191)</f>
        <v>885.84650548367381</v>
      </c>
      <c r="I192" s="17">
        <f ca="1">IF(recap=0,0,I190-I191)</f>
        <v>1470.8250919410198</v>
      </c>
      <c r="J192" s="17">
        <f ca="1">IF(recap=0,0,J190-J191)</f>
        <v>605.80175485491691</v>
      </c>
      <c r="K192" s="17">
        <f ca="1">IF(recap=0,0,K190-K191)</f>
        <v>1289.1952887833295</v>
      </c>
      <c r="L192" s="17">
        <f ca="1">IF(recap=0,0,L190-L191)</f>
        <v>2057.6480174389003</v>
      </c>
    </row>
    <row r="194" spans="2:12" ht="13" x14ac:dyDescent="0.3">
      <c r="B194" s="8" t="s">
        <v>145</v>
      </c>
    </row>
    <row r="195" spans="2:12" x14ac:dyDescent="0.25">
      <c r="B195" s="1" t="s">
        <v>21</v>
      </c>
      <c r="H195" s="44">
        <f>F33</f>
        <v>1500</v>
      </c>
      <c r="I195" s="15">
        <f>H197</f>
        <v>1620</v>
      </c>
      <c r="J195" s="15">
        <f t="shared" ref="J195:L195" si="59">I197</f>
        <v>1749.6</v>
      </c>
      <c r="K195" s="15">
        <f t="shared" si="59"/>
        <v>1889.568</v>
      </c>
      <c r="L195" s="15">
        <f t="shared" si="59"/>
        <v>2040.73344</v>
      </c>
    </row>
    <row r="196" spans="2:12" x14ac:dyDescent="0.25">
      <c r="B196" s="1" t="s">
        <v>161</v>
      </c>
      <c r="H196" s="29">
        <f>H195*H198</f>
        <v>120</v>
      </c>
      <c r="I196" s="29">
        <f t="shared" ref="I196:L196" si="60">I195*I198</f>
        <v>129.6</v>
      </c>
      <c r="J196" s="29">
        <f t="shared" si="60"/>
        <v>139.96799999999999</v>
      </c>
      <c r="K196" s="29">
        <f t="shared" si="60"/>
        <v>151.16543999999999</v>
      </c>
      <c r="L196" s="29">
        <f t="shared" si="60"/>
        <v>163.2586752</v>
      </c>
    </row>
    <row r="197" spans="2:12" ht="13" x14ac:dyDescent="0.3">
      <c r="B197" s="6" t="s">
        <v>22</v>
      </c>
      <c r="C197" s="5"/>
      <c r="D197" s="5"/>
      <c r="E197" s="5"/>
      <c r="F197" s="39" t="s">
        <v>72</v>
      </c>
      <c r="G197" s="39" t="s">
        <v>56</v>
      </c>
      <c r="H197" s="17">
        <f>SUM(H195:H196)</f>
        <v>1620</v>
      </c>
      <c r="I197" s="17">
        <f t="shared" ref="I197:L197" si="61">SUM(I195:I196)</f>
        <v>1749.6</v>
      </c>
      <c r="J197" s="17">
        <f t="shared" si="61"/>
        <v>1889.568</v>
      </c>
      <c r="K197" s="17">
        <f t="shared" si="61"/>
        <v>2040.73344</v>
      </c>
      <c r="L197" s="17">
        <f t="shared" si="61"/>
        <v>2203.9921152000002</v>
      </c>
    </row>
    <row r="198" spans="2:12" ht="13" x14ac:dyDescent="0.3">
      <c r="B198" s="1" t="s">
        <v>24</v>
      </c>
      <c r="F198" s="43">
        <f>H24</f>
        <v>0</v>
      </c>
      <c r="G198" s="43">
        <f>I24</f>
        <v>0.08</v>
      </c>
      <c r="H198" s="42">
        <f>$G$198</f>
        <v>0.08</v>
      </c>
      <c r="I198" s="42">
        <f t="shared" ref="I198:L198" si="62">$G$198</f>
        <v>0.08</v>
      </c>
      <c r="J198" s="42">
        <f t="shared" si="62"/>
        <v>0.08</v>
      </c>
      <c r="K198" s="42">
        <f t="shared" si="62"/>
        <v>0.08</v>
      </c>
      <c r="L198" s="42">
        <f t="shared" si="62"/>
        <v>0.08</v>
      </c>
    </row>
    <row r="199" spans="2:12" ht="13" x14ac:dyDescent="0.3">
      <c r="B199" s="1" t="s">
        <v>73</v>
      </c>
      <c r="F199" s="40"/>
      <c r="G199" s="41"/>
      <c r="H199" s="15">
        <f>H196</f>
        <v>120</v>
      </c>
      <c r="I199" s="15">
        <f t="shared" ref="I199:L199" si="63">I196</f>
        <v>129.6</v>
      </c>
      <c r="J199" s="15">
        <f t="shared" si="63"/>
        <v>139.96799999999999</v>
      </c>
      <c r="K199" s="15">
        <f t="shared" si="63"/>
        <v>151.16543999999999</v>
      </c>
      <c r="L199" s="15">
        <f t="shared" si="63"/>
        <v>163.2586752</v>
      </c>
    </row>
    <row r="201" spans="2:12" ht="13" x14ac:dyDescent="0.3">
      <c r="B201" s="13" t="s">
        <v>182</v>
      </c>
      <c r="C201" s="12"/>
      <c r="D201" s="12"/>
      <c r="E201" s="12"/>
      <c r="F201" s="12"/>
      <c r="G201" s="12"/>
      <c r="H201" s="45">
        <f ca="1">H178+H183</f>
        <v>341.91050548367298</v>
      </c>
      <c r="I201" s="45">
        <f ca="1">I178+I183</f>
        <v>355.71897045734647</v>
      </c>
      <c r="J201" s="45">
        <f ca="1">J178+J183</f>
        <v>0</v>
      </c>
      <c r="K201" s="45">
        <f ca="1">K178+K183</f>
        <v>0</v>
      </c>
      <c r="L201" s="45">
        <f ca="1">L178+L183</f>
        <v>0</v>
      </c>
    </row>
    <row r="203" spans="2:12" ht="13" x14ac:dyDescent="0.3">
      <c r="B203" s="8" t="s">
        <v>28</v>
      </c>
    </row>
    <row r="204" spans="2:12" x14ac:dyDescent="0.25">
      <c r="B204" s="1" t="s">
        <v>21</v>
      </c>
      <c r="H204" s="44">
        <f>F34</f>
        <v>1500</v>
      </c>
      <c r="I204" s="15">
        <f ca="1">H206</f>
        <v>1158.089494516327</v>
      </c>
      <c r="J204" s="15">
        <f t="shared" ref="J204:L204" ca="1" si="64">I206</f>
        <v>802.37052405898055</v>
      </c>
      <c r="K204" s="15">
        <f t="shared" ca="1" si="64"/>
        <v>802.37052405898055</v>
      </c>
      <c r="L204" s="15">
        <f t="shared" ca="1" si="64"/>
        <v>802.37052405898055</v>
      </c>
    </row>
    <row r="205" spans="2:12" x14ac:dyDescent="0.25">
      <c r="B205" s="1" t="s">
        <v>26</v>
      </c>
      <c r="H205" s="29">
        <f ca="1">-(MIN(H204,H201))</f>
        <v>-341.91050548367298</v>
      </c>
      <c r="I205" s="29">
        <f t="shared" ref="I205:L205" ca="1" si="65">-(MIN(I204,I201))</f>
        <v>-355.71897045734647</v>
      </c>
      <c r="J205" s="29">
        <f t="shared" ca="1" si="65"/>
        <v>0</v>
      </c>
      <c r="K205" s="29">
        <f t="shared" ca="1" si="65"/>
        <v>0</v>
      </c>
      <c r="L205" s="29">
        <f t="shared" ca="1" si="65"/>
        <v>0</v>
      </c>
    </row>
    <row r="206" spans="2:12" ht="13" x14ac:dyDescent="0.3">
      <c r="B206" s="6" t="s">
        <v>22</v>
      </c>
      <c r="C206" s="5"/>
      <c r="D206" s="5"/>
      <c r="E206" s="5"/>
      <c r="F206" s="39" t="s">
        <v>72</v>
      </c>
      <c r="G206" s="39" t="s">
        <v>56</v>
      </c>
      <c r="H206" s="17">
        <f ca="1">SUM(H204:H205)</f>
        <v>1158.089494516327</v>
      </c>
      <c r="I206" s="17">
        <f t="shared" ref="I206" ca="1" si="66">SUM(I204:I205)</f>
        <v>802.37052405898055</v>
      </c>
      <c r="J206" s="17">
        <f t="shared" ref="J206" ca="1" si="67">SUM(J204:J205)</f>
        <v>802.37052405898055</v>
      </c>
      <c r="K206" s="17">
        <f t="shared" ref="K206" ca="1" si="68">SUM(K204:K205)</f>
        <v>802.37052405898055</v>
      </c>
      <c r="L206" s="17">
        <f t="shared" ref="L206" ca="1" si="69">SUM(L204:L205)</f>
        <v>802.37052405898055</v>
      </c>
    </row>
    <row r="207" spans="2:12" ht="13" x14ac:dyDescent="0.3">
      <c r="B207" s="1" t="s">
        <v>24</v>
      </c>
      <c r="F207" s="43">
        <f>H25</f>
        <v>0</v>
      </c>
      <c r="G207" s="43">
        <f>I25</f>
        <v>7.0000000000000007E-2</v>
      </c>
      <c r="H207" s="42">
        <f>G$207</f>
        <v>7.0000000000000007E-2</v>
      </c>
      <c r="I207" s="42">
        <f>H$207</f>
        <v>7.0000000000000007E-2</v>
      </c>
      <c r="J207" s="42">
        <f>I$207</f>
        <v>7.0000000000000007E-2</v>
      </c>
      <c r="K207" s="42">
        <f>J$207</f>
        <v>7.0000000000000007E-2</v>
      </c>
      <c r="L207" s="42">
        <f>K$207</f>
        <v>7.0000000000000007E-2</v>
      </c>
    </row>
    <row r="208" spans="2:12" ht="13" x14ac:dyDescent="0.3">
      <c r="B208" s="1" t="s">
        <v>73</v>
      </c>
      <c r="F208" s="40"/>
      <c r="G208" s="41"/>
      <c r="H208" s="15">
        <f ca="1">H207*AVERAGE(H204,H206)</f>
        <v>93.033132308071458</v>
      </c>
      <c r="I208" s="15">
        <f t="shared" ref="I208" ca="1" si="70">I207*AVERAGE(I204,I206)</f>
        <v>68.616100650135763</v>
      </c>
      <c r="J208" s="15">
        <f t="shared" ref="J208" ca="1" si="71">J207*AVERAGE(J204,J206)</f>
        <v>56.165936684128646</v>
      </c>
      <c r="K208" s="15">
        <f t="shared" ref="K208" ca="1" si="72">K207*AVERAGE(K204,K206)</f>
        <v>56.165936684128646</v>
      </c>
      <c r="L208" s="15">
        <f t="shared" ref="L208" ca="1" si="73">L207*AVERAGE(L204,L206)</f>
        <v>56.165936684128646</v>
      </c>
    </row>
    <row r="210" spans="2:12" ht="13" x14ac:dyDescent="0.3">
      <c r="B210" s="8" t="s">
        <v>27</v>
      </c>
    </row>
    <row r="211" spans="2:12" x14ac:dyDescent="0.25">
      <c r="B211" s="1" t="s">
        <v>23</v>
      </c>
      <c r="H211" s="44">
        <f ca="1">H173</f>
        <v>0</v>
      </c>
      <c r="I211" s="44">
        <f ca="1">I173</f>
        <v>0</v>
      </c>
      <c r="J211" s="44">
        <f ca="1">J173</f>
        <v>0</v>
      </c>
      <c r="K211" s="44">
        <f ca="1">K173</f>
        <v>0</v>
      </c>
      <c r="L211" s="44">
        <f ca="1">L173</f>
        <v>0</v>
      </c>
    </row>
    <row r="212" spans="2:12" x14ac:dyDescent="0.25">
      <c r="B212" s="1" t="s">
        <v>150</v>
      </c>
      <c r="H212" s="50">
        <f ca="1">H186</f>
        <v>0</v>
      </c>
      <c r="I212" s="50">
        <f t="shared" ref="I212:L212" ca="1" si="74">I186</f>
        <v>0</v>
      </c>
      <c r="J212" s="50">
        <f t="shared" ca="1" si="74"/>
        <v>76.322370858812093</v>
      </c>
      <c r="K212" s="50">
        <f t="shared" ca="1" si="74"/>
        <v>55.619489899376667</v>
      </c>
      <c r="L212" s="50">
        <f t="shared" ca="1" si="74"/>
        <v>30.205469769929426</v>
      </c>
    </row>
    <row r="213" spans="2:12" x14ac:dyDescent="0.25">
      <c r="B213" s="1" t="s">
        <v>145</v>
      </c>
      <c r="H213" s="50">
        <f>H199</f>
        <v>120</v>
      </c>
      <c r="I213" s="50">
        <f t="shared" ref="I213:L213" si="75">I199</f>
        <v>129.6</v>
      </c>
      <c r="J213" s="50">
        <f t="shared" si="75"/>
        <v>139.96799999999999</v>
      </c>
      <c r="K213" s="50">
        <f t="shared" si="75"/>
        <v>151.16543999999999</v>
      </c>
      <c r="L213" s="50">
        <f t="shared" si="75"/>
        <v>163.2586752</v>
      </c>
    </row>
    <row r="214" spans="2:12" x14ac:dyDescent="0.25">
      <c r="B214" s="1" t="s">
        <v>28</v>
      </c>
      <c r="H214" s="50">
        <f ca="1">H208</f>
        <v>93.033132308071458</v>
      </c>
      <c r="I214" s="50">
        <f t="shared" ref="I214:L214" ca="1" si="76">I208</f>
        <v>68.616100650135763</v>
      </c>
      <c r="J214" s="50">
        <f t="shared" ca="1" si="76"/>
        <v>56.165936684128646</v>
      </c>
      <c r="K214" s="50">
        <f t="shared" ca="1" si="76"/>
        <v>56.165936684128646</v>
      </c>
      <c r="L214" s="50">
        <f t="shared" ca="1" si="76"/>
        <v>56.165936684128646</v>
      </c>
    </row>
    <row r="215" spans="2:12" ht="13" x14ac:dyDescent="0.3">
      <c r="B215" s="6" t="s">
        <v>31</v>
      </c>
      <c r="C215" s="6"/>
      <c r="D215" s="6"/>
      <c r="E215" s="6"/>
      <c r="F215" s="39" t="s">
        <v>74</v>
      </c>
      <c r="G215" s="39" t="s">
        <v>75</v>
      </c>
      <c r="H215" s="17">
        <f ca="1">SUM(H211:H214)</f>
        <v>213.03313230807146</v>
      </c>
      <c r="I215" s="17">
        <f t="shared" ref="I215:L215" ca="1" si="77">SUM(I211:I214)</f>
        <v>198.21610065013576</v>
      </c>
      <c r="J215" s="17">
        <f t="shared" ca="1" si="77"/>
        <v>272.45630754294075</v>
      </c>
      <c r="K215" s="17">
        <f t="shared" ca="1" si="77"/>
        <v>262.95086658350533</v>
      </c>
      <c r="L215" s="17">
        <f t="shared" ca="1" si="77"/>
        <v>249.63008165405807</v>
      </c>
    </row>
    <row r="216" spans="2:12" x14ac:dyDescent="0.25">
      <c r="B216" s="1" t="s">
        <v>32</v>
      </c>
      <c r="F216" s="110">
        <f>M36</f>
        <v>60</v>
      </c>
      <c r="G216" s="35">
        <v>7</v>
      </c>
      <c r="H216" s="15">
        <f>$F$216/$G$216</f>
        <v>8.5714285714285712</v>
      </c>
      <c r="I216" s="15">
        <f>$F$216/$G$216</f>
        <v>8.5714285714285712</v>
      </c>
      <c r="J216" s="15">
        <f>$F$216/$G$216</f>
        <v>8.5714285714285712</v>
      </c>
      <c r="K216" s="15">
        <f>$F$216/$G$216</f>
        <v>8.5714285714285712</v>
      </c>
      <c r="L216" s="15">
        <f>$F$216/$G$216</f>
        <v>8.5714285714285712</v>
      </c>
    </row>
    <row r="217" spans="2:12" ht="13" x14ac:dyDescent="0.3">
      <c r="B217" s="6" t="s">
        <v>172</v>
      </c>
      <c r="C217" s="6"/>
      <c r="D217" s="6"/>
      <c r="E217" s="6"/>
      <c r="F217" s="6"/>
      <c r="G217" s="6"/>
      <c r="H217" s="17">
        <f ca="1">SUM(H215:H216)</f>
        <v>221.60456087950004</v>
      </c>
      <c r="I217" s="17">
        <f t="shared" ref="I217:L217" ca="1" si="78">SUM(I215:I216)</f>
        <v>206.78752922156434</v>
      </c>
      <c r="J217" s="17">
        <f t="shared" ca="1" si="78"/>
        <v>281.0277361143693</v>
      </c>
      <c r="K217" s="17">
        <f t="shared" ca="1" si="78"/>
        <v>271.52229515493389</v>
      </c>
      <c r="L217" s="17">
        <f t="shared" ca="1" si="78"/>
        <v>258.20151022548663</v>
      </c>
    </row>
    <row r="220" spans="2:12" ht="13" x14ac:dyDescent="0.3">
      <c r="B220" s="2" t="s">
        <v>33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2" spans="2:12" ht="13" x14ac:dyDescent="0.3">
      <c r="G222" s="82" t="s">
        <v>76</v>
      </c>
      <c r="H222" s="38">
        <f>H120</f>
        <v>2021</v>
      </c>
      <c r="I222" s="38">
        <f>H222+1</f>
        <v>2022</v>
      </c>
      <c r="J222" s="38">
        <f t="shared" ref="J222:L222" si="79">I222+1</f>
        <v>2023</v>
      </c>
      <c r="K222" s="38">
        <f t="shared" si="79"/>
        <v>2024</v>
      </c>
      <c r="L222" s="38">
        <f t="shared" si="79"/>
        <v>2025</v>
      </c>
    </row>
    <row r="223" spans="2:12" x14ac:dyDescent="0.25">
      <c r="B223" s="5" t="s">
        <v>34</v>
      </c>
      <c r="C223" s="5"/>
      <c r="D223" s="5"/>
      <c r="E223" s="5"/>
      <c r="F223" s="5"/>
      <c r="G223" s="83">
        <f>F18</f>
        <v>100</v>
      </c>
      <c r="H223" s="14">
        <f ca="1">G223+H152</f>
        <v>100</v>
      </c>
      <c r="I223" s="14">
        <f ca="1">H223+I152</f>
        <v>100</v>
      </c>
      <c r="J223" s="14">
        <f ca="1">I223+J152</f>
        <v>100</v>
      </c>
      <c r="K223" s="14">
        <f ca="1">J223+K152</f>
        <v>100</v>
      </c>
      <c r="L223" s="14">
        <f ca="1">K223+L152</f>
        <v>100</v>
      </c>
    </row>
    <row r="224" spans="2:12" x14ac:dyDescent="0.25">
      <c r="B224" s="1" t="s">
        <v>87</v>
      </c>
      <c r="G224" s="84">
        <f>K56</f>
        <v>200</v>
      </c>
      <c r="H224" s="29">
        <f>H264/365*H271</f>
        <v>241.44657534246576</v>
      </c>
      <c r="I224" s="29">
        <f t="shared" ref="I224:L224" si="80">I264/365*I271</f>
        <v>270.56100821917806</v>
      </c>
      <c r="J224" s="29">
        <f t="shared" si="80"/>
        <v>301.10977459726024</v>
      </c>
      <c r="K224" s="29">
        <f t="shared" si="80"/>
        <v>333.16461181558356</v>
      </c>
      <c r="L224" s="29">
        <f t="shared" si="80"/>
        <v>366.80139966698317</v>
      </c>
    </row>
    <row r="225" spans="2:12" x14ac:dyDescent="0.25">
      <c r="B225" s="1" t="s">
        <v>88</v>
      </c>
      <c r="G225" s="84">
        <f>K57</f>
        <v>250</v>
      </c>
      <c r="H225" s="29">
        <f>H265/365*H272</f>
        <v>241.44657534246576</v>
      </c>
      <c r="I225" s="29">
        <f t="shared" ref="I225:L225" si="81">I265/365*I272</f>
        <v>270.56100821917806</v>
      </c>
      <c r="J225" s="29">
        <f t="shared" si="81"/>
        <v>301.10977459726024</v>
      </c>
      <c r="K225" s="29">
        <f t="shared" si="81"/>
        <v>333.16461181558356</v>
      </c>
      <c r="L225" s="29">
        <f t="shared" si="81"/>
        <v>366.80139966698317</v>
      </c>
    </row>
    <row r="226" spans="2:12" x14ac:dyDescent="0.25">
      <c r="B226" s="1" t="s">
        <v>89</v>
      </c>
      <c r="G226" s="84">
        <f>K58</f>
        <v>50</v>
      </c>
      <c r="H226" s="29">
        <f>H266*H271</f>
        <v>58.75200000000001</v>
      </c>
      <c r="I226" s="29">
        <f t="shared" ref="I226:L226" si="82">I266*I271</f>
        <v>65.836511999999999</v>
      </c>
      <c r="J226" s="29">
        <f t="shared" si="82"/>
        <v>73.270045152000009</v>
      </c>
      <c r="K226" s="29">
        <f t="shared" si="82"/>
        <v>81.070055541792001</v>
      </c>
      <c r="L226" s="29">
        <f t="shared" si="82"/>
        <v>89.255007252299237</v>
      </c>
    </row>
    <row r="227" spans="2:12" ht="13" x14ac:dyDescent="0.3">
      <c r="B227" s="30" t="s">
        <v>90</v>
      </c>
      <c r="C227" s="30"/>
      <c r="D227" s="30"/>
      <c r="E227" s="30"/>
      <c r="F227" s="30"/>
      <c r="G227" s="85">
        <f>SUM(G223:G226)</f>
        <v>600</v>
      </c>
      <c r="H227" s="31">
        <f t="shared" ref="H227:L227" ca="1" si="83">SUM(H223:H226)</f>
        <v>641.64515068493142</v>
      </c>
      <c r="I227" s="31">
        <f t="shared" ca="1" si="83"/>
        <v>706.9585284383561</v>
      </c>
      <c r="J227" s="31">
        <f t="shared" ca="1" si="83"/>
        <v>775.48959434652045</v>
      </c>
      <c r="K227" s="31">
        <f t="shared" ca="1" si="83"/>
        <v>847.39927917295915</v>
      </c>
      <c r="L227" s="31">
        <f t="shared" ca="1" si="83"/>
        <v>922.85780658626561</v>
      </c>
    </row>
    <row r="228" spans="2:12" x14ac:dyDescent="0.25">
      <c r="G228" s="86"/>
      <c r="H228" s="15"/>
    </row>
    <row r="229" spans="2:12" x14ac:dyDescent="0.25">
      <c r="B229" s="1" t="s">
        <v>91</v>
      </c>
      <c r="G229" s="86">
        <f>K61</f>
        <v>2000</v>
      </c>
      <c r="H229" s="15">
        <f>-H148+H132+G229</f>
        <v>2000</v>
      </c>
      <c r="I229" s="15">
        <f>-I148+I132+H229</f>
        <v>2000</v>
      </c>
      <c r="J229" s="15">
        <f>-J148+J132+I229</f>
        <v>2000</v>
      </c>
      <c r="K229" s="15">
        <f>-K148+K132+J229</f>
        <v>2000</v>
      </c>
      <c r="L229" s="15">
        <f>-L148+L132+K229</f>
        <v>2000</v>
      </c>
    </row>
    <row r="230" spans="2:12" x14ac:dyDescent="0.25">
      <c r="B230" s="1" t="s">
        <v>92</v>
      </c>
      <c r="G230" s="84">
        <f>K62</f>
        <v>2579.5</v>
      </c>
      <c r="H230" s="29">
        <f>G230</f>
        <v>2579.5</v>
      </c>
      <c r="I230" s="29">
        <f t="shared" ref="I230:L230" si="84">H230</f>
        <v>2579.5</v>
      </c>
      <c r="J230" s="29">
        <f t="shared" si="84"/>
        <v>2579.5</v>
      </c>
      <c r="K230" s="29">
        <f t="shared" si="84"/>
        <v>2579.5</v>
      </c>
      <c r="L230" s="29">
        <f t="shared" si="84"/>
        <v>2579.5</v>
      </c>
    </row>
    <row r="231" spans="2:12" x14ac:dyDescent="0.25">
      <c r="B231" s="1" t="s">
        <v>107</v>
      </c>
      <c r="G231" s="84">
        <f>K63</f>
        <v>275</v>
      </c>
      <c r="H231" s="29">
        <f>G231+H133</f>
        <v>256.66666666666669</v>
      </c>
      <c r="I231" s="29">
        <f>H231+I133</f>
        <v>238.33333333333334</v>
      </c>
      <c r="J231" s="29">
        <f>I231+J133</f>
        <v>220</v>
      </c>
      <c r="K231" s="29">
        <f>J231+K133</f>
        <v>201.66666666666666</v>
      </c>
      <c r="L231" s="29">
        <f>K231+L133</f>
        <v>183.33333333333331</v>
      </c>
    </row>
    <row r="232" spans="2:12" ht="13" x14ac:dyDescent="0.3">
      <c r="B232" s="77" t="s">
        <v>93</v>
      </c>
      <c r="C232" s="78"/>
      <c r="D232" s="78"/>
      <c r="E232" s="78"/>
      <c r="F232" s="78"/>
      <c r="G232" s="87">
        <f t="shared" ref="G232:L232" si="85">SUM(G229:G231)+G227</f>
        <v>5454.5</v>
      </c>
      <c r="H232" s="79">
        <f t="shared" ca="1" si="85"/>
        <v>5477.8118173515986</v>
      </c>
      <c r="I232" s="79">
        <f t="shared" ca="1" si="85"/>
        <v>5524.7918617716896</v>
      </c>
      <c r="J232" s="79">
        <f t="shared" ca="1" si="85"/>
        <v>5574.9895943465208</v>
      </c>
      <c r="K232" s="79">
        <f t="shared" ca="1" si="85"/>
        <v>5628.5659458396258</v>
      </c>
      <c r="L232" s="80">
        <f t="shared" ca="1" si="85"/>
        <v>5685.6911399195988</v>
      </c>
    </row>
    <row r="233" spans="2:12" x14ac:dyDescent="0.25">
      <c r="G233" s="86"/>
      <c r="H233" s="15"/>
    </row>
    <row r="234" spans="2:12" x14ac:dyDescent="0.25">
      <c r="B234" s="1" t="s">
        <v>94</v>
      </c>
      <c r="G234" s="86">
        <f>K66</f>
        <v>200</v>
      </c>
      <c r="H234" s="15">
        <f>H268/365*H272</f>
        <v>241.44657534246576</v>
      </c>
      <c r="I234" s="15">
        <f t="shared" ref="I234:L234" si="86">I268/365*I272</f>
        <v>270.56100821917806</v>
      </c>
      <c r="J234" s="15">
        <f t="shared" si="86"/>
        <v>301.10977459726024</v>
      </c>
      <c r="K234" s="15">
        <f t="shared" si="86"/>
        <v>333.16461181558356</v>
      </c>
      <c r="L234" s="15">
        <f t="shared" si="86"/>
        <v>366.80139966698317</v>
      </c>
    </row>
    <row r="235" spans="2:12" x14ac:dyDescent="0.25">
      <c r="B235" s="1" t="s">
        <v>95</v>
      </c>
      <c r="G235" s="84">
        <f>K67</f>
        <v>50</v>
      </c>
      <c r="H235" s="29">
        <f>H269*H271</f>
        <v>58.75200000000001</v>
      </c>
      <c r="I235" s="29">
        <f t="shared" ref="I235:L235" si="87">I269*I271</f>
        <v>65.836511999999999</v>
      </c>
      <c r="J235" s="29">
        <f t="shared" si="87"/>
        <v>73.270045152000009</v>
      </c>
      <c r="K235" s="29">
        <f t="shared" si="87"/>
        <v>81.070055541792001</v>
      </c>
      <c r="L235" s="29">
        <f t="shared" si="87"/>
        <v>89.255007252299237</v>
      </c>
    </row>
    <row r="236" spans="2:12" ht="13" x14ac:dyDescent="0.3">
      <c r="B236" s="6" t="s">
        <v>96</v>
      </c>
      <c r="C236" s="5"/>
      <c r="D236" s="5"/>
      <c r="E236" s="5"/>
      <c r="F236" s="5"/>
      <c r="G236" s="85">
        <f>SUM(G234:G235)</f>
        <v>250</v>
      </c>
      <c r="H236" s="31">
        <f t="shared" ref="H236:L236" si="88">SUM(H234:H235)</f>
        <v>300.1985753424658</v>
      </c>
      <c r="I236" s="31">
        <f t="shared" si="88"/>
        <v>336.39752021917809</v>
      </c>
      <c r="J236" s="31">
        <f t="shared" si="88"/>
        <v>374.37981974926026</v>
      </c>
      <c r="K236" s="31">
        <f t="shared" si="88"/>
        <v>414.23466735737554</v>
      </c>
      <c r="L236" s="31">
        <f t="shared" si="88"/>
        <v>456.05640691928238</v>
      </c>
    </row>
    <row r="237" spans="2:12" x14ac:dyDescent="0.25">
      <c r="G237" s="86"/>
      <c r="H237" s="15"/>
    </row>
    <row r="238" spans="2:12" x14ac:dyDescent="0.25">
      <c r="B238" s="1" t="s">
        <v>23</v>
      </c>
      <c r="G238" s="86">
        <f>K71</f>
        <v>0</v>
      </c>
      <c r="H238" s="44">
        <f ca="1">H171</f>
        <v>0</v>
      </c>
      <c r="I238" s="44">
        <f ca="1">I171</f>
        <v>0</v>
      </c>
      <c r="J238" s="44">
        <f ca="1">J171</f>
        <v>0</v>
      </c>
      <c r="K238" s="44">
        <f ca="1">K171</f>
        <v>0</v>
      </c>
      <c r="L238" s="44">
        <f ca="1">L171</f>
        <v>0</v>
      </c>
    </row>
    <row r="239" spans="2:12" x14ac:dyDescent="0.25">
      <c r="B239" s="1" t="s">
        <v>150</v>
      </c>
      <c r="G239" s="86">
        <f>K72</f>
        <v>0</v>
      </c>
      <c r="H239" s="50">
        <f ca="1">H184</f>
        <v>0</v>
      </c>
      <c r="I239" s="50">
        <f ca="1">I184</f>
        <v>0</v>
      </c>
      <c r="J239" s="50">
        <f ca="1">J184</f>
        <v>1116.3739202221022</v>
      </c>
      <c r="K239" s="50">
        <f ca="1">K184</f>
        <v>707.215912544346</v>
      </c>
      <c r="L239" s="50">
        <f ca="1">L184</f>
        <v>236.70501776594858</v>
      </c>
    </row>
    <row r="240" spans="2:12" x14ac:dyDescent="0.25">
      <c r="B240" s="1" t="s">
        <v>145</v>
      </c>
      <c r="G240" s="84">
        <f>K73</f>
        <v>1500</v>
      </c>
      <c r="H240" s="50">
        <f>H197</f>
        <v>1620</v>
      </c>
      <c r="I240" s="50">
        <f>I197</f>
        <v>1749.6</v>
      </c>
      <c r="J240" s="50">
        <f>J197</f>
        <v>1889.568</v>
      </c>
      <c r="K240" s="50">
        <f>K197</f>
        <v>2040.73344</v>
      </c>
      <c r="L240" s="50">
        <f>L197</f>
        <v>2203.9921152000002</v>
      </c>
    </row>
    <row r="241" spans="2:12" x14ac:dyDescent="0.25">
      <c r="B241" s="1" t="s">
        <v>28</v>
      </c>
      <c r="G241" s="84">
        <f>K74</f>
        <v>1500</v>
      </c>
      <c r="H241" s="50">
        <f ca="1">H206</f>
        <v>1158.089494516327</v>
      </c>
      <c r="I241" s="50">
        <f ca="1">I206</f>
        <v>802.37052405898055</v>
      </c>
      <c r="J241" s="50">
        <f ca="1">J206</f>
        <v>802.37052405898055</v>
      </c>
      <c r="K241" s="50">
        <f ca="1">K206</f>
        <v>802.37052405898055</v>
      </c>
      <c r="L241" s="50">
        <f ca="1">L206</f>
        <v>802.37052405898055</v>
      </c>
    </row>
    <row r="242" spans="2:12" ht="13" x14ac:dyDescent="0.3">
      <c r="B242" s="6" t="s">
        <v>35</v>
      </c>
      <c r="C242" s="6"/>
      <c r="D242" s="6"/>
      <c r="E242" s="6"/>
      <c r="F242" s="6"/>
      <c r="G242" s="64">
        <f t="shared" ref="G242:L242" si="89">SUM(G238:G241)</f>
        <v>3000</v>
      </c>
      <c r="H242" s="17">
        <f t="shared" ca="1" si="89"/>
        <v>2778.0894945163272</v>
      </c>
      <c r="I242" s="17">
        <f t="shared" ca="1" si="89"/>
        <v>2551.9705240589806</v>
      </c>
      <c r="J242" s="17">
        <f t="shared" ca="1" si="89"/>
        <v>3808.3124442810831</v>
      </c>
      <c r="K242" s="17">
        <f t="shared" ca="1" si="89"/>
        <v>3550.3198766033265</v>
      </c>
      <c r="L242" s="17">
        <f t="shared" ca="1" si="89"/>
        <v>3243.0676570249293</v>
      </c>
    </row>
    <row r="243" spans="2:12" ht="13" x14ac:dyDescent="0.3">
      <c r="B243" s="1" t="s">
        <v>36</v>
      </c>
      <c r="G243" s="62"/>
      <c r="H243" s="51">
        <f ca="1">IFERROR(H242/$G$242,"n.a.")</f>
        <v>0.92602983150544238</v>
      </c>
      <c r="I243" s="51">
        <f ca="1">IFERROR(I242/$G$242,"n.a.")</f>
        <v>0.85065684135299358</v>
      </c>
      <c r="J243" s="51">
        <f ca="1">IFERROR(J242/$G$242,"n.a.")</f>
        <v>1.2694374814270277</v>
      </c>
      <c r="K243" s="51">
        <f ca="1">IFERROR(K242/$G$242,"n.a.")</f>
        <v>1.1834399588677755</v>
      </c>
      <c r="L243" s="51">
        <f ca="1">IFERROR(L242/$G$242,"n.a.")</f>
        <v>1.081022552341643</v>
      </c>
    </row>
    <row r="244" spans="2:12" ht="13" x14ac:dyDescent="0.3">
      <c r="B244" s="7" t="s">
        <v>143</v>
      </c>
      <c r="G244" s="16">
        <f t="shared" ref="G244:L244" si="90">G242-G223</f>
        <v>2900</v>
      </c>
      <c r="H244" s="95">
        <f t="shared" ca="1" si="90"/>
        <v>2678.0894945163272</v>
      </c>
      <c r="I244" s="16">
        <f t="shared" ca="1" si="90"/>
        <v>2451.9705240589806</v>
      </c>
      <c r="J244" s="16">
        <f t="shared" ca="1" si="90"/>
        <v>3708.3124442810831</v>
      </c>
      <c r="K244" s="16">
        <f t="shared" ca="1" si="90"/>
        <v>3450.3198766033265</v>
      </c>
      <c r="L244" s="16">
        <f t="shared" ca="1" si="90"/>
        <v>3143.0676570249293</v>
      </c>
    </row>
    <row r="245" spans="2:12" ht="13" x14ac:dyDescent="0.3">
      <c r="G245" s="62"/>
      <c r="H245" s="51"/>
      <c r="I245" s="51"/>
      <c r="J245" s="51"/>
      <c r="K245" s="51"/>
      <c r="L245" s="51"/>
    </row>
    <row r="246" spans="2:12" ht="13" x14ac:dyDescent="0.3">
      <c r="B246" s="7" t="s">
        <v>37</v>
      </c>
      <c r="C246" s="7"/>
      <c r="D246" s="7"/>
      <c r="E246" s="7"/>
      <c r="F246" s="7"/>
      <c r="G246" s="88">
        <f t="shared" ref="G246:L246" si="91">G242/G129</f>
        <v>6</v>
      </c>
      <c r="H246" s="52">
        <f t="shared" ca="1" si="91"/>
        <v>4.5493526543853271</v>
      </c>
      <c r="I246" s="52">
        <f t="shared" ca="1" si="91"/>
        <v>3.8062642515204237</v>
      </c>
      <c r="J246" s="52">
        <f t="shared" ca="1" si="91"/>
        <v>5.1765481441687751</v>
      </c>
      <c r="K246" s="52">
        <f t="shared" ca="1" si="91"/>
        <v>4.4016639129424089</v>
      </c>
      <c r="L246" s="52">
        <f t="shared" ca="1" si="91"/>
        <v>3.6709016550143119</v>
      </c>
    </row>
    <row r="247" spans="2:12" ht="13" x14ac:dyDescent="0.3">
      <c r="B247" s="7" t="s">
        <v>144</v>
      </c>
      <c r="C247" s="7"/>
      <c r="D247" s="7"/>
      <c r="E247" s="7"/>
      <c r="F247" s="7"/>
      <c r="G247" s="88">
        <f t="shared" ref="G247:L247" si="92">G244/G129</f>
        <v>5.8</v>
      </c>
      <c r="H247" s="52">
        <f t="shared" ca="1" si="92"/>
        <v>4.3855943354627263</v>
      </c>
      <c r="I247" s="52">
        <f t="shared" ca="1" si="92"/>
        <v>3.6571142431000108</v>
      </c>
      <c r="J247" s="52">
        <f t="shared" ca="1" si="92"/>
        <v>5.0406205326635174</v>
      </c>
      <c r="K247" s="52">
        <f t="shared" ca="1" si="92"/>
        <v>4.2776845514784059</v>
      </c>
      <c r="L247" s="52">
        <f t="shared" ca="1" si="92"/>
        <v>3.5577093925259655</v>
      </c>
    </row>
    <row r="248" spans="2:12" x14ac:dyDescent="0.25">
      <c r="G248" s="86"/>
      <c r="H248" s="15"/>
    </row>
    <row r="249" spans="2:12" x14ac:dyDescent="0.25">
      <c r="B249" s="1" t="s">
        <v>183</v>
      </c>
      <c r="G249" s="86">
        <f>K77</f>
        <v>-60</v>
      </c>
      <c r="H249" s="15">
        <f>G249+H144</f>
        <v>-51.428571428571431</v>
      </c>
      <c r="I249" s="15">
        <f>H249+I144</f>
        <v>-42.857142857142861</v>
      </c>
      <c r="J249" s="15">
        <f>I249+J144</f>
        <v>-34.285714285714292</v>
      </c>
      <c r="K249" s="15">
        <f>J249+K144</f>
        <v>-25.714285714285722</v>
      </c>
      <c r="L249" s="15">
        <f>K249+L144</f>
        <v>-17.142857142857153</v>
      </c>
    </row>
    <row r="250" spans="2:12" x14ac:dyDescent="0.25">
      <c r="B250" s="1" t="s">
        <v>99</v>
      </c>
      <c r="G250" s="84">
        <f>K78</f>
        <v>104.5</v>
      </c>
      <c r="H250" s="29">
        <f>G250+H147</f>
        <v>97.533333333333331</v>
      </c>
      <c r="I250" s="29">
        <f>H250+I147</f>
        <v>90.566666666666663</v>
      </c>
      <c r="J250" s="29">
        <f>I250+J147</f>
        <v>83.6</v>
      </c>
      <c r="K250" s="29">
        <f>J250+K147</f>
        <v>76.633333333333326</v>
      </c>
      <c r="L250" s="29">
        <f>K250+L147</f>
        <v>69.666666666666657</v>
      </c>
    </row>
    <row r="251" spans="2:12" x14ac:dyDescent="0.25">
      <c r="G251" s="86"/>
      <c r="H251" s="15"/>
    </row>
    <row r="252" spans="2:12" x14ac:dyDescent="0.25">
      <c r="B252" s="1" t="s">
        <v>108</v>
      </c>
      <c r="G252" s="86">
        <f>K80</f>
        <v>2160</v>
      </c>
      <c r="H252" s="15">
        <f ca="1">G252+H139+H146</f>
        <v>2353.4189855880436</v>
      </c>
      <c r="I252" s="15">
        <f ca="1">H252+I139+I146</f>
        <v>2588.7142936840069</v>
      </c>
      <c r="J252" s="15">
        <f ca="1">I252+J139+J146</f>
        <v>1342.9830446018914</v>
      </c>
      <c r="K252" s="15">
        <f ca="1">J252+K139+K146</f>
        <v>1613.0923542598757</v>
      </c>
      <c r="L252" s="15">
        <f ca="1">K252+L139+L146</f>
        <v>1934.0432664515774</v>
      </c>
    </row>
    <row r="253" spans="2:12" ht="13" x14ac:dyDescent="0.3">
      <c r="B253" s="77" t="s">
        <v>100</v>
      </c>
      <c r="C253" s="78"/>
      <c r="D253" s="78"/>
      <c r="E253" s="78"/>
      <c r="F253" s="78"/>
      <c r="G253" s="87">
        <f>G242+G250+G249+G252+G236</f>
        <v>5454.5</v>
      </c>
      <c r="H253" s="79">
        <f t="shared" ref="H253:L253" ca="1" si="93">H242+H250+H249+H252+H236</f>
        <v>5477.8118173515986</v>
      </c>
      <c r="I253" s="79">
        <f t="shared" ca="1" si="93"/>
        <v>5524.7918617716896</v>
      </c>
      <c r="J253" s="79">
        <f t="shared" ca="1" si="93"/>
        <v>5574.9895943465208</v>
      </c>
      <c r="K253" s="79">
        <f t="shared" ca="1" si="93"/>
        <v>5628.5659458396258</v>
      </c>
      <c r="L253" s="80">
        <f t="shared" ca="1" si="93"/>
        <v>5685.6911399195978</v>
      </c>
    </row>
    <row r="254" spans="2:12" x14ac:dyDescent="0.25">
      <c r="G254" s="62"/>
    </row>
    <row r="255" spans="2:12" x14ac:dyDescent="0.25">
      <c r="B255" s="1" t="s">
        <v>53</v>
      </c>
      <c r="G255" s="89">
        <f t="shared" ref="G255:L255" si="94">G253-G232</f>
        <v>0</v>
      </c>
      <c r="H255" s="70">
        <f t="shared" ca="1" si="94"/>
        <v>0</v>
      </c>
      <c r="I255" s="70">
        <f t="shared" ca="1" si="94"/>
        <v>0</v>
      </c>
      <c r="J255" s="70">
        <f t="shared" ca="1" si="94"/>
        <v>0</v>
      </c>
      <c r="K255" s="70">
        <f t="shared" ca="1" si="94"/>
        <v>0</v>
      </c>
      <c r="L255" s="70">
        <f t="shared" ca="1" si="94"/>
        <v>0</v>
      </c>
    </row>
    <row r="256" spans="2:12" x14ac:dyDescent="0.25">
      <c r="G256" s="62"/>
    </row>
    <row r="257" spans="2:12" ht="13" x14ac:dyDescent="0.3">
      <c r="B257" s="8" t="s">
        <v>133</v>
      </c>
      <c r="G257" s="62"/>
    </row>
    <row r="258" spans="2:12" x14ac:dyDescent="0.25">
      <c r="B258" s="1" t="s">
        <v>136</v>
      </c>
      <c r="G258" s="89">
        <f t="shared" ref="G258:L258" si="95">SUM(G224:G226)</f>
        <v>500</v>
      </c>
      <c r="H258" s="70">
        <f t="shared" si="95"/>
        <v>541.64515068493154</v>
      </c>
      <c r="I258" s="70">
        <f t="shared" si="95"/>
        <v>606.9585284383561</v>
      </c>
      <c r="J258" s="70">
        <f t="shared" si="95"/>
        <v>675.48959434652045</v>
      </c>
      <c r="K258" s="70">
        <f t="shared" si="95"/>
        <v>747.39927917295915</v>
      </c>
      <c r="L258" s="70">
        <f t="shared" si="95"/>
        <v>822.85780658626561</v>
      </c>
    </row>
    <row r="259" spans="2:12" x14ac:dyDescent="0.25">
      <c r="B259" s="1" t="s">
        <v>132</v>
      </c>
      <c r="G259" s="90">
        <f t="shared" ref="G259:L259" si="96">SUM(G234:G235)</f>
        <v>250</v>
      </c>
      <c r="H259" s="76">
        <f t="shared" si="96"/>
        <v>300.1985753424658</v>
      </c>
      <c r="I259" s="76">
        <f t="shared" si="96"/>
        <v>336.39752021917809</v>
      </c>
      <c r="J259" s="76">
        <f t="shared" si="96"/>
        <v>374.37981974926026</v>
      </c>
      <c r="K259" s="76">
        <f t="shared" si="96"/>
        <v>414.23466735737554</v>
      </c>
      <c r="L259" s="76">
        <f t="shared" si="96"/>
        <v>456.05640691928238</v>
      </c>
    </row>
    <row r="260" spans="2:12" ht="13" x14ac:dyDescent="0.3">
      <c r="B260" s="6" t="s">
        <v>133</v>
      </c>
      <c r="C260" s="6"/>
      <c r="D260" s="6"/>
      <c r="E260" s="6"/>
      <c r="F260" s="6"/>
      <c r="G260" s="85">
        <f>G258-G259</f>
        <v>250</v>
      </c>
      <c r="H260" s="31">
        <f t="shared" ref="H260:L260" si="97">H258-H259</f>
        <v>241.44657534246574</v>
      </c>
      <c r="I260" s="31">
        <f t="shared" si="97"/>
        <v>270.56100821917801</v>
      </c>
      <c r="J260" s="31">
        <f t="shared" si="97"/>
        <v>301.10977459726018</v>
      </c>
      <c r="K260" s="31">
        <f t="shared" si="97"/>
        <v>333.16461181558361</v>
      </c>
      <c r="L260" s="31">
        <f t="shared" si="97"/>
        <v>366.80139966698323</v>
      </c>
    </row>
    <row r="261" spans="2:12" ht="13" x14ac:dyDescent="0.3">
      <c r="B261" s="7" t="s">
        <v>134</v>
      </c>
      <c r="C261" s="7"/>
      <c r="D261" s="7"/>
      <c r="E261" s="7"/>
      <c r="F261" s="7"/>
      <c r="G261" s="91"/>
      <c r="H261" s="81">
        <f>H260-G260</f>
        <v>-8.553424657534265</v>
      </c>
      <c r="I261" s="81">
        <f t="shared" ref="I261:L261" si="98">I260-H260</f>
        <v>29.114432876712272</v>
      </c>
      <c r="J261" s="81">
        <f t="shared" si="98"/>
        <v>30.548766378082178</v>
      </c>
      <c r="K261" s="81">
        <f t="shared" si="98"/>
        <v>32.054837218323428</v>
      </c>
      <c r="L261" s="81">
        <f t="shared" si="98"/>
        <v>33.636787851399617</v>
      </c>
    </row>
    <row r="262" spans="2:12" ht="13" x14ac:dyDescent="0.3">
      <c r="B262" s="7"/>
      <c r="C262" s="7"/>
      <c r="D262" s="7"/>
      <c r="E262" s="7"/>
      <c r="F262" s="7"/>
      <c r="G262" s="52"/>
      <c r="H262" s="52"/>
      <c r="I262" s="52"/>
      <c r="J262" s="52"/>
      <c r="K262" s="52"/>
      <c r="L262" s="52"/>
    </row>
    <row r="263" spans="2:12" ht="13" x14ac:dyDescent="0.3">
      <c r="B263" s="8" t="s">
        <v>122</v>
      </c>
      <c r="C263" s="7"/>
      <c r="D263" s="7"/>
      <c r="E263" s="7"/>
      <c r="F263" s="7"/>
      <c r="G263" s="52"/>
      <c r="H263" s="52"/>
      <c r="I263" s="52"/>
      <c r="J263" s="52"/>
      <c r="K263" s="52"/>
      <c r="L263" s="52"/>
    </row>
    <row r="264" spans="2:12" ht="13" x14ac:dyDescent="0.3">
      <c r="B264" s="1" t="s">
        <v>123</v>
      </c>
      <c r="C264" s="7"/>
      <c r="D264" s="7"/>
      <c r="E264" s="7"/>
      <c r="F264" s="7"/>
      <c r="G264" s="52"/>
      <c r="H264" s="32">
        <v>30</v>
      </c>
      <c r="I264" s="32">
        <v>30</v>
      </c>
      <c r="J264" s="32">
        <v>30</v>
      </c>
      <c r="K264" s="32">
        <v>30</v>
      </c>
      <c r="L264" s="32">
        <v>30</v>
      </c>
    </row>
    <row r="265" spans="2:12" ht="13" x14ac:dyDescent="0.3">
      <c r="B265" s="1" t="s">
        <v>124</v>
      </c>
      <c r="C265" s="7"/>
      <c r="D265" s="7"/>
      <c r="E265" s="7"/>
      <c r="F265" s="7"/>
      <c r="G265" s="52"/>
      <c r="H265" s="32">
        <v>60</v>
      </c>
      <c r="I265" s="32">
        <v>60</v>
      </c>
      <c r="J265" s="32">
        <v>60</v>
      </c>
      <c r="K265" s="32">
        <v>60</v>
      </c>
      <c r="L265" s="32">
        <v>60</v>
      </c>
    </row>
    <row r="266" spans="2:12" ht="13" x14ac:dyDescent="0.3">
      <c r="B266" s="1" t="s">
        <v>125</v>
      </c>
      <c r="C266" s="7"/>
      <c r="D266" s="7"/>
      <c r="E266" s="7"/>
      <c r="F266" s="7"/>
      <c r="G266" s="52"/>
      <c r="H266" s="36">
        <v>0.02</v>
      </c>
      <c r="I266" s="36">
        <v>0.02</v>
      </c>
      <c r="J266" s="36">
        <v>0.02</v>
      </c>
      <c r="K266" s="36">
        <v>0.02</v>
      </c>
      <c r="L266" s="36">
        <v>0.02</v>
      </c>
    </row>
    <row r="267" spans="2:12" ht="13" x14ac:dyDescent="0.3">
      <c r="C267" s="7"/>
      <c r="D267" s="7"/>
      <c r="E267" s="7"/>
      <c r="F267" s="7"/>
      <c r="G267" s="52"/>
      <c r="H267" s="52"/>
      <c r="I267" s="52"/>
      <c r="J267" s="52"/>
      <c r="K267" s="52"/>
      <c r="L267" s="52"/>
    </row>
    <row r="268" spans="2:12" ht="13" x14ac:dyDescent="0.3">
      <c r="B268" s="1" t="s">
        <v>126</v>
      </c>
      <c r="C268" s="7"/>
      <c r="D268" s="7"/>
      <c r="E268" s="7"/>
      <c r="F268" s="7"/>
      <c r="G268" s="52"/>
      <c r="H268" s="32">
        <v>60</v>
      </c>
      <c r="I268" s="32">
        <v>60</v>
      </c>
      <c r="J268" s="32">
        <v>60</v>
      </c>
      <c r="K268" s="32">
        <v>60</v>
      </c>
      <c r="L268" s="32">
        <v>60</v>
      </c>
    </row>
    <row r="269" spans="2:12" ht="13" x14ac:dyDescent="0.3">
      <c r="B269" s="1" t="s">
        <v>127</v>
      </c>
      <c r="C269" s="7"/>
      <c r="D269" s="7"/>
      <c r="E269" s="7"/>
      <c r="F269" s="7"/>
      <c r="G269" s="52"/>
      <c r="H269" s="36">
        <v>0.02</v>
      </c>
      <c r="I269" s="36">
        <v>0.02</v>
      </c>
      <c r="J269" s="36">
        <v>0.02</v>
      </c>
      <c r="K269" s="36">
        <v>0.02</v>
      </c>
      <c r="L269" s="36">
        <v>0.02</v>
      </c>
    </row>
    <row r="270" spans="2:12" ht="13" x14ac:dyDescent="0.3">
      <c r="C270" s="7"/>
      <c r="D270" s="7"/>
      <c r="E270" s="7"/>
      <c r="F270" s="7"/>
      <c r="G270" s="52"/>
      <c r="H270" s="52"/>
      <c r="I270" s="52"/>
      <c r="J270" s="52"/>
      <c r="K270" s="52"/>
      <c r="L270" s="52"/>
    </row>
    <row r="271" spans="2:12" ht="13" x14ac:dyDescent="0.3">
      <c r="B271" s="11" t="s">
        <v>128</v>
      </c>
      <c r="C271" s="7"/>
      <c r="D271" s="7"/>
      <c r="E271" s="7"/>
      <c r="F271" s="7"/>
      <c r="G271" s="52"/>
      <c r="H271" s="75">
        <f>H121</f>
        <v>2937.6000000000004</v>
      </c>
      <c r="I271" s="75">
        <f>I121</f>
        <v>3291.8256000000001</v>
      </c>
      <c r="J271" s="75">
        <f>J121</f>
        <v>3663.5022576000001</v>
      </c>
      <c r="K271" s="75">
        <f>K121</f>
        <v>4053.5027770895999</v>
      </c>
      <c r="L271" s="75">
        <f>L121</f>
        <v>4462.7503626149619</v>
      </c>
    </row>
    <row r="272" spans="2:12" ht="13" x14ac:dyDescent="0.3">
      <c r="B272" s="11" t="s">
        <v>129</v>
      </c>
      <c r="C272" s="7"/>
      <c r="D272" s="7"/>
      <c r="E272" s="7"/>
      <c r="F272" s="7"/>
      <c r="G272" s="52"/>
      <c r="H272" s="75">
        <f>-H122</f>
        <v>1468.8000000000002</v>
      </c>
      <c r="I272" s="75">
        <f>-I122</f>
        <v>1645.9128000000001</v>
      </c>
      <c r="J272" s="75">
        <f>-J122</f>
        <v>1831.7511288000001</v>
      </c>
      <c r="K272" s="75">
        <f>-K122</f>
        <v>2026.7513885448</v>
      </c>
      <c r="L272" s="75">
        <f>-L122</f>
        <v>2231.3751813074809</v>
      </c>
    </row>
    <row r="273" spans="1:14" ht="13" x14ac:dyDescent="0.3">
      <c r="C273" s="7"/>
      <c r="D273" s="7"/>
      <c r="E273" s="7"/>
      <c r="F273" s="7"/>
      <c r="G273" s="52"/>
      <c r="H273" s="52"/>
      <c r="I273" s="52"/>
      <c r="J273" s="52"/>
      <c r="K273" s="52"/>
      <c r="L273" s="52"/>
    </row>
    <row r="275" spans="1:14" ht="14.5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</row>
    <row r="276" spans="1:14" ht="14.5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</row>
    <row r="277" spans="1:14" ht="14.5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</row>
    <row r="278" spans="1:14" ht="14.5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</row>
    <row r="279" spans="1:14" ht="14.5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</row>
    <row r="280" spans="1:14" ht="14.5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</row>
    <row r="281" spans="1:14" ht="14.5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</row>
    <row r="282" spans="1:14" ht="14.5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</row>
    <row r="283" spans="1:14" ht="14.5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</row>
    <row r="284" spans="1:14" ht="14.5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</row>
    <row r="285" spans="1:14" ht="14.5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</row>
    <row r="286" spans="1:14" ht="14.5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</row>
    <row r="287" spans="1:14" ht="14.5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</row>
    <row r="288" spans="1:14" ht="14.5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</row>
    <row r="289" spans="1:14" ht="14.5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</row>
    <row r="290" spans="1:14" ht="14.5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</row>
    <row r="291" spans="1:14" ht="14.5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</row>
    <row r="292" spans="1:14" ht="14.5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</row>
    <row r="293" spans="1:14" ht="14.5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</row>
    <row r="294" spans="1:14" ht="14.5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</row>
    <row r="295" spans="1:14" ht="14.5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</row>
    <row r="296" spans="1:14" ht="14.5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</row>
    <row r="297" spans="1:14" ht="14.5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</row>
    <row r="298" spans="1:14" ht="14.5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</row>
    <row r="299" spans="1:14" ht="14.5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</row>
    <row r="300" spans="1:14" ht="14.5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</row>
    <row r="301" spans="1:14" ht="14.5" x14ac:dyDescent="0.3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ht="14.5" x14ac:dyDescent="0.3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</row>
    <row r="303" spans="1:14" ht="14.5" x14ac:dyDescent="0.3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</row>
    <row r="304" spans="1:14" ht="14.5" x14ac:dyDescent="0.3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</row>
    <row r="305" spans="1:14" ht="14.5" x14ac:dyDescent="0.3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</row>
    <row r="306" spans="1:14" ht="14.5" x14ac:dyDescent="0.3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</row>
    <row r="307" spans="1:14" ht="14.5" x14ac:dyDescent="0.3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</row>
    <row r="308" spans="1:14" ht="14.5" x14ac:dyDescent="0.3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</row>
    <row r="309" spans="1:14" ht="14.5" x14ac:dyDescent="0.3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</row>
  </sheetData>
  <pageMargins left="0.7" right="0.7" top="0.75" bottom="0.75" header="0.3" footer="0.3"/>
  <pageSetup scale="70" orientation="portrait" r:id="rId1"/>
  <rowBreaks count="2" manualBreakCount="2">
    <brk id="50" min="1" max="12" man="1"/>
    <brk id="219" min="1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Assumptions</vt:lpstr>
      <vt:lpstr>LBO Model</vt:lpstr>
      <vt:lpstr>circ</vt:lpstr>
      <vt:lpstr>Assumptions!Print_Area</vt:lpstr>
      <vt:lpstr>'LBO Model'!Print_Area</vt:lpstr>
      <vt:lpstr>'LBO Model'!Print_Titles</vt:lpstr>
      <vt:lpstr>recap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2026-01-22T03:22:19Z</dcterms:created>
  <dcterms:modified xsi:type="dcterms:W3CDTF">2026-03-11T17:15:30Z</dcterms:modified>
</cp:coreProperties>
</file>