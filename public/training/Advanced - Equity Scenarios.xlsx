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ai\Downloads\"/>
    </mc:Choice>
  </mc:AlternateContent>
  <xr:revisionPtr revIDLastSave="0" documentId="13_ncr:1_{1000C332-B51A-49ED-BECC-94A12E159F1D}" xr6:coauthVersionLast="47" xr6:coauthVersionMax="47" xr10:uidLastSave="{00000000-0000-0000-0000-000000000000}"/>
  <bookViews>
    <workbookView xWindow="34452" yWindow="-108" windowWidth="61656" windowHeight="25416" tabRatio="839" xr2:uid="{85EE1583-D939-4F4D-B4C5-D563B4A7A598}"/>
  </bookViews>
  <sheets>
    <sheet name="Dynamic Comparison" sheetId="11" r:id="rId1"/>
    <sheet name="Static Scenarios" sheetId="14" r:id="rId2"/>
    <sheet name="Assumptions" sheetId="2" r:id="rId3"/>
    <sheet name="All Equity Scenario" sheetId="6" r:id="rId4"/>
    <sheet name="Summary (All Equity)" sheetId="7" r:id="rId5"/>
    <sheet name="50% Equity Scenario" sheetId="12" r:id="rId6"/>
    <sheet name="Summary (50% Equity)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14" l="1"/>
  <c r="K61" i="14"/>
  <c r="K54" i="14"/>
  <c r="K47" i="14"/>
  <c r="K40" i="14"/>
  <c r="K33" i="14"/>
  <c r="K26" i="14"/>
  <c r="K19" i="14"/>
  <c r="K11" i="14"/>
  <c r="E30" i="7"/>
  <c r="F30" i="7" s="1"/>
  <c r="G30" i="7" s="1"/>
  <c r="H30" i="7" s="1"/>
  <c r="I30" i="7" s="1"/>
  <c r="J30" i="7" s="1"/>
  <c r="K30" i="7" s="1"/>
  <c r="L30" i="7" s="1"/>
  <c r="M30" i="7" s="1"/>
  <c r="N30" i="7" s="1"/>
  <c r="O30" i="7" s="1"/>
  <c r="E30" i="13"/>
  <c r="F30" i="13" s="1"/>
  <c r="G30" i="13" s="1"/>
  <c r="H30" i="13" s="1"/>
  <c r="I30" i="13" s="1"/>
  <c r="J30" i="13" s="1"/>
  <c r="K30" i="13" s="1"/>
  <c r="L30" i="13" s="1"/>
  <c r="M30" i="13" s="1"/>
  <c r="N30" i="13" s="1"/>
  <c r="O30" i="13" s="1"/>
  <c r="E14" i="11"/>
  <c r="E13" i="11"/>
  <c r="E12" i="11"/>
  <c r="D68" i="12" l="1"/>
  <c r="D67" i="12"/>
  <c r="O37" i="13" l="1"/>
  <c r="N37" i="13"/>
  <c r="M37" i="13"/>
  <c r="L37" i="13"/>
  <c r="K37" i="13"/>
  <c r="J37" i="13"/>
  <c r="I37" i="13"/>
  <c r="E45" i="12"/>
  <c r="E15" i="12"/>
  <c r="D9" i="12"/>
  <c r="D7" i="13" s="1"/>
  <c r="B7" i="12"/>
  <c r="B8" i="12" s="1"/>
  <c r="D5" i="12"/>
  <c r="D5" i="13" s="1"/>
  <c r="E44" i="12"/>
  <c r="E14" i="12"/>
  <c r="O24" i="13"/>
  <c r="N24" i="13"/>
  <c r="M24" i="13"/>
  <c r="L24" i="13"/>
  <c r="K24" i="13"/>
  <c r="J24" i="13"/>
  <c r="I24" i="13"/>
  <c r="H24" i="13"/>
  <c r="G24" i="13"/>
  <c r="F24" i="13"/>
  <c r="E24" i="13"/>
  <c r="O11" i="13"/>
  <c r="O10" i="13"/>
  <c r="N10" i="13"/>
  <c r="M10" i="13"/>
  <c r="L10" i="13"/>
  <c r="K10" i="13"/>
  <c r="J10" i="13"/>
  <c r="I10" i="13"/>
  <c r="H10" i="13"/>
  <c r="G10" i="13"/>
  <c r="F10" i="13"/>
  <c r="O9" i="13"/>
  <c r="N9" i="13"/>
  <c r="M9" i="13"/>
  <c r="L9" i="13"/>
  <c r="K9" i="13"/>
  <c r="J9" i="13"/>
  <c r="I9" i="13"/>
  <c r="H9" i="13"/>
  <c r="G9" i="13"/>
  <c r="F9" i="13"/>
  <c r="R8" i="13"/>
  <c r="Q8" i="13"/>
  <c r="O7" i="13"/>
  <c r="N7" i="13"/>
  <c r="M7" i="13"/>
  <c r="L7" i="13"/>
  <c r="K7" i="13"/>
  <c r="J7" i="13"/>
  <c r="I7" i="13"/>
  <c r="H7" i="13"/>
  <c r="G7" i="13"/>
  <c r="F7" i="13"/>
  <c r="E7" i="13"/>
  <c r="O6" i="13"/>
  <c r="N6" i="13"/>
  <c r="M6" i="13"/>
  <c r="L6" i="13"/>
  <c r="K6" i="13"/>
  <c r="J6" i="13"/>
  <c r="I6" i="13"/>
  <c r="D6" i="13"/>
  <c r="O5" i="13"/>
  <c r="N5" i="13"/>
  <c r="M5" i="13"/>
  <c r="L5" i="13"/>
  <c r="K5" i="13"/>
  <c r="J5" i="13"/>
  <c r="I5" i="13"/>
  <c r="H5" i="13"/>
  <c r="G5" i="13"/>
  <c r="F5" i="13"/>
  <c r="E5" i="13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U10" i="12"/>
  <c r="DT10" i="12"/>
  <c r="DS10" i="12"/>
  <c r="DR10" i="12"/>
  <c r="DQ10" i="12"/>
  <c r="DP10" i="12"/>
  <c r="DO10" i="12"/>
  <c r="DN10" i="12"/>
  <c r="DM10" i="12"/>
  <c r="DL10" i="12"/>
  <c r="DK10" i="12"/>
  <c r="DJ10" i="12"/>
  <c r="DI10" i="12"/>
  <c r="DH10" i="12"/>
  <c r="DG10" i="12"/>
  <c r="DF10" i="12"/>
  <c r="DE10" i="12"/>
  <c r="DD10" i="12"/>
  <c r="DC10" i="12"/>
  <c r="DB10" i="12"/>
  <c r="DA10" i="12"/>
  <c r="CZ10" i="12"/>
  <c r="CY10" i="12"/>
  <c r="CX10" i="12"/>
  <c r="CW10" i="12"/>
  <c r="CV10" i="12"/>
  <c r="CU10" i="12"/>
  <c r="CT10" i="12"/>
  <c r="CS10" i="12"/>
  <c r="CR10" i="12"/>
  <c r="CQ10" i="12"/>
  <c r="CP10" i="12"/>
  <c r="CO10" i="12"/>
  <c r="CN10" i="12"/>
  <c r="CM10" i="12"/>
  <c r="CL10" i="12"/>
  <c r="CK10" i="12"/>
  <c r="CJ10" i="12"/>
  <c r="CI10" i="12"/>
  <c r="CH10" i="12"/>
  <c r="CG10" i="12"/>
  <c r="CF10" i="12"/>
  <c r="CE10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N10" i="12"/>
  <c r="AM10" i="12"/>
  <c r="AL10" i="12"/>
  <c r="AK10" i="12"/>
  <c r="AJ10" i="12"/>
  <c r="AI10" i="12"/>
  <c r="AH10" i="12"/>
  <c r="AG10" i="12"/>
  <c r="AF10" i="12"/>
  <c r="AE10" i="12"/>
  <c r="AD10" i="12"/>
  <c r="AB10" i="12"/>
  <c r="AA10" i="12"/>
  <c r="Z10" i="12"/>
  <c r="Y10" i="12"/>
  <c r="X10" i="12"/>
  <c r="W10" i="12"/>
  <c r="V10" i="12"/>
  <c r="U10" i="12"/>
  <c r="T10" i="12"/>
  <c r="S10" i="12"/>
  <c r="R10" i="12"/>
  <c r="P10" i="12"/>
  <c r="O10" i="12"/>
  <c r="N10" i="12"/>
  <c r="M10" i="12"/>
  <c r="L10" i="12"/>
  <c r="J10" i="12"/>
  <c r="I10" i="12"/>
  <c r="H10" i="12"/>
  <c r="G10" i="12"/>
  <c r="F10" i="12"/>
  <c r="E10" i="12"/>
  <c r="F15" i="12" l="1"/>
  <c r="G15" i="12" s="1"/>
  <c r="E23" i="12"/>
  <c r="E26" i="12" s="1"/>
  <c r="L8" i="13"/>
  <c r="D66" i="12"/>
  <c r="D35" i="13" s="1"/>
  <c r="I8" i="13"/>
  <c r="M8" i="13"/>
  <c r="J8" i="13"/>
  <c r="N8" i="13"/>
  <c r="D10" i="12"/>
  <c r="E13" i="12"/>
  <c r="E19" i="12" s="1"/>
  <c r="K8" i="13"/>
  <c r="O8" i="13"/>
  <c r="E43" i="12"/>
  <c r="F14" i="12"/>
  <c r="E24" i="12"/>
  <c r="E22" i="12" s="1"/>
  <c r="D8" i="13"/>
  <c r="E12" i="13"/>
  <c r="F12" i="13"/>
  <c r="G12" i="13"/>
  <c r="H12" i="13"/>
  <c r="I12" i="13"/>
  <c r="J12" i="13"/>
  <c r="K12" i="13"/>
  <c r="L12" i="13"/>
  <c r="M12" i="13"/>
  <c r="N12" i="13"/>
  <c r="B14" i="11"/>
  <c r="B13" i="11"/>
  <c r="B12" i="11"/>
  <c r="F24" i="12" l="1"/>
  <c r="F27" i="12" s="1"/>
  <c r="E47" i="12"/>
  <c r="E67" i="12" s="1"/>
  <c r="H15" i="12"/>
  <c r="E27" i="12"/>
  <c r="E48" i="12" s="1"/>
  <c r="E68" i="12" s="1"/>
  <c r="G24" i="12"/>
  <c r="G27" i="12" s="1"/>
  <c r="F23" i="12"/>
  <c r="F22" i="12" s="1"/>
  <c r="G14" i="12"/>
  <c r="F13" i="12"/>
  <c r="F19" i="12" s="1"/>
  <c r="E29" i="12" l="1"/>
  <c r="F44" i="12"/>
  <c r="I15" i="12"/>
  <c r="H24" i="12"/>
  <c r="H27" i="12" s="1"/>
  <c r="G13" i="12"/>
  <c r="F26" i="12"/>
  <c r="H14" i="12"/>
  <c r="G23" i="12"/>
  <c r="G26" i="12" s="1"/>
  <c r="G19" i="12" l="1"/>
  <c r="E31" i="12"/>
  <c r="E32" i="12" s="1"/>
  <c r="G29" i="12"/>
  <c r="F29" i="12"/>
  <c r="F47" i="12"/>
  <c r="E66" i="12"/>
  <c r="G22" i="12"/>
  <c r="F45" i="12"/>
  <c r="F48" i="12" s="1"/>
  <c r="H13" i="12"/>
  <c r="E46" i="12"/>
  <c r="J15" i="12"/>
  <c r="I24" i="12"/>
  <c r="I27" i="12" s="1"/>
  <c r="H23" i="12"/>
  <c r="H22" i="12" s="1"/>
  <c r="I14" i="12"/>
  <c r="K13" i="2"/>
  <c r="K21" i="2"/>
  <c r="K24" i="2"/>
  <c r="K26" i="2"/>
  <c r="K32" i="2"/>
  <c r="F51" i="12" s="1"/>
  <c r="L13" i="2"/>
  <c r="L21" i="2"/>
  <c r="L24" i="2"/>
  <c r="L26" i="2"/>
  <c r="L32" i="2"/>
  <c r="K7" i="12" l="1"/>
  <c r="Q7" i="12"/>
  <c r="F34" i="13" s="1"/>
  <c r="K8" i="12"/>
  <c r="Q8" i="12"/>
  <c r="G51" i="12"/>
  <c r="F52" i="12"/>
  <c r="G52" i="12"/>
  <c r="E52" i="12"/>
  <c r="E51" i="12"/>
  <c r="E28" i="12"/>
  <c r="G28" i="12"/>
  <c r="I52" i="12"/>
  <c r="F28" i="12"/>
  <c r="H52" i="12"/>
  <c r="H19" i="12"/>
  <c r="E34" i="12"/>
  <c r="E35" i="12" s="1"/>
  <c r="E37" i="12" s="1"/>
  <c r="E33" i="12"/>
  <c r="F67" i="12"/>
  <c r="K15" i="12"/>
  <c r="J24" i="12"/>
  <c r="J27" i="12" s="1"/>
  <c r="J52" i="12" s="1"/>
  <c r="F43" i="12"/>
  <c r="F31" i="12" s="1"/>
  <c r="F34" i="12" s="1"/>
  <c r="H26" i="12"/>
  <c r="F68" i="12"/>
  <c r="AO7" i="12"/>
  <c r="AC7" i="12"/>
  <c r="J14" i="12"/>
  <c r="I23" i="12"/>
  <c r="I22" i="12" s="1"/>
  <c r="D60" i="12"/>
  <c r="E60" i="12" s="1"/>
  <c r="D59" i="12"/>
  <c r="AO8" i="12"/>
  <c r="AC8" i="12"/>
  <c r="I13" i="12"/>
  <c r="E25" i="12"/>
  <c r="F26" i="2"/>
  <c r="E26" i="2"/>
  <c r="D70" i="6"/>
  <c r="D69" i="6"/>
  <c r="F24" i="2"/>
  <c r="D62" i="6" s="1"/>
  <c r="E24" i="2"/>
  <c r="D61" i="6" s="1"/>
  <c r="E32" i="2"/>
  <c r="F32" i="2"/>
  <c r="B7" i="6"/>
  <c r="B8" i="6" s="1"/>
  <c r="E34" i="13" l="1"/>
  <c r="E37" i="13" s="1"/>
  <c r="K6" i="12"/>
  <c r="F60" i="12"/>
  <c r="G60" i="12" s="1"/>
  <c r="H60" i="12" s="1"/>
  <c r="I60" i="12" s="1"/>
  <c r="J60" i="12" s="1"/>
  <c r="J13" i="12"/>
  <c r="I19" i="12"/>
  <c r="G44" i="12"/>
  <c r="G47" i="12" s="1"/>
  <c r="E36" i="12"/>
  <c r="E38" i="12"/>
  <c r="F33" i="12"/>
  <c r="F32" i="12"/>
  <c r="H51" i="12"/>
  <c r="H29" i="12"/>
  <c r="H28" i="12"/>
  <c r="F36" i="13"/>
  <c r="H36" i="13"/>
  <c r="H34" i="13"/>
  <c r="G34" i="13"/>
  <c r="G36" i="13"/>
  <c r="G45" i="12"/>
  <c r="E26" i="6"/>
  <c r="F46" i="12"/>
  <c r="I26" i="12"/>
  <c r="D58" i="12"/>
  <c r="D33" i="13" s="1"/>
  <c r="D37" i="13" s="1"/>
  <c r="E59" i="12"/>
  <c r="L15" i="12"/>
  <c r="K24" i="12"/>
  <c r="K27" i="12" s="1"/>
  <c r="K52" i="12" s="1"/>
  <c r="AC6" i="12"/>
  <c r="AO6" i="12"/>
  <c r="K14" i="12"/>
  <c r="J23" i="12"/>
  <c r="J22" i="12" s="1"/>
  <c r="Q6" i="12"/>
  <c r="F66" i="12"/>
  <c r="D60" i="6"/>
  <c r="D37" i="6"/>
  <c r="E37" i="6" s="1"/>
  <c r="D36" i="6"/>
  <c r="E36" i="6" s="1"/>
  <c r="E27" i="6"/>
  <c r="D68" i="6"/>
  <c r="DU10" i="6"/>
  <c r="DT10" i="6"/>
  <c r="DS10" i="6"/>
  <c r="DR10" i="6"/>
  <c r="DQ10" i="6"/>
  <c r="DP10" i="6"/>
  <c r="DO10" i="6"/>
  <c r="DN10" i="6"/>
  <c r="DM10" i="6"/>
  <c r="DL10" i="6"/>
  <c r="DK10" i="6"/>
  <c r="DJ10" i="6"/>
  <c r="DI10" i="6"/>
  <c r="DH10" i="6"/>
  <c r="DG10" i="6"/>
  <c r="DF10" i="6"/>
  <c r="DE10" i="6"/>
  <c r="DD10" i="6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N10" i="6"/>
  <c r="AM10" i="6"/>
  <c r="AL10" i="6"/>
  <c r="AK10" i="6"/>
  <c r="AJ10" i="6"/>
  <c r="AI10" i="6"/>
  <c r="AH10" i="6"/>
  <c r="AG10" i="6"/>
  <c r="AF10" i="6"/>
  <c r="AE10" i="6"/>
  <c r="AD10" i="6"/>
  <c r="AB10" i="6"/>
  <c r="AA10" i="6"/>
  <c r="Z10" i="6"/>
  <c r="Y10" i="6"/>
  <c r="X10" i="6"/>
  <c r="W10" i="6"/>
  <c r="V10" i="6"/>
  <c r="U10" i="6"/>
  <c r="T10" i="6"/>
  <c r="S10" i="6"/>
  <c r="R10" i="6"/>
  <c r="P10" i="6"/>
  <c r="O10" i="6"/>
  <c r="N10" i="6"/>
  <c r="M10" i="6"/>
  <c r="L10" i="6"/>
  <c r="J10" i="6"/>
  <c r="I10" i="6"/>
  <c r="H10" i="6"/>
  <c r="G10" i="6"/>
  <c r="F10" i="6"/>
  <c r="E10" i="6"/>
  <c r="F21" i="2"/>
  <c r="E21" i="2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E15" i="6"/>
  <c r="E14" i="6"/>
  <c r="D5" i="6"/>
  <c r="D9" i="6"/>
  <c r="E6" i="13" l="1"/>
  <c r="E8" i="13" s="1"/>
  <c r="K10" i="12"/>
  <c r="D42" i="13"/>
  <c r="D59" i="13" s="1"/>
  <c r="G43" i="12"/>
  <c r="G31" i="12" s="1"/>
  <c r="G34" i="12" s="1"/>
  <c r="J19" i="12"/>
  <c r="E39" i="12"/>
  <c r="E40" i="12"/>
  <c r="F35" i="12"/>
  <c r="G48" i="12"/>
  <c r="G68" i="12" s="1"/>
  <c r="H37" i="13"/>
  <c r="I51" i="12"/>
  <c r="I29" i="12"/>
  <c r="I28" i="12"/>
  <c r="F37" i="13"/>
  <c r="G37" i="13"/>
  <c r="K60" i="12"/>
  <c r="L24" i="12"/>
  <c r="L27" i="12" s="1"/>
  <c r="L52" i="12" s="1"/>
  <c r="M15" i="12"/>
  <c r="F59" i="12"/>
  <c r="E58" i="12"/>
  <c r="J26" i="12"/>
  <c r="E50" i="12"/>
  <c r="F15" i="6"/>
  <c r="F24" i="6" s="1"/>
  <c r="E24" i="6"/>
  <c r="E30" i="6" s="1"/>
  <c r="F6" i="13"/>
  <c r="F8" i="13" s="1"/>
  <c r="Q10" i="12"/>
  <c r="H6" i="13"/>
  <c r="H8" i="13" s="1"/>
  <c r="AO10" i="12"/>
  <c r="G6" i="13"/>
  <c r="G8" i="13" s="1"/>
  <c r="AC10" i="12"/>
  <c r="L14" i="12"/>
  <c r="K23" i="12"/>
  <c r="K22" i="12" s="1"/>
  <c r="F14" i="6"/>
  <c r="F23" i="6" s="1"/>
  <c r="E23" i="6"/>
  <c r="K13" i="12"/>
  <c r="G67" i="12"/>
  <c r="D35" i="6"/>
  <c r="D33" i="7" s="1"/>
  <c r="E35" i="6"/>
  <c r="E25" i="6"/>
  <c r="E13" i="6"/>
  <c r="E19" i="6" s="1"/>
  <c r="F13" i="2"/>
  <c r="K8" i="6" s="1"/>
  <c r="E13" i="2"/>
  <c r="K7" i="6" s="1"/>
  <c r="E34" i="7" l="1"/>
  <c r="F5" i="11"/>
  <c r="G15" i="6"/>
  <c r="G24" i="6" s="1"/>
  <c r="G14" i="6"/>
  <c r="G23" i="6" s="1"/>
  <c r="Q7" i="6"/>
  <c r="Q8" i="6"/>
  <c r="G32" i="12"/>
  <c r="G33" i="12"/>
  <c r="E53" i="12"/>
  <c r="K19" i="12"/>
  <c r="H45" i="12"/>
  <c r="H48" i="12" s="1"/>
  <c r="H68" i="12" s="1"/>
  <c r="F37" i="12"/>
  <c r="F38" i="12"/>
  <c r="G46" i="12"/>
  <c r="G35" i="12" s="1"/>
  <c r="F36" i="12"/>
  <c r="J51" i="12"/>
  <c r="J29" i="12"/>
  <c r="J28" i="12"/>
  <c r="E22" i="6"/>
  <c r="E29" i="6"/>
  <c r="E28" i="6" s="1"/>
  <c r="K26" i="12"/>
  <c r="L13" i="12"/>
  <c r="M24" i="12"/>
  <c r="M27" i="12" s="1"/>
  <c r="M52" i="12" s="1"/>
  <c r="N15" i="12"/>
  <c r="F58" i="12"/>
  <c r="G59" i="12"/>
  <c r="L60" i="12"/>
  <c r="AC7" i="6"/>
  <c r="F22" i="6"/>
  <c r="M14" i="12"/>
  <c r="L23" i="12"/>
  <c r="L22" i="12" s="1"/>
  <c r="H44" i="12"/>
  <c r="H47" i="12" s="1"/>
  <c r="F25" i="12"/>
  <c r="G66" i="12"/>
  <c r="H14" i="6"/>
  <c r="E70" i="6"/>
  <c r="AO7" i="6"/>
  <c r="AO8" i="6"/>
  <c r="AC8" i="6"/>
  <c r="R8" i="7"/>
  <c r="Q8" i="7"/>
  <c r="E69" i="6" l="1"/>
  <c r="H15" i="6"/>
  <c r="H34" i="7"/>
  <c r="G34" i="7"/>
  <c r="F34" i="7"/>
  <c r="K6" i="6"/>
  <c r="K10" i="6" s="1"/>
  <c r="E54" i="12"/>
  <c r="E62" i="12" s="1"/>
  <c r="E55" i="12"/>
  <c r="L19" i="12"/>
  <c r="F39" i="12"/>
  <c r="F40" i="12"/>
  <c r="G37" i="12"/>
  <c r="G38" i="12"/>
  <c r="G36" i="12"/>
  <c r="K51" i="12"/>
  <c r="K29" i="12"/>
  <c r="K28" i="12"/>
  <c r="I45" i="12"/>
  <c r="I48" i="12" s="1"/>
  <c r="I68" i="12" s="1"/>
  <c r="L26" i="12"/>
  <c r="O15" i="12"/>
  <c r="N24" i="12"/>
  <c r="N27" i="12" s="1"/>
  <c r="N52" i="12" s="1"/>
  <c r="M60" i="12"/>
  <c r="M13" i="12"/>
  <c r="H59" i="12"/>
  <c r="G58" i="12"/>
  <c r="H43" i="12"/>
  <c r="H31" i="12" s="1"/>
  <c r="H34" i="12" s="1"/>
  <c r="N14" i="12"/>
  <c r="M23" i="12"/>
  <c r="M22" i="12" s="1"/>
  <c r="G22" i="6"/>
  <c r="I15" i="6"/>
  <c r="H24" i="6"/>
  <c r="I14" i="6"/>
  <c r="H23" i="6"/>
  <c r="G13" i="6"/>
  <c r="G19" i="6" s="1"/>
  <c r="AC6" i="6"/>
  <c r="AC10" i="6" s="1"/>
  <c r="F13" i="6"/>
  <c r="F19" i="6" s="1"/>
  <c r="Q6" i="6"/>
  <c r="Q10" i="6" s="1"/>
  <c r="AO6" i="6"/>
  <c r="AO10" i="6" s="1"/>
  <c r="I6" i="7"/>
  <c r="J6" i="7"/>
  <c r="K6" i="7"/>
  <c r="L6" i="7"/>
  <c r="M6" i="7"/>
  <c r="N6" i="7"/>
  <c r="O6" i="7"/>
  <c r="H7" i="7"/>
  <c r="I7" i="7"/>
  <c r="J7" i="7"/>
  <c r="K7" i="7"/>
  <c r="L7" i="7"/>
  <c r="M7" i="7"/>
  <c r="N7" i="7"/>
  <c r="O7" i="7"/>
  <c r="H9" i="7"/>
  <c r="I9" i="7"/>
  <c r="J9" i="7"/>
  <c r="K9" i="7"/>
  <c r="L9" i="7"/>
  <c r="M9" i="7"/>
  <c r="N9" i="7"/>
  <c r="O9" i="7"/>
  <c r="H10" i="7"/>
  <c r="I10" i="7"/>
  <c r="J10" i="7"/>
  <c r="K10" i="7"/>
  <c r="L10" i="7"/>
  <c r="M10" i="7"/>
  <c r="N10" i="7"/>
  <c r="O10" i="7"/>
  <c r="O11" i="7"/>
  <c r="H23" i="7"/>
  <c r="I23" i="7"/>
  <c r="J23" i="7"/>
  <c r="K23" i="7"/>
  <c r="L23" i="7"/>
  <c r="M23" i="7"/>
  <c r="N23" i="7"/>
  <c r="O23" i="7"/>
  <c r="H24" i="7"/>
  <c r="I24" i="7"/>
  <c r="J24" i="7"/>
  <c r="K24" i="7"/>
  <c r="L24" i="7"/>
  <c r="M24" i="7"/>
  <c r="N24" i="7"/>
  <c r="O24" i="7"/>
  <c r="O5" i="7"/>
  <c r="N5" i="7"/>
  <c r="M5" i="7"/>
  <c r="L5" i="7"/>
  <c r="K5" i="7"/>
  <c r="J5" i="7"/>
  <c r="I5" i="7"/>
  <c r="H5" i="7"/>
  <c r="E7" i="7"/>
  <c r="F7" i="7"/>
  <c r="G7" i="7"/>
  <c r="F9" i="7"/>
  <c r="G9" i="7"/>
  <c r="F10" i="7"/>
  <c r="G10" i="7"/>
  <c r="E23" i="7"/>
  <c r="F23" i="7"/>
  <c r="G23" i="7"/>
  <c r="E24" i="7"/>
  <c r="F24" i="7"/>
  <c r="G24" i="7"/>
  <c r="G5" i="7"/>
  <c r="F5" i="7"/>
  <c r="E5" i="7"/>
  <c r="D6" i="7"/>
  <c r="D7" i="7"/>
  <c r="N8" i="7" l="1"/>
  <c r="C5" i="11"/>
  <c r="E6" i="7"/>
  <c r="E8" i="7" s="1"/>
  <c r="E63" i="12"/>
  <c r="F53" i="12"/>
  <c r="M19" i="12"/>
  <c r="G39" i="12"/>
  <c r="G40" i="12"/>
  <c r="H33" i="12"/>
  <c r="H32" i="12"/>
  <c r="L51" i="12"/>
  <c r="L29" i="12"/>
  <c r="L28" i="12"/>
  <c r="J45" i="12"/>
  <c r="J48" i="12" s="1"/>
  <c r="J68" i="12" s="1"/>
  <c r="N13" i="12"/>
  <c r="M26" i="12"/>
  <c r="N60" i="12"/>
  <c r="H58" i="12"/>
  <c r="I59" i="12"/>
  <c r="P15" i="12"/>
  <c r="O24" i="12"/>
  <c r="O27" i="12" s="1"/>
  <c r="O52" i="12" s="1"/>
  <c r="F50" i="12"/>
  <c r="O14" i="12"/>
  <c r="N23" i="12"/>
  <c r="N22" i="12" s="1"/>
  <c r="H46" i="12"/>
  <c r="H67" i="12"/>
  <c r="G25" i="12"/>
  <c r="H22" i="6"/>
  <c r="J15" i="6"/>
  <c r="I24" i="6"/>
  <c r="J14" i="6"/>
  <c r="I23" i="6"/>
  <c r="H13" i="6"/>
  <c r="H19" i="6" s="1"/>
  <c r="G6" i="7"/>
  <c r="G8" i="7" s="1"/>
  <c r="H6" i="7"/>
  <c r="H8" i="7" s="1"/>
  <c r="O8" i="7"/>
  <c r="K8" i="7"/>
  <c r="J8" i="7"/>
  <c r="L8" i="7"/>
  <c r="I8" i="7"/>
  <c r="M8" i="7"/>
  <c r="F6" i="7"/>
  <c r="F8" i="7" s="1"/>
  <c r="G12" i="7"/>
  <c r="F12" i="7"/>
  <c r="I12" i="7"/>
  <c r="J12" i="7"/>
  <c r="K12" i="7"/>
  <c r="L12" i="7"/>
  <c r="M12" i="7"/>
  <c r="N12" i="7"/>
  <c r="E12" i="7"/>
  <c r="H12" i="7"/>
  <c r="F54" i="12" l="1"/>
  <c r="F62" i="12" s="1"/>
  <c r="F55" i="12"/>
  <c r="G53" i="12"/>
  <c r="E61" i="12"/>
  <c r="N19" i="12"/>
  <c r="H35" i="12"/>
  <c r="H36" i="12" s="1"/>
  <c r="M51" i="12"/>
  <c r="M29" i="12"/>
  <c r="M28" i="12"/>
  <c r="K45" i="12"/>
  <c r="K48" i="12" s="1"/>
  <c r="K68" i="12" s="1"/>
  <c r="O13" i="12"/>
  <c r="J59" i="12"/>
  <c r="I58" i="12"/>
  <c r="Q15" i="12"/>
  <c r="P24" i="12"/>
  <c r="P27" i="12" s="1"/>
  <c r="P52" i="12" s="1"/>
  <c r="O60" i="12"/>
  <c r="N26" i="12"/>
  <c r="H66" i="12"/>
  <c r="P14" i="12"/>
  <c r="O23" i="12"/>
  <c r="O22" i="12" s="1"/>
  <c r="I44" i="12"/>
  <c r="I47" i="12" s="1"/>
  <c r="I22" i="6"/>
  <c r="K15" i="6"/>
  <c r="J24" i="6"/>
  <c r="K14" i="6"/>
  <c r="J23" i="6"/>
  <c r="I13" i="6"/>
  <c r="I19" i="6" s="1"/>
  <c r="D5" i="7"/>
  <c r="G55" i="12" l="1"/>
  <c r="G54" i="12"/>
  <c r="G62" i="12" s="1"/>
  <c r="F63" i="12"/>
  <c r="O19" i="12"/>
  <c r="H37" i="12"/>
  <c r="H38" i="12"/>
  <c r="N51" i="12"/>
  <c r="N29" i="12"/>
  <c r="N28" i="12"/>
  <c r="L45" i="12"/>
  <c r="L48" i="12" s="1"/>
  <c r="L68" i="12" s="1"/>
  <c r="Q24" i="12"/>
  <c r="Q27" i="12" s="1"/>
  <c r="Q52" i="12" s="1"/>
  <c r="R15" i="12"/>
  <c r="O26" i="12"/>
  <c r="P60" i="12"/>
  <c r="K59" i="12"/>
  <c r="J58" i="12"/>
  <c r="P13" i="12"/>
  <c r="I67" i="12"/>
  <c r="I43" i="12"/>
  <c r="I31" i="12" s="1"/>
  <c r="I34" i="12" s="1"/>
  <c r="Q14" i="12"/>
  <c r="P23" i="12"/>
  <c r="P26" i="12" s="1"/>
  <c r="H25" i="12"/>
  <c r="J22" i="6"/>
  <c r="L15" i="6"/>
  <c r="K24" i="6"/>
  <c r="L14" i="6"/>
  <c r="K23" i="6"/>
  <c r="J13" i="6"/>
  <c r="J19" i="6" s="1"/>
  <c r="D8" i="7"/>
  <c r="D10" i="6"/>
  <c r="F61" i="12" l="1"/>
  <c r="G63" i="12"/>
  <c r="E11" i="13"/>
  <c r="E13" i="13" s="1"/>
  <c r="H40" i="12"/>
  <c r="H39" i="12"/>
  <c r="I33" i="12"/>
  <c r="I32" i="12"/>
  <c r="P19" i="12"/>
  <c r="P51" i="12"/>
  <c r="P29" i="12"/>
  <c r="P28" i="12"/>
  <c r="O51" i="12"/>
  <c r="O29" i="12"/>
  <c r="O28" i="12"/>
  <c r="M45" i="12"/>
  <c r="P22" i="12"/>
  <c r="E16" i="13" s="1"/>
  <c r="R24" i="12"/>
  <c r="R27" i="12" s="1"/>
  <c r="R52" i="12" s="1"/>
  <c r="S15" i="12"/>
  <c r="L59" i="12"/>
  <c r="K58" i="12"/>
  <c r="Q60" i="12"/>
  <c r="Q13" i="12"/>
  <c r="R14" i="12"/>
  <c r="Q23" i="12"/>
  <c r="Q22" i="12" s="1"/>
  <c r="I46" i="12"/>
  <c r="J44" i="12"/>
  <c r="J47" i="12" s="1"/>
  <c r="I66" i="12"/>
  <c r="K22" i="6"/>
  <c r="M15" i="6"/>
  <c r="L24" i="6"/>
  <c r="M14" i="6"/>
  <c r="L23" i="6"/>
  <c r="K13" i="6"/>
  <c r="K19" i="6" s="1"/>
  <c r="D36" i="7"/>
  <c r="D50" i="7" s="1"/>
  <c r="H53" i="12" l="1"/>
  <c r="G61" i="12"/>
  <c r="Q19" i="12"/>
  <c r="I35" i="12"/>
  <c r="I36" i="12" s="1"/>
  <c r="M48" i="12"/>
  <c r="Q26" i="12"/>
  <c r="T15" i="12"/>
  <c r="S24" i="12"/>
  <c r="S27" i="12" s="1"/>
  <c r="S52" i="12" s="1"/>
  <c r="R60" i="12"/>
  <c r="R13" i="12"/>
  <c r="L58" i="12"/>
  <c r="M59" i="12"/>
  <c r="J43" i="12"/>
  <c r="J31" i="12" s="1"/>
  <c r="J34" i="12" s="1"/>
  <c r="R23" i="12"/>
  <c r="R22" i="12" s="1"/>
  <c r="S14" i="12"/>
  <c r="G50" i="12"/>
  <c r="L22" i="6"/>
  <c r="N15" i="6"/>
  <c r="M24" i="6"/>
  <c r="N14" i="6"/>
  <c r="M23" i="6"/>
  <c r="L13" i="6"/>
  <c r="L19" i="6" s="1"/>
  <c r="H55" i="12" l="1"/>
  <c r="H54" i="12"/>
  <c r="H62" i="12" s="1"/>
  <c r="R19" i="12"/>
  <c r="I37" i="12"/>
  <c r="I38" i="12"/>
  <c r="J33" i="12"/>
  <c r="J32" i="12"/>
  <c r="Q51" i="12"/>
  <c r="Q29" i="12"/>
  <c r="Q28" i="12"/>
  <c r="M68" i="12"/>
  <c r="R26" i="12"/>
  <c r="J46" i="12"/>
  <c r="J35" i="12" s="1"/>
  <c r="J38" i="12" s="1"/>
  <c r="N59" i="12"/>
  <c r="M58" i="12"/>
  <c r="U15" i="12"/>
  <c r="T24" i="12"/>
  <c r="T27" i="12" s="1"/>
  <c r="T52" i="12" s="1"/>
  <c r="S13" i="12"/>
  <c r="S60" i="12"/>
  <c r="J67" i="12"/>
  <c r="S23" i="12"/>
  <c r="S26" i="12" s="1"/>
  <c r="T14" i="12"/>
  <c r="I25" i="12"/>
  <c r="M22" i="6"/>
  <c r="O15" i="6"/>
  <c r="N24" i="6"/>
  <c r="O14" i="6"/>
  <c r="N23" i="6"/>
  <c r="M13" i="6"/>
  <c r="M19" i="6" s="1"/>
  <c r="H63" i="12" l="1"/>
  <c r="S19" i="12"/>
  <c r="I40" i="12"/>
  <c r="I39" i="12"/>
  <c r="J36" i="12"/>
  <c r="J37" i="12"/>
  <c r="R51" i="12"/>
  <c r="R29" i="12"/>
  <c r="R28" i="12"/>
  <c r="S51" i="12"/>
  <c r="S29" i="12"/>
  <c r="S28" i="12"/>
  <c r="N45" i="12"/>
  <c r="N48" i="12" s="1"/>
  <c r="N68" i="12" s="1"/>
  <c r="S22" i="12"/>
  <c r="T60" i="12"/>
  <c r="N58" i="12"/>
  <c r="O59" i="12"/>
  <c r="T13" i="12"/>
  <c r="V15" i="12"/>
  <c r="U24" i="12"/>
  <c r="U27" i="12" s="1"/>
  <c r="U52" i="12" s="1"/>
  <c r="K44" i="12"/>
  <c r="K47" i="12" s="1"/>
  <c r="J66" i="12"/>
  <c r="T23" i="12"/>
  <c r="T22" i="12" s="1"/>
  <c r="U14" i="12"/>
  <c r="N22" i="6"/>
  <c r="P15" i="6"/>
  <c r="O24" i="6"/>
  <c r="P14" i="6"/>
  <c r="O23" i="6"/>
  <c r="N13" i="6"/>
  <c r="N19" i="6" s="1"/>
  <c r="I53" i="12" l="1"/>
  <c r="I54" i="12" s="1"/>
  <c r="J40" i="12"/>
  <c r="H61" i="12"/>
  <c r="T19" i="12"/>
  <c r="J39" i="12"/>
  <c r="O45" i="12"/>
  <c r="O48" i="12" s="1"/>
  <c r="O68" i="12" s="1"/>
  <c r="T26" i="12"/>
  <c r="O58" i="12"/>
  <c r="P59" i="12"/>
  <c r="W15" i="12"/>
  <c r="V24" i="12"/>
  <c r="V27" i="12" s="1"/>
  <c r="V52" i="12" s="1"/>
  <c r="U60" i="12"/>
  <c r="K43" i="12"/>
  <c r="K31" i="12" s="1"/>
  <c r="K34" i="12" s="1"/>
  <c r="K67" i="12"/>
  <c r="U23" i="12"/>
  <c r="U26" i="12" s="1"/>
  <c r="V14" i="12"/>
  <c r="U13" i="12"/>
  <c r="J25" i="12"/>
  <c r="O22" i="6"/>
  <c r="Q15" i="6"/>
  <c r="P24" i="6"/>
  <c r="Q14" i="6"/>
  <c r="P23" i="6"/>
  <c r="O13" i="6"/>
  <c r="O19" i="6" s="1"/>
  <c r="I55" i="12" l="1"/>
  <c r="I62" i="12"/>
  <c r="J53" i="12"/>
  <c r="U19" i="12"/>
  <c r="K33" i="12"/>
  <c r="K32" i="12"/>
  <c r="U51" i="12"/>
  <c r="U29" i="12"/>
  <c r="U28" i="12"/>
  <c r="T51" i="12"/>
  <c r="T29" i="12"/>
  <c r="T28" i="12"/>
  <c r="P45" i="12"/>
  <c r="P48" i="12" s="1"/>
  <c r="P68" i="12" s="1"/>
  <c r="U22" i="12"/>
  <c r="X15" i="12"/>
  <c r="W24" i="12"/>
  <c r="W27" i="12" s="1"/>
  <c r="W52" i="12" s="1"/>
  <c r="V13" i="12"/>
  <c r="K46" i="12"/>
  <c r="V60" i="12"/>
  <c r="P58" i="12"/>
  <c r="Q59" i="12"/>
  <c r="K66" i="12"/>
  <c r="V23" i="12"/>
  <c r="V22" i="12" s="1"/>
  <c r="W14" i="12"/>
  <c r="L44" i="12"/>
  <c r="L47" i="12" s="1"/>
  <c r="H50" i="12"/>
  <c r="P22" i="6"/>
  <c r="E16" i="7" s="1"/>
  <c r="R15" i="6"/>
  <c r="Q24" i="6"/>
  <c r="R14" i="6"/>
  <c r="Q23" i="6"/>
  <c r="J54" i="12" l="1"/>
  <c r="J62" i="12" s="1"/>
  <c r="J55" i="12"/>
  <c r="I63" i="12"/>
  <c r="I61" i="12" s="1"/>
  <c r="V19" i="12"/>
  <c r="K35" i="12"/>
  <c r="Q45" i="12"/>
  <c r="Q48" i="12" s="1"/>
  <c r="Q68" i="12" s="1"/>
  <c r="Q58" i="12"/>
  <c r="R59" i="12"/>
  <c r="X24" i="12"/>
  <c r="X27" i="12" s="1"/>
  <c r="X52" i="12" s="1"/>
  <c r="Y15" i="12"/>
  <c r="W13" i="12"/>
  <c r="W60" i="12"/>
  <c r="V26" i="12"/>
  <c r="L46" i="12"/>
  <c r="L43" i="12"/>
  <c r="L31" i="12" s="1"/>
  <c r="L34" i="12" s="1"/>
  <c r="X14" i="12"/>
  <c r="W23" i="12"/>
  <c r="W22" i="12" s="1"/>
  <c r="K25" i="12"/>
  <c r="Q22" i="6"/>
  <c r="S15" i="6"/>
  <c r="R24" i="6"/>
  <c r="S14" i="6"/>
  <c r="R23" i="6"/>
  <c r="Q13" i="6"/>
  <c r="Q19" i="6" s="1"/>
  <c r="P13" i="6"/>
  <c r="P19" i="6" s="1"/>
  <c r="J63" i="12" l="1"/>
  <c r="W19" i="12"/>
  <c r="K37" i="12"/>
  <c r="K38" i="12"/>
  <c r="L35" i="12"/>
  <c r="L37" i="12" s="1"/>
  <c r="K36" i="12"/>
  <c r="L33" i="12"/>
  <c r="L32" i="12"/>
  <c r="V51" i="12"/>
  <c r="V29" i="12"/>
  <c r="V28" i="12"/>
  <c r="R45" i="12"/>
  <c r="R48" i="12" s="1"/>
  <c r="R68" i="12" s="1"/>
  <c r="W26" i="12"/>
  <c r="S59" i="12"/>
  <c r="R58" i="12"/>
  <c r="Y24" i="12"/>
  <c r="Y27" i="12" s="1"/>
  <c r="Y52" i="12" s="1"/>
  <c r="Z15" i="12"/>
  <c r="X60" i="12"/>
  <c r="L67" i="12"/>
  <c r="X23" i="12"/>
  <c r="X22" i="12" s="1"/>
  <c r="Y14" i="12"/>
  <c r="X13" i="12"/>
  <c r="R22" i="6"/>
  <c r="T15" i="6"/>
  <c r="S24" i="6"/>
  <c r="T14" i="6"/>
  <c r="S23" i="6"/>
  <c r="E11" i="7"/>
  <c r="E13" i="7" s="1"/>
  <c r="K39" i="12" l="1"/>
  <c r="J61" i="12"/>
  <c r="X19" i="12"/>
  <c r="K40" i="12"/>
  <c r="L36" i="12"/>
  <c r="L38" i="12"/>
  <c r="W51" i="12"/>
  <c r="W29" i="12"/>
  <c r="W28" i="12"/>
  <c r="S45" i="12"/>
  <c r="S48" i="12" s="1"/>
  <c r="Z24" i="12"/>
  <c r="Z27" i="12" s="1"/>
  <c r="Z52" i="12" s="1"/>
  <c r="AA15" i="12"/>
  <c r="T59" i="12"/>
  <c r="S58" i="12"/>
  <c r="Y60" i="12"/>
  <c r="X26" i="12"/>
  <c r="L66" i="12"/>
  <c r="M44" i="12"/>
  <c r="M47" i="12" s="1"/>
  <c r="Y23" i="12"/>
  <c r="Y26" i="12" s="1"/>
  <c r="Z14" i="12"/>
  <c r="Y13" i="12"/>
  <c r="S22" i="6"/>
  <c r="U15" i="6"/>
  <c r="T24" i="6"/>
  <c r="U14" i="6"/>
  <c r="T23" i="6"/>
  <c r="R13" i="6"/>
  <c r="R19" i="6" s="1"/>
  <c r="K53" i="12" l="1"/>
  <c r="K55" i="12" s="1"/>
  <c r="Y19" i="12"/>
  <c r="L40" i="12"/>
  <c r="L39" i="12"/>
  <c r="X51" i="12"/>
  <c r="X29" i="12"/>
  <c r="X28" i="12"/>
  <c r="Y51" i="12"/>
  <c r="Y29" i="12"/>
  <c r="Y28" i="12"/>
  <c r="S68" i="12"/>
  <c r="Y22" i="12"/>
  <c r="Z13" i="12"/>
  <c r="U59" i="12"/>
  <c r="T58" i="12"/>
  <c r="Z60" i="12"/>
  <c r="AB15" i="12"/>
  <c r="AA24" i="12"/>
  <c r="AA27" i="12" s="1"/>
  <c r="AA52" i="12" s="1"/>
  <c r="M43" i="12"/>
  <c r="M31" i="12" s="1"/>
  <c r="M34" i="12" s="1"/>
  <c r="Z23" i="12"/>
  <c r="Z22" i="12" s="1"/>
  <c r="AA14" i="12"/>
  <c r="L25" i="12"/>
  <c r="I50" i="12"/>
  <c r="T22" i="6"/>
  <c r="V15" i="6"/>
  <c r="U24" i="6"/>
  <c r="V14" i="6"/>
  <c r="U23" i="6"/>
  <c r="T13" i="6"/>
  <c r="T19" i="6" s="1"/>
  <c r="S13" i="6"/>
  <c r="S19" i="6" s="1"/>
  <c r="K54" i="12" l="1"/>
  <c r="K62" i="12" s="1"/>
  <c r="L53" i="12"/>
  <c r="L54" i="12" s="1"/>
  <c r="Z19" i="12"/>
  <c r="M33" i="12"/>
  <c r="M32" i="12"/>
  <c r="T45" i="12"/>
  <c r="Z26" i="12"/>
  <c r="AB24" i="12"/>
  <c r="AB27" i="12" s="1"/>
  <c r="AB52" i="12" s="1"/>
  <c r="AC15" i="12"/>
  <c r="M46" i="12"/>
  <c r="AA60" i="12"/>
  <c r="M67" i="12"/>
  <c r="V59" i="12"/>
  <c r="U58" i="12"/>
  <c r="AA13" i="12"/>
  <c r="AA23" i="12"/>
  <c r="AA22" i="12" s="1"/>
  <c r="AB14" i="12"/>
  <c r="U22" i="6"/>
  <c r="W15" i="6"/>
  <c r="V24" i="6"/>
  <c r="W14" i="6"/>
  <c r="V23" i="6"/>
  <c r="U13" i="6"/>
  <c r="U19" i="6" s="1"/>
  <c r="L55" i="12" l="1"/>
  <c r="K63" i="12"/>
  <c r="L62" i="12"/>
  <c r="AA19" i="12"/>
  <c r="M35" i="12"/>
  <c r="M36" i="12" s="1"/>
  <c r="Z51" i="12"/>
  <c r="Z29" i="12"/>
  <c r="Z28" i="12"/>
  <c r="T48" i="12"/>
  <c r="T68" i="12" s="1"/>
  <c r="N44" i="12"/>
  <c r="N47" i="12" s="1"/>
  <c r="AA26" i="12"/>
  <c r="AB60" i="12"/>
  <c r="M66" i="12"/>
  <c r="AB13" i="12"/>
  <c r="W59" i="12"/>
  <c r="V58" i="12"/>
  <c r="AD15" i="12"/>
  <c r="AC24" i="12"/>
  <c r="AC27" i="12" s="1"/>
  <c r="AC52" i="12" s="1"/>
  <c r="AB23" i="12"/>
  <c r="AB22" i="12" s="1"/>
  <c r="F16" i="13" s="1"/>
  <c r="AC14" i="12"/>
  <c r="V22" i="6"/>
  <c r="X15" i="6"/>
  <c r="W24" i="6"/>
  <c r="X14" i="6"/>
  <c r="W23" i="6"/>
  <c r="V13" i="6"/>
  <c r="V19" i="6" s="1"/>
  <c r="L63" i="12" l="1"/>
  <c r="K61" i="12"/>
  <c r="AB19" i="12"/>
  <c r="M37" i="12"/>
  <c r="M38" i="12"/>
  <c r="AA51" i="12"/>
  <c r="AA29" i="12"/>
  <c r="AA28" i="12"/>
  <c r="N43" i="12"/>
  <c r="N31" i="12" s="1"/>
  <c r="N34" i="12" s="1"/>
  <c r="U45" i="12"/>
  <c r="F11" i="13"/>
  <c r="F13" i="13" s="1"/>
  <c r="AC13" i="12"/>
  <c r="W58" i="12"/>
  <c r="X59" i="12"/>
  <c r="AE15" i="12"/>
  <c r="AD24" i="12"/>
  <c r="AD27" i="12" s="1"/>
  <c r="AD52" i="12" s="1"/>
  <c r="AB26" i="12"/>
  <c r="AC60" i="12"/>
  <c r="AC23" i="12"/>
  <c r="AC22" i="12" s="1"/>
  <c r="AD14" i="12"/>
  <c r="M25" i="12"/>
  <c r="N67" i="12"/>
  <c r="N46" i="12"/>
  <c r="W22" i="6"/>
  <c r="Y15" i="6"/>
  <c r="X24" i="6"/>
  <c r="Y14" i="6"/>
  <c r="X23" i="6"/>
  <c r="W13" i="6"/>
  <c r="W19" i="6" s="1"/>
  <c r="L61" i="12" l="1"/>
  <c r="AC19" i="12"/>
  <c r="AD13" i="12"/>
  <c r="M40" i="12"/>
  <c r="M39" i="12"/>
  <c r="N35" i="12"/>
  <c r="N37" i="12" s="1"/>
  <c r="N32" i="12"/>
  <c r="N33" i="12"/>
  <c r="AB51" i="12"/>
  <c r="AB29" i="12"/>
  <c r="AB28" i="12"/>
  <c r="U48" i="12"/>
  <c r="U68" i="12" s="1"/>
  <c r="AE24" i="12"/>
  <c r="AE27" i="12" s="1"/>
  <c r="AE52" i="12" s="1"/>
  <c r="AF15" i="12"/>
  <c r="AC26" i="12"/>
  <c r="Y59" i="12"/>
  <c r="X58" i="12"/>
  <c r="AD60" i="12"/>
  <c r="AD23" i="12"/>
  <c r="AD22" i="12" s="1"/>
  <c r="AE14" i="12"/>
  <c r="O44" i="12"/>
  <c r="O47" i="12" s="1"/>
  <c r="N66" i="12"/>
  <c r="J50" i="12"/>
  <c r="X22" i="6"/>
  <c r="Z15" i="6"/>
  <c r="Y24" i="6"/>
  <c r="Z14" i="6"/>
  <c r="Y23" i="6"/>
  <c r="X13" i="6"/>
  <c r="X19" i="6" s="1"/>
  <c r="M53" i="12" l="1"/>
  <c r="AD19" i="12"/>
  <c r="N38" i="12"/>
  <c r="N36" i="12"/>
  <c r="AC51" i="12"/>
  <c r="AC29" i="12"/>
  <c r="AC28" i="12"/>
  <c r="V45" i="12"/>
  <c r="V48" i="12" s="1"/>
  <c r="V68" i="12" s="1"/>
  <c r="AD26" i="12"/>
  <c r="AE60" i="12"/>
  <c r="AG15" i="12"/>
  <c r="AF24" i="12"/>
  <c r="AF27" i="12" s="1"/>
  <c r="AF52" i="12" s="1"/>
  <c r="Z59" i="12"/>
  <c r="Y58" i="12"/>
  <c r="AE23" i="12"/>
  <c r="AE26" i="12" s="1"/>
  <c r="AF14" i="12"/>
  <c r="AE13" i="12"/>
  <c r="O43" i="12"/>
  <c r="O31" i="12" s="1"/>
  <c r="O34" i="12" s="1"/>
  <c r="Y22" i="6"/>
  <c r="AA15" i="6"/>
  <c r="Z24" i="6"/>
  <c r="AA14" i="6"/>
  <c r="Z23" i="6"/>
  <c r="Y13" i="6"/>
  <c r="Y19" i="6" s="1"/>
  <c r="M54" i="12" l="1"/>
  <c r="M62" i="12" s="1"/>
  <c r="M55" i="12"/>
  <c r="M63" i="12" s="1"/>
  <c r="N39" i="12"/>
  <c r="AE19" i="12"/>
  <c r="N40" i="12"/>
  <c r="O33" i="12"/>
  <c r="O32" i="12"/>
  <c r="AD51" i="12"/>
  <c r="AD29" i="12"/>
  <c r="AD28" i="12"/>
  <c r="AE51" i="12"/>
  <c r="AE29" i="12"/>
  <c r="AE28" i="12"/>
  <c r="W45" i="12"/>
  <c r="W48" i="12" s="1"/>
  <c r="AE22" i="12"/>
  <c r="AF13" i="12"/>
  <c r="AA59" i="12"/>
  <c r="Z58" i="12"/>
  <c r="AF60" i="12"/>
  <c r="AH15" i="12"/>
  <c r="AG24" i="12"/>
  <c r="AG27" i="12" s="1"/>
  <c r="AG52" i="12" s="1"/>
  <c r="AF23" i="12"/>
  <c r="AF22" i="12" s="1"/>
  <c r="AG14" i="12"/>
  <c r="N25" i="12"/>
  <c r="O67" i="12"/>
  <c r="O46" i="12"/>
  <c r="Z22" i="6"/>
  <c r="AB15" i="6"/>
  <c r="AA24" i="6"/>
  <c r="AB14" i="6"/>
  <c r="AA23" i="6"/>
  <c r="Z13" i="6"/>
  <c r="Z19" i="6" s="1"/>
  <c r="M61" i="12" l="1"/>
  <c r="N53" i="12"/>
  <c r="AF19" i="12"/>
  <c r="O35" i="12"/>
  <c r="W68" i="12"/>
  <c r="AI15" i="12"/>
  <c r="AH24" i="12"/>
  <c r="AH27" i="12" s="1"/>
  <c r="AH52" i="12" s="1"/>
  <c r="AG13" i="12"/>
  <c r="AA58" i="12"/>
  <c r="AB59" i="12"/>
  <c r="AG60" i="12"/>
  <c r="AF26" i="12"/>
  <c r="AH14" i="12"/>
  <c r="AG23" i="12"/>
  <c r="AG22" i="12" s="1"/>
  <c r="P44" i="12"/>
  <c r="P47" i="12" s="1"/>
  <c r="O66" i="12"/>
  <c r="AA22" i="6"/>
  <c r="AC15" i="6"/>
  <c r="AB24" i="6"/>
  <c r="AC14" i="6"/>
  <c r="AB23" i="6"/>
  <c r="AA13" i="6"/>
  <c r="AA19" i="6" s="1"/>
  <c r="N54" i="12" l="1"/>
  <c r="N62" i="12" s="1"/>
  <c r="N55" i="12"/>
  <c r="AH13" i="12"/>
  <c r="AG19" i="12"/>
  <c r="O37" i="12"/>
  <c r="O38" i="12"/>
  <c r="O36" i="12"/>
  <c r="AF51" i="12"/>
  <c r="AF29" i="12"/>
  <c r="AF28" i="12"/>
  <c r="X45" i="12"/>
  <c r="X48" i="12" s="1"/>
  <c r="X68" i="12" s="1"/>
  <c r="AB58" i="12"/>
  <c r="AC59" i="12"/>
  <c r="AJ15" i="12"/>
  <c r="AI24" i="12"/>
  <c r="AI27" i="12" s="1"/>
  <c r="AI52" i="12" s="1"/>
  <c r="AH60" i="12"/>
  <c r="AG26" i="12"/>
  <c r="P43" i="12"/>
  <c r="K50" i="12"/>
  <c r="AH23" i="12"/>
  <c r="AH22" i="12" s="1"/>
  <c r="AI14" i="12"/>
  <c r="AB22" i="6"/>
  <c r="F16" i="7" s="1"/>
  <c r="AD15" i="6"/>
  <c r="AC24" i="6"/>
  <c r="AD14" i="6"/>
  <c r="AC23" i="6"/>
  <c r="AB13" i="6"/>
  <c r="AB19" i="6" s="1"/>
  <c r="O39" i="12" l="1"/>
  <c r="N63" i="12"/>
  <c r="AH19" i="12"/>
  <c r="O40" i="12"/>
  <c r="E17" i="13"/>
  <c r="E38" i="13" s="1"/>
  <c r="P31" i="12"/>
  <c r="P34" i="12" s="1"/>
  <c r="AG51" i="12"/>
  <c r="AG29" i="12"/>
  <c r="AG28" i="12"/>
  <c r="Y45" i="12"/>
  <c r="AI60" i="12"/>
  <c r="AH26" i="12"/>
  <c r="AD59" i="12"/>
  <c r="AC58" i="12"/>
  <c r="P46" i="12"/>
  <c r="AK15" i="12"/>
  <c r="AJ24" i="12"/>
  <c r="AJ27" i="12" s="1"/>
  <c r="AJ52" i="12" s="1"/>
  <c r="P67" i="12"/>
  <c r="O25" i="12"/>
  <c r="AI23" i="12"/>
  <c r="AI22" i="12" s="1"/>
  <c r="AJ14" i="12"/>
  <c r="AI13" i="12"/>
  <c r="AC22" i="6"/>
  <c r="AE15" i="6"/>
  <c r="AD24" i="6"/>
  <c r="AE14" i="6"/>
  <c r="AD23" i="6"/>
  <c r="AC13" i="6"/>
  <c r="AC19" i="6" s="1"/>
  <c r="F11" i="7"/>
  <c r="F13" i="7" s="1"/>
  <c r="N61" i="12" l="1"/>
  <c r="O53" i="12"/>
  <c r="AI19" i="12"/>
  <c r="E18" i="13"/>
  <c r="E39" i="13" s="1"/>
  <c r="P35" i="12"/>
  <c r="P37" i="12" s="1"/>
  <c r="P33" i="12"/>
  <c r="P32" i="12"/>
  <c r="AH51" i="12"/>
  <c r="AH29" i="12"/>
  <c r="AH28" i="12"/>
  <c r="Y48" i="12"/>
  <c r="Y68" i="12" s="1"/>
  <c r="AJ60" i="12"/>
  <c r="AI26" i="12"/>
  <c r="AJ13" i="12"/>
  <c r="AK24" i="12"/>
  <c r="AK27" i="12" s="1"/>
  <c r="AK52" i="12" s="1"/>
  <c r="AL15" i="12"/>
  <c r="AD58" i="12"/>
  <c r="AE59" i="12"/>
  <c r="Q44" i="12"/>
  <c r="Q47" i="12" s="1"/>
  <c r="P66" i="12"/>
  <c r="AJ23" i="12"/>
  <c r="AJ22" i="12" s="1"/>
  <c r="AK14" i="12"/>
  <c r="AD22" i="6"/>
  <c r="AF15" i="6"/>
  <c r="AE24" i="6"/>
  <c r="AF14" i="6"/>
  <c r="AE23" i="6"/>
  <c r="AD13" i="6"/>
  <c r="AD19" i="6" s="1"/>
  <c r="O55" i="12" l="1"/>
  <c r="O63" i="12" s="1"/>
  <c r="O54" i="12"/>
  <c r="O62" i="12" s="1"/>
  <c r="AJ19" i="12"/>
  <c r="P38" i="12"/>
  <c r="P36" i="12"/>
  <c r="AI51" i="12"/>
  <c r="AI29" i="12"/>
  <c r="AI28" i="12"/>
  <c r="AK60" i="12"/>
  <c r="Z45" i="12"/>
  <c r="Z48" i="12" s="1"/>
  <c r="Z68" i="12" s="1"/>
  <c r="AE58" i="12"/>
  <c r="AF59" i="12"/>
  <c r="AM15" i="12"/>
  <c r="AL24" i="12"/>
  <c r="AL27" i="12" s="1"/>
  <c r="AL52" i="12" s="1"/>
  <c r="AJ26" i="12"/>
  <c r="AK13" i="12"/>
  <c r="Q43" i="12"/>
  <c r="Q31" i="12" s="1"/>
  <c r="Q34" i="12" s="1"/>
  <c r="Q67" i="12"/>
  <c r="E25" i="13"/>
  <c r="AL14" i="12"/>
  <c r="AK23" i="12"/>
  <c r="AK22" i="12" s="1"/>
  <c r="P25" i="12"/>
  <c r="AE22" i="6"/>
  <c r="AG15" i="6"/>
  <c r="AF24" i="6"/>
  <c r="AG14" i="6"/>
  <c r="AF23" i="6"/>
  <c r="AE13" i="6"/>
  <c r="AE19" i="6" s="1"/>
  <c r="P39" i="12" l="1"/>
  <c r="O61" i="12"/>
  <c r="AK19" i="12"/>
  <c r="P40" i="12"/>
  <c r="Q33" i="12"/>
  <c r="Q32" i="12"/>
  <c r="AJ51" i="12"/>
  <c r="AJ29" i="12"/>
  <c r="AJ28" i="12"/>
  <c r="AL60" i="12"/>
  <c r="AA45" i="12"/>
  <c r="R44" i="12"/>
  <c r="R47" i="12" s="1"/>
  <c r="R67" i="12" s="1"/>
  <c r="Q46" i="12"/>
  <c r="AF58" i="12"/>
  <c r="AG59" i="12"/>
  <c r="AK26" i="12"/>
  <c r="AM24" i="12"/>
  <c r="AM27" i="12" s="1"/>
  <c r="AM52" i="12" s="1"/>
  <c r="AN15" i="12"/>
  <c r="AL13" i="12"/>
  <c r="Q66" i="12"/>
  <c r="AM14" i="12"/>
  <c r="AL23" i="12"/>
  <c r="AL22" i="12" s="1"/>
  <c r="Q25" i="12"/>
  <c r="L50" i="12"/>
  <c r="AF22" i="6"/>
  <c r="AH15" i="6"/>
  <c r="AG24" i="6"/>
  <c r="AH14" i="6"/>
  <c r="AG23" i="6"/>
  <c r="AF13" i="6"/>
  <c r="AF19" i="6" s="1"/>
  <c r="P53" i="12" l="1"/>
  <c r="P55" i="12" s="1"/>
  <c r="AL19" i="12"/>
  <c r="AM13" i="12"/>
  <c r="Q35" i="12"/>
  <c r="AK51" i="12"/>
  <c r="AK29" i="12"/>
  <c r="AK28" i="12"/>
  <c r="AM60" i="12"/>
  <c r="R43" i="12"/>
  <c r="R31" i="12" s="1"/>
  <c r="R34" i="12" s="1"/>
  <c r="AA48" i="12"/>
  <c r="AA68" i="12" s="1"/>
  <c r="AL26" i="12"/>
  <c r="AH59" i="12"/>
  <c r="AG58" i="12"/>
  <c r="AN24" i="12"/>
  <c r="AN27" i="12" s="1"/>
  <c r="AN52" i="12" s="1"/>
  <c r="AO15" i="12"/>
  <c r="R46" i="12"/>
  <c r="S44" i="12"/>
  <c r="S47" i="12" s="1"/>
  <c r="R66" i="12"/>
  <c r="AN14" i="12"/>
  <c r="AM23" i="12"/>
  <c r="AM26" i="12" s="1"/>
  <c r="AG22" i="6"/>
  <c r="AI15" i="6"/>
  <c r="AH24" i="6"/>
  <c r="AI14" i="6"/>
  <c r="AH23" i="6"/>
  <c r="AG13" i="6"/>
  <c r="AG19" i="6" s="1"/>
  <c r="P54" i="12" l="1"/>
  <c r="P62" i="12" s="1"/>
  <c r="AM19" i="12"/>
  <c r="AN13" i="12"/>
  <c r="Q37" i="12"/>
  <c r="Q38" i="12"/>
  <c r="R35" i="12"/>
  <c r="R37" i="12" s="1"/>
  <c r="Q36" i="12"/>
  <c r="R33" i="12"/>
  <c r="R32" i="12"/>
  <c r="AN60" i="12"/>
  <c r="AL51" i="12"/>
  <c r="AL29" i="12"/>
  <c r="AL28" i="12"/>
  <c r="AM51" i="12"/>
  <c r="AM29" i="12"/>
  <c r="AM28" i="12"/>
  <c r="AB45" i="12"/>
  <c r="AB48" i="12" s="1"/>
  <c r="AB68" i="12" s="1"/>
  <c r="AM22" i="12"/>
  <c r="AI59" i="12"/>
  <c r="AH58" i="12"/>
  <c r="AP15" i="12"/>
  <c r="AO24" i="12"/>
  <c r="AO27" i="12" s="1"/>
  <c r="AO52" i="12" s="1"/>
  <c r="S43" i="12"/>
  <c r="S31" i="12" s="1"/>
  <c r="S34" i="12" s="1"/>
  <c r="S67" i="12"/>
  <c r="AN23" i="12"/>
  <c r="AN22" i="12" s="1"/>
  <c r="AO14" i="12"/>
  <c r="R25" i="12"/>
  <c r="AH22" i="6"/>
  <c r="AJ15" i="6"/>
  <c r="AI24" i="6"/>
  <c r="AJ14" i="6"/>
  <c r="AI23" i="6"/>
  <c r="AH13" i="6"/>
  <c r="AH19" i="6" s="1"/>
  <c r="G16" i="13" l="1"/>
  <c r="P63" i="12"/>
  <c r="G11" i="13"/>
  <c r="G13" i="13" s="1"/>
  <c r="AN19" i="12"/>
  <c r="AO13" i="12"/>
  <c r="AO19" i="12" s="1"/>
  <c r="Q39" i="12"/>
  <c r="Q40" i="12"/>
  <c r="R38" i="12"/>
  <c r="R36" i="12"/>
  <c r="S33" i="12"/>
  <c r="S32" i="12"/>
  <c r="AO60" i="12"/>
  <c r="S66" i="12"/>
  <c r="AC45" i="12"/>
  <c r="AN26" i="12"/>
  <c r="AJ59" i="12"/>
  <c r="AI58" i="12"/>
  <c r="AP24" i="12"/>
  <c r="AP27" i="12" s="1"/>
  <c r="AP52" i="12" s="1"/>
  <c r="AQ15" i="12"/>
  <c r="T44" i="12"/>
  <c r="T47" i="12" s="1"/>
  <c r="S46" i="12"/>
  <c r="AO23" i="12"/>
  <c r="AO26" i="12" s="1"/>
  <c r="AP14" i="12"/>
  <c r="AI22" i="6"/>
  <c r="AK15" i="6"/>
  <c r="AJ24" i="6"/>
  <c r="AK14" i="6"/>
  <c r="AJ23" i="6"/>
  <c r="AI13" i="6"/>
  <c r="AI19" i="6" s="1"/>
  <c r="AP60" i="12" l="1"/>
  <c r="R39" i="12"/>
  <c r="Q53" i="12"/>
  <c r="P61" i="12"/>
  <c r="AP13" i="12"/>
  <c r="R40" i="12"/>
  <c r="S35" i="12"/>
  <c r="AO51" i="12"/>
  <c r="AO29" i="12"/>
  <c r="AO28" i="12"/>
  <c r="AN51" i="12"/>
  <c r="AN29" i="12"/>
  <c r="AN28" i="12"/>
  <c r="AC48" i="12"/>
  <c r="AC68" i="12" s="1"/>
  <c r="AO22" i="12"/>
  <c r="AR15" i="12"/>
  <c r="AQ24" i="12"/>
  <c r="AQ27" i="12" s="1"/>
  <c r="AQ52" i="12" s="1"/>
  <c r="AQ60" i="12" s="1"/>
  <c r="AK59" i="12"/>
  <c r="AJ58" i="12"/>
  <c r="T67" i="12"/>
  <c r="T43" i="12"/>
  <c r="T31" i="12" s="1"/>
  <c r="T34" i="12" s="1"/>
  <c r="AQ14" i="12"/>
  <c r="AP23" i="12"/>
  <c r="AP26" i="12" s="1"/>
  <c r="S25" i="12"/>
  <c r="M50" i="12"/>
  <c r="AJ22" i="6"/>
  <c r="AL15" i="6"/>
  <c r="AK24" i="6"/>
  <c r="AL14" i="6"/>
  <c r="AK23" i="6"/>
  <c r="AJ13" i="6"/>
  <c r="AJ19" i="6" s="1"/>
  <c r="R53" i="12" l="1"/>
  <c r="R54" i="12" s="1"/>
  <c r="Q54" i="12"/>
  <c r="Q62" i="12" s="1"/>
  <c r="Q55" i="12"/>
  <c r="AP19" i="12"/>
  <c r="S37" i="12"/>
  <c r="S38" i="12"/>
  <c r="S36" i="12"/>
  <c r="T33" i="12"/>
  <c r="T32" i="12"/>
  <c r="AP51" i="12"/>
  <c r="AP29" i="12"/>
  <c r="AP28" i="12"/>
  <c r="AD45" i="12"/>
  <c r="AD48" i="12" s="1"/>
  <c r="AD68" i="12" s="1"/>
  <c r="U44" i="12"/>
  <c r="U47" i="12" s="1"/>
  <c r="T46" i="12"/>
  <c r="AP22" i="12"/>
  <c r="AL59" i="12"/>
  <c r="AK58" i="12"/>
  <c r="AR24" i="12"/>
  <c r="AR27" i="12" s="1"/>
  <c r="AR52" i="12" s="1"/>
  <c r="AR60" i="12" s="1"/>
  <c r="AS15" i="12"/>
  <c r="AQ13" i="12"/>
  <c r="AQ23" i="12"/>
  <c r="AQ22" i="12" s="1"/>
  <c r="AR14" i="12"/>
  <c r="T66" i="12"/>
  <c r="AK22" i="6"/>
  <c r="AM15" i="6"/>
  <c r="AL24" i="6"/>
  <c r="AM14" i="6"/>
  <c r="AL23" i="6"/>
  <c r="AK13" i="6"/>
  <c r="AK19" i="6" s="1"/>
  <c r="R55" i="12" l="1"/>
  <c r="S39" i="12"/>
  <c r="Q63" i="12"/>
  <c r="Q61" i="12" s="1"/>
  <c r="R62" i="12"/>
  <c r="AR13" i="12"/>
  <c r="AR19" i="12" s="1"/>
  <c r="AQ19" i="12"/>
  <c r="S40" i="12"/>
  <c r="T35" i="12"/>
  <c r="T36" i="12" s="1"/>
  <c r="AE45" i="12"/>
  <c r="AE48" i="12" s="1"/>
  <c r="AQ26" i="12"/>
  <c r="AL58" i="12"/>
  <c r="AM59" i="12"/>
  <c r="AS24" i="12"/>
  <c r="AS27" i="12" s="1"/>
  <c r="AS52" i="12" s="1"/>
  <c r="AS60" i="12" s="1"/>
  <c r="AT15" i="12"/>
  <c r="AR23" i="12"/>
  <c r="AR26" i="12" s="1"/>
  <c r="AS14" i="12"/>
  <c r="U43" i="12"/>
  <c r="U31" i="12" s="1"/>
  <c r="U34" i="12" s="1"/>
  <c r="U67" i="12"/>
  <c r="AL22" i="6"/>
  <c r="AN15" i="6"/>
  <c r="AM24" i="6"/>
  <c r="AN14" i="6"/>
  <c r="AM23" i="6"/>
  <c r="AL13" i="6"/>
  <c r="AL19" i="6" s="1"/>
  <c r="S53" i="12" l="1"/>
  <c r="S55" i="12" s="1"/>
  <c r="R63" i="12"/>
  <c r="AS13" i="12"/>
  <c r="T37" i="12"/>
  <c r="T38" i="12"/>
  <c r="U33" i="12"/>
  <c r="U32" i="12"/>
  <c r="AR51" i="12"/>
  <c r="AR29" i="12"/>
  <c r="AR28" i="12"/>
  <c r="AQ51" i="12"/>
  <c r="AQ29" i="12"/>
  <c r="AQ28" i="12"/>
  <c r="AE68" i="12"/>
  <c r="AR22" i="12"/>
  <c r="AM58" i="12"/>
  <c r="AN59" i="12"/>
  <c r="AU15" i="12"/>
  <c r="AT24" i="12"/>
  <c r="AT27" i="12" s="1"/>
  <c r="AT52" i="12" s="1"/>
  <c r="AT60" i="12" s="1"/>
  <c r="AT14" i="12"/>
  <c r="AS23" i="12"/>
  <c r="AS22" i="12" s="1"/>
  <c r="V44" i="12"/>
  <c r="V47" i="12" s="1"/>
  <c r="T25" i="12"/>
  <c r="U46" i="12"/>
  <c r="AM22" i="6"/>
  <c r="AO15" i="6"/>
  <c r="AN24" i="6"/>
  <c r="AO14" i="6"/>
  <c r="AN23" i="6"/>
  <c r="AM13" i="6"/>
  <c r="AM19" i="6" s="1"/>
  <c r="S54" i="12" l="1"/>
  <c r="S62" i="12" s="1"/>
  <c r="R61" i="12"/>
  <c r="AS19" i="12"/>
  <c r="T39" i="12"/>
  <c r="T40" i="12"/>
  <c r="U35" i="12"/>
  <c r="U36" i="12" s="1"/>
  <c r="AF45" i="12"/>
  <c r="AF48" i="12" s="1"/>
  <c r="AF68" i="12" s="1"/>
  <c r="AS26" i="12"/>
  <c r="AT13" i="12"/>
  <c r="AU24" i="12"/>
  <c r="AU27" i="12" s="1"/>
  <c r="AU52" i="12" s="1"/>
  <c r="AU60" i="12" s="1"/>
  <c r="AV15" i="12"/>
  <c r="AO59" i="12"/>
  <c r="AN58" i="12"/>
  <c r="N50" i="12"/>
  <c r="AU14" i="12"/>
  <c r="AT23" i="12"/>
  <c r="AT22" i="12" s="1"/>
  <c r="U66" i="12"/>
  <c r="AN22" i="6"/>
  <c r="G16" i="7" s="1"/>
  <c r="AP15" i="6"/>
  <c r="AO24" i="6"/>
  <c r="AP14" i="6"/>
  <c r="AO23" i="6"/>
  <c r="AN13" i="6"/>
  <c r="AN19" i="6" s="1"/>
  <c r="S63" i="12" l="1"/>
  <c r="T53" i="12"/>
  <c r="AT19" i="12"/>
  <c r="U37" i="12"/>
  <c r="U38" i="12"/>
  <c r="AS51" i="12"/>
  <c r="AS29" i="12"/>
  <c r="AS28" i="12"/>
  <c r="AG45" i="12"/>
  <c r="AG48" i="12" s="1"/>
  <c r="AG68" i="12" s="1"/>
  <c r="AT26" i="12"/>
  <c r="AO58" i="12"/>
  <c r="AP59" i="12"/>
  <c r="AW15" i="12"/>
  <c r="AV24" i="12"/>
  <c r="AV27" i="12" s="1"/>
  <c r="AV52" i="12" s="1"/>
  <c r="AV60" i="12" s="1"/>
  <c r="AU13" i="12"/>
  <c r="AV14" i="12"/>
  <c r="AU23" i="12"/>
  <c r="AU22" i="12" s="1"/>
  <c r="V43" i="12"/>
  <c r="V31" i="12" s="1"/>
  <c r="V34" i="12" s="1"/>
  <c r="V67" i="12"/>
  <c r="AO22" i="6"/>
  <c r="AQ15" i="6"/>
  <c r="AP24" i="6"/>
  <c r="AQ14" i="6"/>
  <c r="AP23" i="6"/>
  <c r="AO13" i="6"/>
  <c r="AO19" i="6" s="1"/>
  <c r="G11" i="7"/>
  <c r="G13" i="7" s="1"/>
  <c r="T54" i="12" l="1"/>
  <c r="T62" i="12" s="1"/>
  <c r="T55" i="12"/>
  <c r="T63" i="12" s="1"/>
  <c r="S61" i="12"/>
  <c r="AU19" i="12"/>
  <c r="AV13" i="12"/>
  <c r="U39" i="12"/>
  <c r="U40" i="12"/>
  <c r="AH45" i="12"/>
  <c r="AH48" i="12" s="1"/>
  <c r="AH68" i="12" s="1"/>
  <c r="V33" i="12"/>
  <c r="V32" i="12"/>
  <c r="AT51" i="12"/>
  <c r="AT29" i="12"/>
  <c r="AT28" i="12"/>
  <c r="AP58" i="12"/>
  <c r="AQ59" i="12"/>
  <c r="AW24" i="12"/>
  <c r="AW27" i="12" s="1"/>
  <c r="AW52" i="12" s="1"/>
  <c r="AW60" i="12" s="1"/>
  <c r="AX15" i="12"/>
  <c r="AU26" i="12"/>
  <c r="AW14" i="12"/>
  <c r="AV23" i="12"/>
  <c r="AV22" i="12" s="1"/>
  <c r="W44" i="12"/>
  <c r="W47" i="12" s="1"/>
  <c r="U25" i="12"/>
  <c r="V46" i="12"/>
  <c r="AP22" i="6"/>
  <c r="AR15" i="6"/>
  <c r="AQ24" i="6"/>
  <c r="AR14" i="6"/>
  <c r="AQ23" i="6"/>
  <c r="AP13" i="6"/>
  <c r="AP19" i="6" s="1"/>
  <c r="U53" i="12" l="1"/>
  <c r="U54" i="12" s="1"/>
  <c r="T61" i="12"/>
  <c r="AV19" i="12"/>
  <c r="AI45" i="12"/>
  <c r="AI48" i="12" s="1"/>
  <c r="AI68" i="12" s="1"/>
  <c r="V35" i="12"/>
  <c r="AU51" i="12"/>
  <c r="AU29" i="12"/>
  <c r="AU28" i="12"/>
  <c r="AV26" i="12"/>
  <c r="AR59" i="12"/>
  <c r="AQ58" i="12"/>
  <c r="AW13" i="12"/>
  <c r="AY15" i="12"/>
  <c r="AX24" i="12"/>
  <c r="AX27" i="12" s="1"/>
  <c r="AX52" i="12" s="1"/>
  <c r="AX60" i="12" s="1"/>
  <c r="AW23" i="12"/>
  <c r="AW26" i="12" s="1"/>
  <c r="AX14" i="12"/>
  <c r="W43" i="12"/>
  <c r="W31" i="12" s="1"/>
  <c r="W34" i="12" s="1"/>
  <c r="V66" i="12"/>
  <c r="AQ22" i="6"/>
  <c r="AS15" i="6"/>
  <c r="AR24" i="6"/>
  <c r="AS14" i="6"/>
  <c r="AR23" i="6"/>
  <c r="AQ13" i="6"/>
  <c r="AQ19" i="6" s="1"/>
  <c r="U55" i="12" l="1"/>
  <c r="U62" i="12"/>
  <c r="AX13" i="12"/>
  <c r="AW19" i="12"/>
  <c r="V37" i="12"/>
  <c r="V38" i="12"/>
  <c r="V36" i="12"/>
  <c r="W33" i="12"/>
  <c r="W32" i="12"/>
  <c r="AV51" i="12"/>
  <c r="AV29" i="12"/>
  <c r="AV28" i="12"/>
  <c r="AW51" i="12"/>
  <c r="AW29" i="12"/>
  <c r="AW28" i="12"/>
  <c r="AW22" i="12"/>
  <c r="AJ45" i="12"/>
  <c r="AR58" i="12"/>
  <c r="AS59" i="12"/>
  <c r="AZ15" i="12"/>
  <c r="AY24" i="12"/>
  <c r="AY27" i="12" s="1"/>
  <c r="AY52" i="12" s="1"/>
  <c r="AY60" i="12" s="1"/>
  <c r="AX23" i="12"/>
  <c r="AX22" i="12" s="1"/>
  <c r="AY14" i="12"/>
  <c r="O50" i="12"/>
  <c r="W67" i="12"/>
  <c r="AR22" i="6"/>
  <c r="AT15" i="6"/>
  <c r="AS24" i="6"/>
  <c r="AT14" i="6"/>
  <c r="AS23" i="6"/>
  <c r="AR13" i="6"/>
  <c r="AR19" i="6" s="1"/>
  <c r="U63" i="12" l="1"/>
  <c r="AX19" i="12"/>
  <c r="V39" i="12"/>
  <c r="V40" i="12"/>
  <c r="AJ48" i="12"/>
  <c r="AJ68" i="12" s="1"/>
  <c r="BA15" i="12"/>
  <c r="AZ24" i="12"/>
  <c r="AZ27" i="12" s="1"/>
  <c r="AZ52" i="12" s="1"/>
  <c r="AZ60" i="12" s="1"/>
  <c r="AY13" i="12"/>
  <c r="AX26" i="12"/>
  <c r="AS58" i="12"/>
  <c r="AT59" i="12"/>
  <c r="AY23" i="12"/>
  <c r="AY22" i="12" s="1"/>
  <c r="AZ14" i="12"/>
  <c r="X44" i="12"/>
  <c r="X47" i="12" s="1"/>
  <c r="V25" i="12"/>
  <c r="W46" i="12"/>
  <c r="AS22" i="6"/>
  <c r="AU15" i="6"/>
  <c r="AT24" i="6"/>
  <c r="AU14" i="6"/>
  <c r="AT23" i="6"/>
  <c r="AS13" i="6"/>
  <c r="AS19" i="6" s="1"/>
  <c r="V53" i="12" l="1"/>
  <c r="U61" i="12"/>
  <c r="AY19" i="12"/>
  <c r="W35" i="12"/>
  <c r="AX51" i="12"/>
  <c r="AX29" i="12"/>
  <c r="AX28" i="12"/>
  <c r="AK45" i="12"/>
  <c r="AY26" i="12"/>
  <c r="AU59" i="12"/>
  <c r="AT58" i="12"/>
  <c r="BB15" i="12"/>
  <c r="BA24" i="12"/>
  <c r="BA27" i="12" s="1"/>
  <c r="BA52" i="12" s="1"/>
  <c r="BA60" i="12" s="1"/>
  <c r="AZ13" i="12"/>
  <c r="AZ23" i="12"/>
  <c r="AZ22" i="12" s="1"/>
  <c r="H16" i="13" s="1"/>
  <c r="BA14" i="12"/>
  <c r="W66" i="12"/>
  <c r="X43" i="12"/>
  <c r="X31" i="12" s="1"/>
  <c r="X34" i="12" s="1"/>
  <c r="AT22" i="6"/>
  <c r="AV15" i="6"/>
  <c r="AU24" i="6"/>
  <c r="AV14" i="6"/>
  <c r="AU23" i="6"/>
  <c r="AT13" i="6"/>
  <c r="AT19" i="6" s="1"/>
  <c r="V54" i="12" l="1"/>
  <c r="V62" i="12" s="1"/>
  <c r="V55" i="12"/>
  <c r="AZ19" i="12"/>
  <c r="W37" i="12"/>
  <c r="W38" i="12"/>
  <c r="W36" i="12"/>
  <c r="X33" i="12"/>
  <c r="X32" i="12"/>
  <c r="AY51" i="12"/>
  <c r="AY29" i="12"/>
  <c r="AY28" i="12"/>
  <c r="AK48" i="12"/>
  <c r="AK68" i="12" s="1"/>
  <c r="AZ26" i="12"/>
  <c r="BC15" i="12"/>
  <c r="BB24" i="12"/>
  <c r="BB27" i="12" s="1"/>
  <c r="BB52" i="12" s="1"/>
  <c r="BB60" i="12" s="1"/>
  <c r="H11" i="13"/>
  <c r="H13" i="13" s="1"/>
  <c r="BA13" i="12"/>
  <c r="AV59" i="12"/>
  <c r="AU58" i="12"/>
  <c r="BA23" i="12"/>
  <c r="BA22" i="12" s="1"/>
  <c r="BB14" i="12"/>
  <c r="X67" i="12"/>
  <c r="AU22" i="6"/>
  <c r="AW15" i="6"/>
  <c r="AV24" i="6"/>
  <c r="AW14" i="6"/>
  <c r="AV23" i="6"/>
  <c r="AU13" i="6"/>
  <c r="AU19" i="6" s="1"/>
  <c r="W39" i="12" l="1"/>
  <c r="V63" i="12"/>
  <c r="V61" i="12" s="1"/>
  <c r="BB13" i="12"/>
  <c r="BA19" i="12"/>
  <c r="W40" i="12"/>
  <c r="AZ51" i="12"/>
  <c r="AZ29" i="12"/>
  <c r="AZ28" i="12"/>
  <c r="AL45" i="12"/>
  <c r="AL48" i="12" s="1"/>
  <c r="AL68" i="12" s="1"/>
  <c r="BA26" i="12"/>
  <c r="BC24" i="12"/>
  <c r="BC27" i="12" s="1"/>
  <c r="BC52" i="12" s="1"/>
  <c r="BC60" i="12" s="1"/>
  <c r="BD15" i="12"/>
  <c r="AV58" i="12"/>
  <c r="AW59" i="12"/>
  <c r="BB23" i="12"/>
  <c r="BB22" i="12" s="1"/>
  <c r="BC14" i="12"/>
  <c r="Y44" i="12"/>
  <c r="Y47" i="12" s="1"/>
  <c r="X46" i="12"/>
  <c r="W25" i="12"/>
  <c r="P50" i="12"/>
  <c r="E21" i="13" s="1"/>
  <c r="E22" i="13"/>
  <c r="AV22" i="6"/>
  <c r="AX15" i="6"/>
  <c r="AW24" i="6"/>
  <c r="AX14" i="6"/>
  <c r="AW23" i="6"/>
  <c r="AV13" i="6"/>
  <c r="AV19" i="6" s="1"/>
  <c r="W53" i="12" l="1"/>
  <c r="W54" i="12" s="1"/>
  <c r="BB19" i="12"/>
  <c r="X35" i="12"/>
  <c r="BA51" i="12"/>
  <c r="BA29" i="12"/>
  <c r="BA28" i="12"/>
  <c r="AM45" i="12"/>
  <c r="BB26" i="12"/>
  <c r="BE15" i="12"/>
  <c r="BD24" i="12"/>
  <c r="BD27" i="12" s="1"/>
  <c r="BD52" i="12" s="1"/>
  <c r="BD60" i="12" s="1"/>
  <c r="BC13" i="12"/>
  <c r="AX59" i="12"/>
  <c r="AW58" i="12"/>
  <c r="BC23" i="12"/>
  <c r="BC26" i="12" s="1"/>
  <c r="BD14" i="12"/>
  <c r="X66" i="12"/>
  <c r="E40" i="13"/>
  <c r="E41" i="13" s="1"/>
  <c r="AW22" i="6"/>
  <c r="AY15" i="6"/>
  <c r="AX24" i="6"/>
  <c r="AY14" i="6"/>
  <c r="AX23" i="6"/>
  <c r="AW13" i="6"/>
  <c r="AW19" i="6" s="1"/>
  <c r="W55" i="12" l="1"/>
  <c r="E42" i="13"/>
  <c r="W62" i="12"/>
  <c r="BD13" i="12"/>
  <c r="BC19" i="12"/>
  <c r="X37" i="12"/>
  <c r="X38" i="12"/>
  <c r="X36" i="12"/>
  <c r="BB51" i="12"/>
  <c r="BB29" i="12"/>
  <c r="BB28" i="12"/>
  <c r="BC51" i="12"/>
  <c r="BC29" i="12"/>
  <c r="BC28" i="12"/>
  <c r="AM48" i="12"/>
  <c r="AM68" i="12" s="1"/>
  <c r="BC22" i="12"/>
  <c r="AX58" i="12"/>
  <c r="AY59" i="12"/>
  <c r="BF15" i="12"/>
  <c r="BE24" i="12"/>
  <c r="BE27" i="12" s="1"/>
  <c r="BE52" i="12" s="1"/>
  <c r="BE60" i="12" s="1"/>
  <c r="BE14" i="12"/>
  <c r="BD23" i="12"/>
  <c r="BD26" i="12" s="1"/>
  <c r="Y43" i="12"/>
  <c r="Y31" i="12" s="1"/>
  <c r="Y34" i="12" s="1"/>
  <c r="Y67" i="12"/>
  <c r="AX22" i="6"/>
  <c r="AZ15" i="6"/>
  <c r="AY24" i="6"/>
  <c r="AZ14" i="6"/>
  <c r="AY23" i="6"/>
  <c r="AX13" i="6"/>
  <c r="AX19" i="6" s="1"/>
  <c r="E59" i="13" l="1"/>
  <c r="X39" i="12"/>
  <c r="W63" i="12"/>
  <c r="BD19" i="12"/>
  <c r="X40" i="12"/>
  <c r="Y33" i="12"/>
  <c r="Y32" i="12"/>
  <c r="BD51" i="12"/>
  <c r="BD29" i="12"/>
  <c r="BD28" i="12"/>
  <c r="AN45" i="12"/>
  <c r="AN48" i="12" s="1"/>
  <c r="AN68" i="12" s="1"/>
  <c r="BD22" i="12"/>
  <c r="BG15" i="12"/>
  <c r="BF24" i="12"/>
  <c r="BF27" i="12" s="1"/>
  <c r="BF52" i="12" s="1"/>
  <c r="BF60" i="12" s="1"/>
  <c r="AZ59" i="12"/>
  <c r="AY58" i="12"/>
  <c r="BE13" i="12"/>
  <c r="BE23" i="12"/>
  <c r="BE22" i="12" s="1"/>
  <c r="BF14" i="12"/>
  <c r="Z44" i="12"/>
  <c r="Z47" i="12" s="1"/>
  <c r="X25" i="12"/>
  <c r="Y46" i="12"/>
  <c r="E27" i="13"/>
  <c r="E28" i="13"/>
  <c r="AY22" i="6"/>
  <c r="BA15" i="6"/>
  <c r="AZ24" i="6"/>
  <c r="BA14" i="6"/>
  <c r="AZ23" i="6"/>
  <c r="AY13" i="6"/>
  <c r="AY19" i="6" s="1"/>
  <c r="X53" i="12" l="1"/>
  <c r="W61" i="12"/>
  <c r="BE19" i="12"/>
  <c r="Y35" i="12"/>
  <c r="AO45" i="12"/>
  <c r="AO48" i="12" s="1"/>
  <c r="BH15" i="12"/>
  <c r="BG24" i="12"/>
  <c r="BG27" i="12" s="1"/>
  <c r="BG52" i="12" s="1"/>
  <c r="BG60" i="12" s="1"/>
  <c r="BF13" i="12"/>
  <c r="AZ58" i="12"/>
  <c r="BA59" i="12"/>
  <c r="BE26" i="12"/>
  <c r="BF23" i="12"/>
  <c r="BF26" i="12" s="1"/>
  <c r="BG14" i="12"/>
  <c r="Z43" i="12"/>
  <c r="Z31" i="12" s="1"/>
  <c r="Z34" i="12" s="1"/>
  <c r="Y66" i="12"/>
  <c r="Q50" i="12"/>
  <c r="AZ22" i="6"/>
  <c r="H16" i="7" s="1"/>
  <c r="BB15" i="6"/>
  <c r="BA24" i="6"/>
  <c r="BB14" i="6"/>
  <c r="BA23" i="6"/>
  <c r="AZ13" i="6"/>
  <c r="AZ19" i="6" s="1"/>
  <c r="X55" i="12" l="1"/>
  <c r="X63" i="12" s="1"/>
  <c r="X54" i="12"/>
  <c r="X62" i="12" s="1"/>
  <c r="BF19" i="12"/>
  <c r="Y37" i="12"/>
  <c r="Y38" i="12"/>
  <c r="Y36" i="12"/>
  <c r="Z33" i="12"/>
  <c r="Z32" i="12"/>
  <c r="BF51" i="12"/>
  <c r="BF29" i="12"/>
  <c r="BF28" i="12"/>
  <c r="BE51" i="12"/>
  <c r="BE29" i="12"/>
  <c r="BE28" i="12"/>
  <c r="AO68" i="12"/>
  <c r="BF22" i="12"/>
  <c r="BH24" i="12"/>
  <c r="BH27" i="12" s="1"/>
  <c r="BH52" i="12" s="1"/>
  <c r="BH60" i="12" s="1"/>
  <c r="BI15" i="12"/>
  <c r="BG13" i="12"/>
  <c r="BB59" i="12"/>
  <c r="BA58" i="12"/>
  <c r="BG23" i="12"/>
  <c r="BG22" i="12" s="1"/>
  <c r="BH14" i="12"/>
  <c r="Z46" i="12"/>
  <c r="Z67" i="12"/>
  <c r="BA22" i="6"/>
  <c r="BC15" i="6"/>
  <c r="BB24" i="6"/>
  <c r="BC14" i="6"/>
  <c r="BB23" i="6"/>
  <c r="BA13" i="6"/>
  <c r="BA19" i="6" s="1"/>
  <c r="Y39" i="12" l="1"/>
  <c r="X61" i="12"/>
  <c r="BG19" i="12"/>
  <c r="AP45" i="12"/>
  <c r="AP48" i="12" s="1"/>
  <c r="AP68" i="12" s="1"/>
  <c r="Y40" i="12"/>
  <c r="Z35" i="12"/>
  <c r="BG26" i="12"/>
  <c r="BH13" i="12"/>
  <c r="BB58" i="12"/>
  <c r="BC59" i="12"/>
  <c r="BJ15" i="12"/>
  <c r="BI24" i="12"/>
  <c r="BI27" i="12" s="1"/>
  <c r="BI52" i="12" s="1"/>
  <c r="BI60" i="12" s="1"/>
  <c r="BH23" i="12"/>
  <c r="BH22" i="12" s="1"/>
  <c r="BI14" i="12"/>
  <c r="AA44" i="12"/>
  <c r="AA47" i="12" s="1"/>
  <c r="Z66" i="12"/>
  <c r="Y25" i="12"/>
  <c r="BB22" i="6"/>
  <c r="BD15" i="6"/>
  <c r="BC24" i="6"/>
  <c r="BD14" i="6"/>
  <c r="BC23" i="6"/>
  <c r="BB13" i="6"/>
  <c r="BB19" i="6" s="1"/>
  <c r="H11" i="7"/>
  <c r="H13" i="7" s="1"/>
  <c r="Y53" i="12" l="1"/>
  <c r="BI13" i="12"/>
  <c r="BH19" i="12"/>
  <c r="AQ45" i="12"/>
  <c r="AQ48" i="12" s="1"/>
  <c r="AQ68" i="12" s="1"/>
  <c r="Z37" i="12"/>
  <c r="Z38" i="12"/>
  <c r="Z36" i="12"/>
  <c r="BG51" i="12"/>
  <c r="BG29" i="12"/>
  <c r="BG28" i="12"/>
  <c r="BK15" i="12"/>
  <c r="BJ24" i="12"/>
  <c r="BJ27" i="12" s="1"/>
  <c r="BJ52" i="12" s="1"/>
  <c r="BJ60" i="12" s="1"/>
  <c r="BH26" i="12"/>
  <c r="BC58" i="12"/>
  <c r="BD59" i="12"/>
  <c r="AA43" i="12"/>
  <c r="AA31" i="12" s="1"/>
  <c r="AA34" i="12" s="1"/>
  <c r="BI23" i="12"/>
  <c r="BI22" i="12" s="1"/>
  <c r="BJ14" i="12"/>
  <c r="BC22" i="6"/>
  <c r="BE15" i="6"/>
  <c r="BD24" i="6"/>
  <c r="BE14" i="6"/>
  <c r="BD23" i="6"/>
  <c r="Y54" i="12" l="1"/>
  <c r="Y62" i="12" s="1"/>
  <c r="Y55" i="12"/>
  <c r="Y63" i="12" s="1"/>
  <c r="BI19" i="12"/>
  <c r="Z40" i="12"/>
  <c r="AR45" i="12"/>
  <c r="AR48" i="12" s="1"/>
  <c r="AR68" i="12" s="1"/>
  <c r="AS45" i="12" s="1"/>
  <c r="AS48" i="12" s="1"/>
  <c r="AS68" i="12" s="1"/>
  <c r="Z39" i="12"/>
  <c r="AA33" i="12"/>
  <c r="AA32" i="12"/>
  <c r="BH51" i="12"/>
  <c r="BH29" i="12"/>
  <c r="BH28" i="12"/>
  <c r="AA67" i="12"/>
  <c r="BL15" i="12"/>
  <c r="BK24" i="12"/>
  <c r="BK27" i="12" s="1"/>
  <c r="BK52" i="12" s="1"/>
  <c r="BK60" i="12" s="1"/>
  <c r="BI26" i="12"/>
  <c r="BJ13" i="12"/>
  <c r="BE59" i="12"/>
  <c r="BD58" i="12"/>
  <c r="BJ23" i="12"/>
  <c r="BJ22" i="12" s="1"/>
  <c r="BK14" i="12"/>
  <c r="AA46" i="12"/>
  <c r="Z25" i="12"/>
  <c r="R50" i="12"/>
  <c r="BD22" i="6"/>
  <c r="BF15" i="6"/>
  <c r="BE24" i="6"/>
  <c r="BF14" i="6"/>
  <c r="BE23" i="6"/>
  <c r="BC13" i="6"/>
  <c r="BC19" i="6" s="1"/>
  <c r="Y61" i="12" l="1"/>
  <c r="Z53" i="12"/>
  <c r="BJ19" i="12"/>
  <c r="AA35" i="12"/>
  <c r="BI51" i="12"/>
  <c r="BI29" i="12"/>
  <c r="BI28" i="12"/>
  <c r="AB44" i="12"/>
  <c r="AB47" i="12" s="1"/>
  <c r="AT45" i="12"/>
  <c r="AT48" i="12" s="1"/>
  <c r="AT68" i="12" s="1"/>
  <c r="BK13" i="12"/>
  <c r="BE58" i="12"/>
  <c r="BF59" i="12"/>
  <c r="BM15" i="12"/>
  <c r="BL24" i="12"/>
  <c r="BL27" i="12" s="1"/>
  <c r="BL52" i="12" s="1"/>
  <c r="BL60" i="12" s="1"/>
  <c r="BJ26" i="12"/>
  <c r="BL14" i="12"/>
  <c r="BK23" i="12"/>
  <c r="BK22" i="12" s="1"/>
  <c r="AA66" i="12"/>
  <c r="BE22" i="6"/>
  <c r="BG15" i="6"/>
  <c r="BF24" i="6"/>
  <c r="BG14" i="6"/>
  <c r="BF23" i="6"/>
  <c r="BE13" i="6"/>
  <c r="BE19" i="6" s="1"/>
  <c r="BD13" i="6"/>
  <c r="BD19" i="6" s="1"/>
  <c r="Z54" i="12" l="1"/>
  <c r="Z62" i="12" s="1"/>
  <c r="Z55" i="12"/>
  <c r="BK19" i="12"/>
  <c r="AB43" i="12"/>
  <c r="F17" i="13" s="1"/>
  <c r="F38" i="13" s="1"/>
  <c r="AU45" i="12"/>
  <c r="AU48" i="12" s="1"/>
  <c r="AU68" i="12" s="1"/>
  <c r="AA37" i="12"/>
  <c r="AA38" i="12"/>
  <c r="AA36" i="12"/>
  <c r="BJ51" i="12"/>
  <c r="BJ29" i="12"/>
  <c r="BJ28" i="12"/>
  <c r="BK26" i="12"/>
  <c r="BN15" i="12"/>
  <c r="BM24" i="12"/>
  <c r="BM27" i="12" s="1"/>
  <c r="BM52" i="12" s="1"/>
  <c r="BM60" i="12" s="1"/>
  <c r="BF58" i="12"/>
  <c r="BG59" i="12"/>
  <c r="BL13" i="12"/>
  <c r="BM14" i="12"/>
  <c r="BL23" i="12"/>
  <c r="BL22" i="12" s="1"/>
  <c r="I16" i="13" s="1"/>
  <c r="AB46" i="12"/>
  <c r="AB67" i="12"/>
  <c r="BF22" i="6"/>
  <c r="BH15" i="6"/>
  <c r="BG24" i="6"/>
  <c r="BH14" i="6"/>
  <c r="BG23" i="6"/>
  <c r="AB31" i="12" l="1"/>
  <c r="AB34" i="12" s="1"/>
  <c r="AB35" i="12" s="1"/>
  <c r="AB37" i="12" s="1"/>
  <c r="Z63" i="12"/>
  <c r="Z61" i="12" s="1"/>
  <c r="BL19" i="12"/>
  <c r="AA40" i="12"/>
  <c r="AA39" i="12"/>
  <c r="I11" i="13"/>
  <c r="I13" i="13" s="1"/>
  <c r="F18" i="13"/>
  <c r="F39" i="13" s="1"/>
  <c r="BK51" i="12"/>
  <c r="BK29" i="12"/>
  <c r="BK28" i="12"/>
  <c r="AV45" i="12"/>
  <c r="AV48" i="12" s="1"/>
  <c r="AV68" i="12" s="1"/>
  <c r="BM13" i="12"/>
  <c r="BL26" i="12"/>
  <c r="BG58" i="12"/>
  <c r="BH59" i="12"/>
  <c r="BN24" i="12"/>
  <c r="BN27" i="12" s="1"/>
  <c r="BN52" i="12" s="1"/>
  <c r="BN60" i="12" s="1"/>
  <c r="BO15" i="12"/>
  <c r="AB66" i="12"/>
  <c r="BM23" i="12"/>
  <c r="BM22" i="12" s="1"/>
  <c r="BN14" i="12"/>
  <c r="AC44" i="12"/>
  <c r="AC47" i="12" s="1"/>
  <c r="AA25" i="12"/>
  <c r="BG22" i="6"/>
  <c r="BI15" i="6"/>
  <c r="BH24" i="6"/>
  <c r="BI14" i="6"/>
  <c r="BH23" i="6"/>
  <c r="BG13" i="6"/>
  <c r="BG19" i="6" s="1"/>
  <c r="BF13" i="6"/>
  <c r="BF19" i="6" s="1"/>
  <c r="AB33" i="12" l="1"/>
  <c r="AB32" i="12"/>
  <c r="AA53" i="12"/>
  <c r="BM19" i="12"/>
  <c r="BN13" i="12"/>
  <c r="AW45" i="12"/>
  <c r="AW48" i="12" s="1"/>
  <c r="AW68" i="12" s="1"/>
  <c r="AB38" i="12"/>
  <c r="AB36" i="12"/>
  <c r="BL51" i="12"/>
  <c r="BL29" i="12"/>
  <c r="BL28" i="12"/>
  <c r="BM26" i="12"/>
  <c r="BI59" i="12"/>
  <c r="BH58" i="12"/>
  <c r="BP15" i="12"/>
  <c r="BO24" i="12"/>
  <c r="BO27" i="12" s="1"/>
  <c r="BO52" i="12" s="1"/>
  <c r="BO60" i="12" s="1"/>
  <c r="F25" i="13"/>
  <c r="AC43" i="12"/>
  <c r="AC31" i="12" s="1"/>
  <c r="AC34" i="12" s="1"/>
  <c r="BO14" i="12"/>
  <c r="BN23" i="12"/>
  <c r="BN22" i="12" s="1"/>
  <c r="AB25" i="12"/>
  <c r="S50" i="12"/>
  <c r="BH22" i="6"/>
  <c r="BJ15" i="6"/>
  <c r="BI24" i="6"/>
  <c r="BJ14" i="6"/>
  <c r="BI23" i="6"/>
  <c r="BH13" i="6"/>
  <c r="BH19" i="6" s="1"/>
  <c r="AA55" i="12" l="1"/>
  <c r="AA54" i="12"/>
  <c r="AA62" i="12" s="1"/>
  <c r="BN19" i="12"/>
  <c r="AB40" i="12"/>
  <c r="AB39" i="12"/>
  <c r="AC33" i="12"/>
  <c r="AC32" i="12"/>
  <c r="BM51" i="12"/>
  <c r="BM29" i="12"/>
  <c r="BM28" i="12"/>
  <c r="AX45" i="12"/>
  <c r="AX48" i="12" s="1"/>
  <c r="AX68" i="12" s="1"/>
  <c r="AC67" i="12"/>
  <c r="BO13" i="12"/>
  <c r="BP24" i="12"/>
  <c r="BP27" i="12" s="1"/>
  <c r="BP52" i="12" s="1"/>
  <c r="BP60" i="12" s="1"/>
  <c r="BQ15" i="12"/>
  <c r="BJ59" i="12"/>
  <c r="BI58" i="12"/>
  <c r="BN26" i="12"/>
  <c r="AC46" i="12"/>
  <c r="BO23" i="12"/>
  <c r="BO22" i="12" s="1"/>
  <c r="BP14" i="12"/>
  <c r="BI22" i="6"/>
  <c r="BK15" i="6"/>
  <c r="BJ24" i="6"/>
  <c r="BK14" i="6"/>
  <c r="BJ23" i="6"/>
  <c r="BI13" i="6"/>
  <c r="BI19" i="6" s="1"/>
  <c r="AB53" i="12" l="1"/>
  <c r="AA63" i="12"/>
  <c r="BP13" i="12"/>
  <c r="BP19" i="12" s="1"/>
  <c r="BO19" i="12"/>
  <c r="AC35" i="12"/>
  <c r="BN51" i="12"/>
  <c r="BN29" i="12"/>
  <c r="BN28" i="12"/>
  <c r="AD44" i="12"/>
  <c r="AD47" i="12" s="1"/>
  <c r="AD67" i="12" s="1"/>
  <c r="AY45" i="12"/>
  <c r="AY48" i="12" s="1"/>
  <c r="AY68" i="12" s="1"/>
  <c r="AC66" i="12"/>
  <c r="BQ24" i="12"/>
  <c r="BQ27" i="12" s="1"/>
  <c r="BQ52" i="12" s="1"/>
  <c r="BQ60" i="12" s="1"/>
  <c r="BR15" i="12"/>
  <c r="BO26" i="12"/>
  <c r="BK59" i="12"/>
  <c r="BJ58" i="12"/>
  <c r="BQ14" i="12"/>
  <c r="BP23" i="12"/>
  <c r="BP22" i="12" s="1"/>
  <c r="BJ22" i="6"/>
  <c r="BL15" i="6"/>
  <c r="BK24" i="6"/>
  <c r="BL14" i="6"/>
  <c r="BK23" i="6"/>
  <c r="BJ13" i="6"/>
  <c r="BJ19" i="6" s="1"/>
  <c r="AB54" i="12" l="1"/>
  <c r="AB62" i="12" s="1"/>
  <c r="AB55" i="12"/>
  <c r="AB63" i="12" s="1"/>
  <c r="AA61" i="12"/>
  <c r="BQ13" i="12"/>
  <c r="AC37" i="12"/>
  <c r="AC38" i="12"/>
  <c r="AC36" i="12"/>
  <c r="BO51" i="12"/>
  <c r="BO29" i="12"/>
  <c r="BO28" i="12"/>
  <c r="AD43" i="12"/>
  <c r="AD31" i="12" s="1"/>
  <c r="AD34" i="12" s="1"/>
  <c r="AZ45" i="12"/>
  <c r="AD46" i="12"/>
  <c r="BP26" i="12"/>
  <c r="BL59" i="12"/>
  <c r="BK58" i="12"/>
  <c r="BR24" i="12"/>
  <c r="BR27" i="12" s="1"/>
  <c r="BR52" i="12" s="1"/>
  <c r="BR60" i="12" s="1"/>
  <c r="BS15" i="12"/>
  <c r="BQ23" i="12"/>
  <c r="BQ26" i="12" s="1"/>
  <c r="BR14" i="12"/>
  <c r="AC25" i="12"/>
  <c r="AE44" i="12"/>
  <c r="AE47" i="12" s="1"/>
  <c r="AD66" i="12"/>
  <c r="BK22" i="6"/>
  <c r="BM15" i="6"/>
  <c r="BL24" i="6"/>
  <c r="BM14" i="6"/>
  <c r="BL23" i="6"/>
  <c r="BK13" i="6"/>
  <c r="BK19" i="6" s="1"/>
  <c r="AB61" i="12" l="1"/>
  <c r="BQ19" i="12"/>
  <c r="AC40" i="12"/>
  <c r="AC39" i="12"/>
  <c r="AD35" i="12"/>
  <c r="AD37" i="12" s="1"/>
  <c r="AD32" i="12"/>
  <c r="AD33" i="12"/>
  <c r="BQ51" i="12"/>
  <c r="BQ29" i="12"/>
  <c r="BQ28" i="12"/>
  <c r="BP51" i="12"/>
  <c r="BP29" i="12"/>
  <c r="BP28" i="12"/>
  <c r="AZ48" i="12"/>
  <c r="AZ68" i="12" s="1"/>
  <c r="BQ22" i="12"/>
  <c r="BR13" i="12"/>
  <c r="BS24" i="12"/>
  <c r="BS27" i="12" s="1"/>
  <c r="BS52" i="12" s="1"/>
  <c r="BS60" i="12" s="1"/>
  <c r="BT15" i="12"/>
  <c r="BM59" i="12"/>
  <c r="BL58" i="12"/>
  <c r="BS14" i="12"/>
  <c r="BR23" i="12"/>
  <c r="BR22" i="12" s="1"/>
  <c r="AE43" i="12"/>
  <c r="AE31" i="12" s="1"/>
  <c r="AE34" i="12" s="1"/>
  <c r="T50" i="12"/>
  <c r="BL22" i="6"/>
  <c r="I16" i="7" s="1"/>
  <c r="BN15" i="6"/>
  <c r="BM24" i="6"/>
  <c r="BN14" i="6"/>
  <c r="BM23" i="6"/>
  <c r="BL13" i="6"/>
  <c r="BL19" i="6" s="1"/>
  <c r="AC53" i="12" l="1"/>
  <c r="AC55" i="12" s="1"/>
  <c r="BR19" i="12"/>
  <c r="AD38" i="12"/>
  <c r="AD36" i="12"/>
  <c r="AE33" i="12"/>
  <c r="AE32" i="12"/>
  <c r="BA45" i="12"/>
  <c r="BA48" i="12" s="1"/>
  <c r="BA68" i="12" s="1"/>
  <c r="BR26" i="12"/>
  <c r="BT24" i="12"/>
  <c r="BT27" i="12" s="1"/>
  <c r="BT52" i="12" s="1"/>
  <c r="BT60" i="12" s="1"/>
  <c r="BU15" i="12"/>
  <c r="BS13" i="12"/>
  <c r="AE46" i="12"/>
  <c r="BM58" i="12"/>
  <c r="BN59" i="12"/>
  <c r="AE67" i="12"/>
  <c r="AD25" i="12"/>
  <c r="BT14" i="12"/>
  <c r="BS23" i="12"/>
  <c r="BS22" i="12" s="1"/>
  <c r="BM22" i="6"/>
  <c r="BO15" i="6"/>
  <c r="BN24" i="6"/>
  <c r="BO14" i="6"/>
  <c r="BN23" i="6"/>
  <c r="BM13" i="6"/>
  <c r="BM19" i="6" s="1"/>
  <c r="AC54" i="12" l="1"/>
  <c r="AC62" i="12" s="1"/>
  <c r="AD39" i="12"/>
  <c r="BS19" i="12"/>
  <c r="AD40" i="12"/>
  <c r="AE35" i="12"/>
  <c r="AE36" i="12" s="1"/>
  <c r="BR51" i="12"/>
  <c r="BR29" i="12"/>
  <c r="BR28" i="12"/>
  <c r="AF44" i="12"/>
  <c r="AF43" i="12" s="1"/>
  <c r="AF31" i="12" s="1"/>
  <c r="AF34" i="12" s="1"/>
  <c r="BB45" i="12"/>
  <c r="BB48" i="12" s="1"/>
  <c r="BB68" i="12" s="1"/>
  <c r="AE66" i="12"/>
  <c r="BS26" i="12"/>
  <c r="BT13" i="12"/>
  <c r="BO59" i="12"/>
  <c r="BN58" i="12"/>
  <c r="BU24" i="12"/>
  <c r="BU27" i="12" s="1"/>
  <c r="BU52" i="12" s="1"/>
  <c r="BU60" i="12" s="1"/>
  <c r="BV15" i="12"/>
  <c r="BU14" i="12"/>
  <c r="BT23" i="12"/>
  <c r="BT22" i="12" s="1"/>
  <c r="AE25" i="12"/>
  <c r="BN22" i="6"/>
  <c r="BP15" i="6"/>
  <c r="BO24" i="6"/>
  <c r="BP14" i="6"/>
  <c r="BO23" i="6"/>
  <c r="BN13" i="6"/>
  <c r="BN19" i="6" s="1"/>
  <c r="I11" i="7"/>
  <c r="I13" i="7" s="1"/>
  <c r="AD53" i="12" l="1"/>
  <c r="AD55" i="12" s="1"/>
  <c r="AC63" i="12"/>
  <c r="AC61" i="12" s="1"/>
  <c r="BT19" i="12"/>
  <c r="AE37" i="12"/>
  <c r="AE38" i="12"/>
  <c r="AF33" i="12"/>
  <c r="AF32" i="12"/>
  <c r="BS51" i="12"/>
  <c r="BS28" i="12"/>
  <c r="BS29" i="12"/>
  <c r="AF47" i="12"/>
  <c r="BC45" i="12"/>
  <c r="BC48" i="12" s="1"/>
  <c r="BC68" i="12" s="1"/>
  <c r="BT26" i="12"/>
  <c r="BW15" i="12"/>
  <c r="BV24" i="12"/>
  <c r="BV27" i="12" s="1"/>
  <c r="BV52" i="12" s="1"/>
  <c r="BV60" i="12" s="1"/>
  <c r="BU13" i="12"/>
  <c r="BP59" i="12"/>
  <c r="BO58" i="12"/>
  <c r="BU23" i="12"/>
  <c r="BU22" i="12" s="1"/>
  <c r="BV14" i="12"/>
  <c r="BO22" i="6"/>
  <c r="BQ15" i="6"/>
  <c r="BP24" i="6"/>
  <c r="BQ14" i="6"/>
  <c r="BP23" i="6"/>
  <c r="AD54" i="12" l="1"/>
  <c r="AD62" i="12" s="1"/>
  <c r="BV13" i="12"/>
  <c r="BU19" i="12"/>
  <c r="AE40" i="12"/>
  <c r="AE39" i="12"/>
  <c r="BT51" i="12"/>
  <c r="BT29" i="12"/>
  <c r="BT28" i="12"/>
  <c r="AF46" i="12"/>
  <c r="AF67" i="12"/>
  <c r="BD45" i="12"/>
  <c r="BD48" i="12" s="1"/>
  <c r="BD68" i="12" s="1"/>
  <c r="BX15" i="12"/>
  <c r="BW24" i="12"/>
  <c r="BW27" i="12" s="1"/>
  <c r="BW52" i="12" s="1"/>
  <c r="BW60" i="12" s="1"/>
  <c r="BP58" i="12"/>
  <c r="BQ59" i="12"/>
  <c r="BU26" i="12"/>
  <c r="BV23" i="12"/>
  <c r="BV22" i="12" s="1"/>
  <c r="BW14" i="12"/>
  <c r="U50" i="12"/>
  <c r="BP22" i="6"/>
  <c r="BR15" i="6"/>
  <c r="BQ24" i="6"/>
  <c r="BR14" i="6"/>
  <c r="BQ23" i="6"/>
  <c r="BO13" i="6"/>
  <c r="BO19" i="6" s="1"/>
  <c r="AE53" i="12" l="1"/>
  <c r="AD63" i="12"/>
  <c r="AD61" i="12" s="1"/>
  <c r="BV19" i="12"/>
  <c r="AG44" i="12"/>
  <c r="AG47" i="12" s="1"/>
  <c r="AG46" i="12" s="1"/>
  <c r="AF35" i="12"/>
  <c r="BU51" i="12"/>
  <c r="BU29" i="12"/>
  <c r="BU28" i="12"/>
  <c r="AF66" i="12"/>
  <c r="BE45" i="12"/>
  <c r="BE48" i="12" s="1"/>
  <c r="BE68" i="12" s="1"/>
  <c r="BV26" i="12"/>
  <c r="BQ58" i="12"/>
  <c r="BR59" i="12"/>
  <c r="BW13" i="12"/>
  <c r="BX24" i="12"/>
  <c r="BX27" i="12" s="1"/>
  <c r="BX52" i="12" s="1"/>
  <c r="BX60" i="12" s="1"/>
  <c r="BY15" i="12"/>
  <c r="BW23" i="12"/>
  <c r="BW22" i="12" s="1"/>
  <c r="BX14" i="12"/>
  <c r="BQ22" i="6"/>
  <c r="BS15" i="6"/>
  <c r="BR24" i="6"/>
  <c r="BS14" i="6"/>
  <c r="BR23" i="6"/>
  <c r="BQ13" i="6"/>
  <c r="BQ19" i="6" s="1"/>
  <c r="BP13" i="6"/>
  <c r="BP19" i="6" s="1"/>
  <c r="AG43" i="12" l="1"/>
  <c r="AG31" i="12" s="1"/>
  <c r="AG34" i="12" s="1"/>
  <c r="AG35" i="12" s="1"/>
  <c r="AG37" i="12" s="1"/>
  <c r="AE55" i="12"/>
  <c r="AE54" i="12"/>
  <c r="AE62" i="12" s="1"/>
  <c r="BW19" i="12"/>
  <c r="BX13" i="12"/>
  <c r="BX19" i="12" s="1"/>
  <c r="AF37" i="12"/>
  <c r="AF38" i="12"/>
  <c r="AF36" i="12"/>
  <c r="BV51" i="12"/>
  <c r="BV29" i="12"/>
  <c r="BV28" i="12"/>
  <c r="BF45" i="12"/>
  <c r="BF48" i="12" s="1"/>
  <c r="BF68" i="12" s="1"/>
  <c r="BW26" i="12"/>
  <c r="BY24" i="12"/>
  <c r="BY27" i="12" s="1"/>
  <c r="BY52" i="12" s="1"/>
  <c r="BY60" i="12" s="1"/>
  <c r="BZ15" i="12"/>
  <c r="BR58" i="12"/>
  <c r="BS59" i="12"/>
  <c r="AG67" i="12"/>
  <c r="BY14" i="12"/>
  <c r="BX23" i="12"/>
  <c r="BX22" i="12" s="1"/>
  <c r="J16" i="13" s="1"/>
  <c r="AF25" i="12"/>
  <c r="BR22" i="6"/>
  <c r="BT15" i="6"/>
  <c r="BS24" i="6"/>
  <c r="BT14" i="6"/>
  <c r="BS23" i="6"/>
  <c r="BR13" i="6"/>
  <c r="BR19" i="6" s="1"/>
  <c r="AG32" i="12" l="1"/>
  <c r="AG33" i="12"/>
  <c r="J11" i="13"/>
  <c r="J13" i="13" s="1"/>
  <c r="AE63" i="12"/>
  <c r="AE61" i="12" s="1"/>
  <c r="AF40" i="12"/>
  <c r="AF39" i="12"/>
  <c r="AG38" i="12"/>
  <c r="AG36" i="12"/>
  <c r="BW51" i="12"/>
  <c r="BW29" i="12"/>
  <c r="BW28" i="12"/>
  <c r="BG45" i="12"/>
  <c r="BG48" i="12" s="1"/>
  <c r="BG68" i="12" s="1"/>
  <c r="AH44" i="12"/>
  <c r="AH43" i="12" s="1"/>
  <c r="AH31" i="12" s="1"/>
  <c r="AH34" i="12" s="1"/>
  <c r="BT59" i="12"/>
  <c r="BS58" i="12"/>
  <c r="BX26" i="12"/>
  <c r="CA15" i="12"/>
  <c r="BZ24" i="12"/>
  <c r="BZ27" i="12" s="1"/>
  <c r="BZ52" i="12" s="1"/>
  <c r="BZ60" i="12" s="1"/>
  <c r="BY13" i="12"/>
  <c r="AG66" i="12"/>
  <c r="BZ14" i="12"/>
  <c r="BY23" i="12"/>
  <c r="BY22" i="12" s="1"/>
  <c r="BS22" i="6"/>
  <c r="BU15" i="6"/>
  <c r="BT24" i="6"/>
  <c r="BU14" i="6"/>
  <c r="BT23" i="6"/>
  <c r="BS13" i="6"/>
  <c r="BS19" i="6" s="1"/>
  <c r="AF53" i="12" l="1"/>
  <c r="AF54" i="12" s="1"/>
  <c r="BZ13" i="12"/>
  <c r="BY19" i="12"/>
  <c r="AG39" i="12"/>
  <c r="AG40" i="12"/>
  <c r="AH32" i="12"/>
  <c r="AH33" i="12"/>
  <c r="BX51" i="12"/>
  <c r="BX29" i="12"/>
  <c r="BX28" i="12"/>
  <c r="AH47" i="12"/>
  <c r="BH45" i="12"/>
  <c r="CB15" i="12"/>
  <c r="CA24" i="12"/>
  <c r="CA27" i="12" s="1"/>
  <c r="CA52" i="12" s="1"/>
  <c r="CA60" i="12" s="1"/>
  <c r="BU59" i="12"/>
  <c r="BT58" i="12"/>
  <c r="BY26" i="12"/>
  <c r="CA14" i="12"/>
  <c r="BZ23" i="12"/>
  <c r="BZ22" i="12" s="1"/>
  <c r="AG25" i="12"/>
  <c r="V50" i="12"/>
  <c r="BT22" i="6"/>
  <c r="BV15" i="6"/>
  <c r="BU24" i="6"/>
  <c r="BV14" i="6"/>
  <c r="BU23" i="6"/>
  <c r="BT13" i="6"/>
  <c r="BT19" i="6" s="1"/>
  <c r="AF55" i="12" l="1"/>
  <c r="AF62" i="12"/>
  <c r="AG53" i="12"/>
  <c r="CA13" i="12"/>
  <c r="BZ19" i="12"/>
  <c r="BY51" i="12"/>
  <c r="BY29" i="12"/>
  <c r="BY28" i="12"/>
  <c r="AH67" i="12"/>
  <c r="AH46" i="12"/>
  <c r="BH48" i="12"/>
  <c r="BH68" i="12" s="1"/>
  <c r="BZ26" i="12"/>
  <c r="BU58" i="12"/>
  <c r="BV59" i="12"/>
  <c r="CC15" i="12"/>
  <c r="CB24" i="12"/>
  <c r="CB27" i="12" s="1"/>
  <c r="CB52" i="12" s="1"/>
  <c r="CB60" i="12" s="1"/>
  <c r="CB14" i="12"/>
  <c r="CA23" i="12"/>
  <c r="CA22" i="12" s="1"/>
  <c r="BU22" i="6"/>
  <c r="BW15" i="6"/>
  <c r="BV24" i="6"/>
  <c r="BW14" i="6"/>
  <c r="BV23" i="6"/>
  <c r="BU13" i="6"/>
  <c r="BU19" i="6" s="1"/>
  <c r="AG54" i="12" l="1"/>
  <c r="AG62" i="12" s="1"/>
  <c r="AG55" i="12"/>
  <c r="AF63" i="12"/>
  <c r="AF61" i="12" s="1"/>
  <c r="CA19" i="12"/>
  <c r="AI44" i="12"/>
  <c r="AI47" i="12" s="1"/>
  <c r="AH35" i="12"/>
  <c r="AH36" i="12" s="1"/>
  <c r="BZ51" i="12"/>
  <c r="BZ29" i="12"/>
  <c r="BZ28" i="12"/>
  <c r="AH66" i="12"/>
  <c r="BI45" i="12"/>
  <c r="BI48" i="12" s="1"/>
  <c r="BI68" i="12" s="1"/>
  <c r="CA26" i="12"/>
  <c r="CB13" i="12"/>
  <c r="BV58" i="12"/>
  <c r="BW59" i="12"/>
  <c r="CD15" i="12"/>
  <c r="CC24" i="12"/>
  <c r="CC27" i="12" s="1"/>
  <c r="CB23" i="12"/>
  <c r="CB22" i="12" s="1"/>
  <c r="CC14" i="12"/>
  <c r="BV22" i="6"/>
  <c r="BX15" i="6"/>
  <c r="BW24" i="6"/>
  <c r="BX14" i="6"/>
  <c r="BW23" i="6"/>
  <c r="BV13" i="6"/>
  <c r="BV19" i="6" s="1"/>
  <c r="AI43" i="12" l="1"/>
  <c r="AI31" i="12" s="1"/>
  <c r="AI34" i="12" s="1"/>
  <c r="AG63" i="12"/>
  <c r="CB19" i="12"/>
  <c r="AH37" i="12"/>
  <c r="AH38" i="12"/>
  <c r="CA51" i="12"/>
  <c r="CA29" i="12"/>
  <c r="CA28" i="12"/>
  <c r="CC52" i="12"/>
  <c r="CC60" i="12" s="1"/>
  <c r="BJ45" i="12"/>
  <c r="BJ48" i="12" s="1"/>
  <c r="BJ68" i="12" s="1"/>
  <c r="AI46" i="12"/>
  <c r="CE15" i="12"/>
  <c r="CD24" i="12"/>
  <c r="CD27" i="12" s="1"/>
  <c r="CD52" i="12" s="1"/>
  <c r="CB26" i="12"/>
  <c r="CC13" i="12"/>
  <c r="BX59" i="12"/>
  <c r="BW58" i="12"/>
  <c r="AI67" i="12"/>
  <c r="CC23" i="12"/>
  <c r="CC22" i="12" s="1"/>
  <c r="CD14" i="12"/>
  <c r="AH25" i="12"/>
  <c r="BW22" i="6"/>
  <c r="BY15" i="6"/>
  <c r="BX24" i="6"/>
  <c r="BY14" i="6"/>
  <c r="BX23" i="6"/>
  <c r="BW13" i="6"/>
  <c r="BW19" i="6" s="1"/>
  <c r="AI32" i="12" l="1"/>
  <c r="AI33" i="12"/>
  <c r="AG61" i="12"/>
  <c r="CC19" i="12"/>
  <c r="AH40" i="12"/>
  <c r="AH39" i="12"/>
  <c r="AI35" i="12"/>
  <c r="CB51" i="12"/>
  <c r="CB29" i="12"/>
  <c r="CB28" i="12"/>
  <c r="CD60" i="12"/>
  <c r="BK45" i="12"/>
  <c r="BK48" i="12" s="1"/>
  <c r="BK68" i="12" s="1"/>
  <c r="CF15" i="12"/>
  <c r="CE24" i="12"/>
  <c r="CE27" i="12" s="1"/>
  <c r="CE52" i="12" s="1"/>
  <c r="BY59" i="12"/>
  <c r="BX58" i="12"/>
  <c r="CD13" i="12"/>
  <c r="CC26" i="12"/>
  <c r="AJ44" i="12"/>
  <c r="AJ47" i="12" s="1"/>
  <c r="AI66" i="12"/>
  <c r="CE14" i="12"/>
  <c r="CD23" i="12"/>
  <c r="CD22" i="12" s="1"/>
  <c r="BX22" i="6"/>
  <c r="J16" i="7" s="1"/>
  <c r="BZ15" i="6"/>
  <c r="BY24" i="6"/>
  <c r="BZ14" i="6"/>
  <c r="BY23" i="6"/>
  <c r="BX13" i="6"/>
  <c r="BX19" i="6" s="1"/>
  <c r="AH53" i="12" l="1"/>
  <c r="AH54" i="12" s="1"/>
  <c r="CD19" i="12"/>
  <c r="CE13" i="12"/>
  <c r="AI37" i="12"/>
  <c r="AI38" i="12"/>
  <c r="AI36" i="12"/>
  <c r="CC51" i="12"/>
  <c r="CC29" i="12"/>
  <c r="CC28" i="12"/>
  <c r="CE60" i="12"/>
  <c r="BL45" i="12"/>
  <c r="BL48" i="12" s="1"/>
  <c r="BL68" i="12" s="1"/>
  <c r="BY58" i="12"/>
  <c r="BZ59" i="12"/>
  <c r="CG15" i="12"/>
  <c r="CF24" i="12"/>
  <c r="CF27" i="12" s="1"/>
  <c r="CF52" i="12" s="1"/>
  <c r="CD26" i="12"/>
  <c r="AJ46" i="12"/>
  <c r="AJ43" i="12"/>
  <c r="AJ31" i="12" s="1"/>
  <c r="AJ34" i="12" s="1"/>
  <c r="CE23" i="12"/>
  <c r="CE22" i="12" s="1"/>
  <c r="CF14" i="12"/>
  <c r="AI25" i="12"/>
  <c r="BY22" i="6"/>
  <c r="CA15" i="6"/>
  <c r="BZ24" i="6"/>
  <c r="CA14" i="6"/>
  <c r="BZ23" i="6"/>
  <c r="BY13" i="6"/>
  <c r="BY19" i="6" s="1"/>
  <c r="AH55" i="12" l="1"/>
  <c r="AH62" i="12"/>
  <c r="CE19" i="12"/>
  <c r="AI39" i="12"/>
  <c r="AI40" i="12"/>
  <c r="AJ35" i="12"/>
  <c r="AJ37" i="12" s="1"/>
  <c r="AJ33" i="12"/>
  <c r="AJ32" i="12"/>
  <c r="CD51" i="12"/>
  <c r="CD29" i="12"/>
  <c r="CD28" i="12"/>
  <c r="CF60" i="12"/>
  <c r="BM45" i="12"/>
  <c r="BM48" i="12" s="1"/>
  <c r="BM68" i="12" s="1"/>
  <c r="CE26" i="12"/>
  <c r="CF13" i="12"/>
  <c r="AJ67" i="12"/>
  <c r="CH15" i="12"/>
  <c r="CG24" i="12"/>
  <c r="CG27" i="12" s="1"/>
  <c r="CG52" i="12" s="1"/>
  <c r="BZ58" i="12"/>
  <c r="CA59" i="12"/>
  <c r="CG14" i="12"/>
  <c r="CF23" i="12"/>
  <c r="CF22" i="12" s="1"/>
  <c r="W50" i="12"/>
  <c r="BZ22" i="6"/>
  <c r="CB15" i="6"/>
  <c r="CA24" i="6"/>
  <c r="CB14" i="6"/>
  <c r="CA23" i="6"/>
  <c r="BZ13" i="6"/>
  <c r="BZ19" i="6" s="1"/>
  <c r="J11" i="7"/>
  <c r="J13" i="7" s="1"/>
  <c r="AI53" i="12" l="1"/>
  <c r="AH63" i="12"/>
  <c r="CF19" i="12"/>
  <c r="AJ38" i="12"/>
  <c r="AJ36" i="12"/>
  <c r="CG60" i="12"/>
  <c r="CE51" i="12"/>
  <c r="CE29" i="12"/>
  <c r="CE28" i="12"/>
  <c r="BN45" i="12"/>
  <c r="AK44" i="12"/>
  <c r="AK43" i="12" s="1"/>
  <c r="AK31" i="12" s="1"/>
  <c r="AK34" i="12" s="1"/>
  <c r="AJ66" i="12"/>
  <c r="CB59" i="12"/>
  <c r="CA58" i="12"/>
  <c r="CF26" i="12"/>
  <c r="CH24" i="12"/>
  <c r="CH27" i="12" s="1"/>
  <c r="CH52" i="12" s="1"/>
  <c r="CI15" i="12"/>
  <c r="CG13" i="12"/>
  <c r="CG23" i="12"/>
  <c r="CG22" i="12" s="1"/>
  <c r="CH14" i="12"/>
  <c r="AJ25" i="12"/>
  <c r="CA22" i="6"/>
  <c r="CC15" i="6"/>
  <c r="CB24" i="6"/>
  <c r="CC14" i="6"/>
  <c r="CB23" i="6"/>
  <c r="CA13" i="6"/>
  <c r="CA19" i="6" s="1"/>
  <c r="CH60" i="12" l="1"/>
  <c r="AJ40" i="12"/>
  <c r="AI55" i="12"/>
  <c r="AI54" i="12"/>
  <c r="AI62" i="12" s="1"/>
  <c r="AH61" i="12"/>
  <c r="CG19" i="12"/>
  <c r="AJ39" i="12"/>
  <c r="AK33" i="12"/>
  <c r="AK32" i="12"/>
  <c r="CF51" i="12"/>
  <c r="CF29" i="12"/>
  <c r="CF28" i="12"/>
  <c r="AK47" i="12"/>
  <c r="AK46" i="12" s="1"/>
  <c r="BN48" i="12"/>
  <c r="BN68" i="12" s="1"/>
  <c r="CH13" i="12"/>
  <c r="CB58" i="12"/>
  <c r="CC59" i="12"/>
  <c r="CG26" i="12"/>
  <c r="CJ15" i="12"/>
  <c r="CI24" i="12"/>
  <c r="CI27" i="12" s="1"/>
  <c r="CI52" i="12" s="1"/>
  <c r="CH23" i="12"/>
  <c r="CH22" i="12" s="1"/>
  <c r="CI14" i="12"/>
  <c r="CB22" i="6"/>
  <c r="CD15" i="6"/>
  <c r="CC24" i="6"/>
  <c r="CD14" i="6"/>
  <c r="CC23" i="6"/>
  <c r="CB13" i="6"/>
  <c r="CB19" i="6" s="1"/>
  <c r="AJ53" i="12" l="1"/>
  <c r="AJ55" i="12" s="1"/>
  <c r="CI60" i="12"/>
  <c r="AI63" i="12"/>
  <c r="CH19" i="12"/>
  <c r="AK35" i="12"/>
  <c r="CG51" i="12"/>
  <c r="CG29" i="12"/>
  <c r="CG28" i="12"/>
  <c r="AK67" i="12"/>
  <c r="BO45" i="12"/>
  <c r="BO48" i="12" s="1"/>
  <c r="BO68" i="12" s="1"/>
  <c r="CJ24" i="12"/>
  <c r="CJ27" i="12" s="1"/>
  <c r="CJ52" i="12" s="1"/>
  <c r="CK15" i="12"/>
  <c r="CD59" i="12"/>
  <c r="CC58" i="12"/>
  <c r="CH26" i="12"/>
  <c r="CJ14" i="12"/>
  <c r="CI23" i="12"/>
  <c r="CI26" i="12" s="1"/>
  <c r="CI13" i="12"/>
  <c r="AK25" i="12"/>
  <c r="CC22" i="6"/>
  <c r="CE15" i="6"/>
  <c r="CD24" i="6"/>
  <c r="CE14" i="6"/>
  <c r="CD23" i="6"/>
  <c r="CC13" i="6"/>
  <c r="CC19" i="6" s="1"/>
  <c r="AJ54" i="12" l="1"/>
  <c r="AJ62" i="12" s="1"/>
  <c r="CJ60" i="12"/>
  <c r="AI61" i="12"/>
  <c r="CI19" i="12"/>
  <c r="AL44" i="12"/>
  <c r="AL47" i="12" s="1"/>
  <c r="AL46" i="12" s="1"/>
  <c r="AK37" i="12"/>
  <c r="AK38" i="12"/>
  <c r="AK36" i="12"/>
  <c r="CI51" i="12"/>
  <c r="CI29" i="12"/>
  <c r="CI28" i="12"/>
  <c r="CH51" i="12"/>
  <c r="CH29" i="12"/>
  <c r="CH28" i="12"/>
  <c r="AK66" i="12"/>
  <c r="BP45" i="12"/>
  <c r="BP48" i="12" s="1"/>
  <c r="BP68" i="12" s="1"/>
  <c r="CI22" i="12"/>
  <c r="CJ13" i="12"/>
  <c r="CE59" i="12"/>
  <c r="CD58" i="12"/>
  <c r="CL15" i="12"/>
  <c r="CK24" i="12"/>
  <c r="CK27" i="12" s="1"/>
  <c r="CK52" i="12" s="1"/>
  <c r="CJ23" i="12"/>
  <c r="CJ26" i="12" s="1"/>
  <c r="CK14" i="12"/>
  <c r="CD22" i="6"/>
  <c r="CF15" i="6"/>
  <c r="CE24" i="6"/>
  <c r="CF14" i="6"/>
  <c r="CE23" i="6"/>
  <c r="CK60" i="12" l="1"/>
  <c r="AK39" i="12"/>
  <c r="AL43" i="12"/>
  <c r="AL31" i="12" s="1"/>
  <c r="AL34" i="12" s="1"/>
  <c r="AL35" i="12" s="1"/>
  <c r="AL38" i="12" s="1"/>
  <c r="AL67" i="12"/>
  <c r="AL66" i="12" s="1"/>
  <c r="AJ63" i="12"/>
  <c r="CJ19" i="12"/>
  <c r="CK13" i="12"/>
  <c r="AK40" i="12"/>
  <c r="CJ51" i="12"/>
  <c r="CJ29" i="12"/>
  <c r="CJ28" i="12"/>
  <c r="BQ45" i="12"/>
  <c r="BQ48" i="12" s="1"/>
  <c r="BQ68" i="12" s="1"/>
  <c r="CL24" i="12"/>
  <c r="CL27" i="12" s="1"/>
  <c r="CL52" i="12" s="1"/>
  <c r="CM15" i="12"/>
  <c r="CJ22" i="12"/>
  <c r="K16" i="13" s="1"/>
  <c r="K11" i="13"/>
  <c r="K13" i="13" s="1"/>
  <c r="CE58" i="12"/>
  <c r="CF59" i="12"/>
  <c r="CK23" i="12"/>
  <c r="CK26" i="12" s="1"/>
  <c r="CL14" i="12"/>
  <c r="AL25" i="12"/>
  <c r="CE22" i="6"/>
  <c r="CG15" i="6"/>
  <c r="CF24" i="6"/>
  <c r="CG14" i="6"/>
  <c r="CF23" i="6"/>
  <c r="CE13" i="6"/>
  <c r="CE19" i="6" s="1"/>
  <c r="CD13" i="6"/>
  <c r="CD19" i="6" s="1"/>
  <c r="CL60" i="12" l="1"/>
  <c r="AL32" i="12"/>
  <c r="AK53" i="12"/>
  <c r="AK54" i="12" s="1"/>
  <c r="AM44" i="12"/>
  <c r="AM47" i="12" s="1"/>
  <c r="AM46" i="12" s="1"/>
  <c r="AL33" i="12"/>
  <c r="AJ61" i="12"/>
  <c r="CK19" i="12"/>
  <c r="AL36" i="12"/>
  <c r="AL37" i="12"/>
  <c r="CK51" i="12"/>
  <c r="CK29" i="12"/>
  <c r="CK28" i="12"/>
  <c r="BR45" i="12"/>
  <c r="BR48" i="12" s="1"/>
  <c r="BR68" i="12" s="1"/>
  <c r="CK22" i="12"/>
  <c r="CL13" i="12"/>
  <c r="CF58" i="12"/>
  <c r="CG59" i="12"/>
  <c r="CM24" i="12"/>
  <c r="CM27" i="12" s="1"/>
  <c r="CM52" i="12" s="1"/>
  <c r="CN15" i="12"/>
  <c r="CL23" i="12"/>
  <c r="CL26" i="12" s="1"/>
  <c r="CM14" i="12"/>
  <c r="X50" i="12"/>
  <c r="CF22" i="6"/>
  <c r="CH15" i="6"/>
  <c r="CG24" i="6"/>
  <c r="CH14" i="6"/>
  <c r="CG23" i="6"/>
  <c r="CF13" i="6"/>
  <c r="CF19" i="6" s="1"/>
  <c r="CM60" i="12" l="1"/>
  <c r="AK55" i="12"/>
  <c r="AM43" i="12"/>
  <c r="AM31" i="12" s="1"/>
  <c r="AM34" i="12" s="1"/>
  <c r="AM35" i="12" s="1"/>
  <c r="AM37" i="12" s="1"/>
  <c r="AK62" i="12"/>
  <c r="CL19" i="12"/>
  <c r="AL39" i="12"/>
  <c r="AL40" i="12"/>
  <c r="CL51" i="12"/>
  <c r="CL29" i="12"/>
  <c r="CL28" i="12"/>
  <c r="BS45" i="12"/>
  <c r="CL22" i="12"/>
  <c r="CG58" i="12"/>
  <c r="CH59" i="12"/>
  <c r="CO15" i="12"/>
  <c r="CN24" i="12"/>
  <c r="CN27" i="12" s="1"/>
  <c r="CN52" i="12" s="1"/>
  <c r="CM13" i="12"/>
  <c r="AM67" i="12"/>
  <c r="CN14" i="12"/>
  <c r="CM23" i="12"/>
  <c r="CM22" i="12" s="1"/>
  <c r="CG22" i="6"/>
  <c r="CI15" i="6"/>
  <c r="CH24" i="6"/>
  <c r="CI14" i="6"/>
  <c r="CH23" i="6"/>
  <c r="CG13" i="6"/>
  <c r="CG19" i="6" s="1"/>
  <c r="CN60" i="12" l="1"/>
  <c r="AM32" i="12"/>
  <c r="AM33" i="12"/>
  <c r="AK63" i="12"/>
  <c r="AK61" i="12" s="1"/>
  <c r="AL53" i="12"/>
  <c r="CM19" i="12"/>
  <c r="AM38" i="12"/>
  <c r="AM36" i="12"/>
  <c r="BS48" i="12"/>
  <c r="BS68" i="12" s="1"/>
  <c r="CO24" i="12"/>
  <c r="CO27" i="12" s="1"/>
  <c r="CO52" i="12" s="1"/>
  <c r="CP15" i="12"/>
  <c r="CM26" i="12"/>
  <c r="CI59" i="12"/>
  <c r="CH58" i="12"/>
  <c r="AN44" i="12"/>
  <c r="AN47" i="12" s="1"/>
  <c r="AM66" i="12"/>
  <c r="CO14" i="12"/>
  <c r="CN23" i="12"/>
  <c r="CN22" i="12" s="1"/>
  <c r="CN13" i="12"/>
  <c r="CH22" i="6"/>
  <c r="CJ15" i="6"/>
  <c r="CI24" i="6"/>
  <c r="CJ14" i="6"/>
  <c r="CI23" i="6"/>
  <c r="CH13" i="6"/>
  <c r="CH19" i="6" s="1"/>
  <c r="CO60" i="12" l="1"/>
  <c r="AM40" i="12"/>
  <c r="AL54" i="12"/>
  <c r="AL62" i="12" s="1"/>
  <c r="AL55" i="12"/>
  <c r="AL63" i="12" s="1"/>
  <c r="CN19" i="12"/>
  <c r="AM39" i="12"/>
  <c r="CM51" i="12"/>
  <c r="CM28" i="12"/>
  <c r="CM29" i="12"/>
  <c r="BT45" i="12"/>
  <c r="CJ59" i="12"/>
  <c r="CI58" i="12"/>
  <c r="CP24" i="12"/>
  <c r="CP27" i="12" s="1"/>
  <c r="CP52" i="12" s="1"/>
  <c r="CP60" i="12" s="1"/>
  <c r="CQ15" i="12"/>
  <c r="CO13" i="12"/>
  <c r="CN26" i="12"/>
  <c r="AN43" i="12"/>
  <c r="CP14" i="12"/>
  <c r="CO23" i="12"/>
  <c r="CO22" i="12" s="1"/>
  <c r="AM25" i="12"/>
  <c r="AN46" i="12"/>
  <c r="AN67" i="12"/>
  <c r="CI22" i="6"/>
  <c r="CK15" i="6"/>
  <c r="CJ24" i="6"/>
  <c r="CK14" i="6"/>
  <c r="CJ23" i="6"/>
  <c r="CI13" i="6"/>
  <c r="CI19" i="6" s="1"/>
  <c r="AM53" i="12" l="1"/>
  <c r="AM55" i="12" s="1"/>
  <c r="AL61" i="12"/>
  <c r="CO19" i="12"/>
  <c r="G18" i="13"/>
  <c r="G39" i="13" s="1"/>
  <c r="G17" i="13"/>
  <c r="G38" i="13" s="1"/>
  <c r="AN31" i="12"/>
  <c r="AN34" i="12" s="1"/>
  <c r="CN51" i="12"/>
  <c r="CN29" i="12"/>
  <c r="CN28" i="12"/>
  <c r="BT48" i="12"/>
  <c r="BT68" i="12" s="1"/>
  <c r="CP13" i="12"/>
  <c r="CR15" i="12"/>
  <c r="CQ24" i="12"/>
  <c r="CQ27" i="12" s="1"/>
  <c r="CQ52" i="12" s="1"/>
  <c r="CQ60" i="12" s="1"/>
  <c r="CJ58" i="12"/>
  <c r="CK59" i="12"/>
  <c r="CO26" i="12"/>
  <c r="CQ14" i="12"/>
  <c r="CP23" i="12"/>
  <c r="CP26" i="12" s="1"/>
  <c r="AO44" i="12"/>
  <c r="AO47" i="12" s="1"/>
  <c r="AN66" i="12"/>
  <c r="CJ22" i="6"/>
  <c r="K16" i="7" s="1"/>
  <c r="CL15" i="6"/>
  <c r="CK24" i="6"/>
  <c r="CL14" i="6"/>
  <c r="CK23" i="6"/>
  <c r="CJ13" i="6"/>
  <c r="CJ19" i="6" s="1"/>
  <c r="AM54" i="12" l="1"/>
  <c r="AM62" i="12" s="1"/>
  <c r="CP19" i="12"/>
  <c r="AN35" i="12"/>
  <c r="AN38" i="12" s="1"/>
  <c r="AN33" i="12"/>
  <c r="AN32" i="12"/>
  <c r="CO51" i="12"/>
  <c r="CO29" i="12"/>
  <c r="CO28" i="12"/>
  <c r="CP51" i="12"/>
  <c r="CP29" i="12"/>
  <c r="CP28" i="12"/>
  <c r="BU45" i="12"/>
  <c r="BU48" i="12" s="1"/>
  <c r="BU68" i="12" s="1"/>
  <c r="CP22" i="12"/>
  <c r="CK58" i="12"/>
  <c r="CL59" i="12"/>
  <c r="CQ13" i="12"/>
  <c r="CR24" i="12"/>
  <c r="CR27" i="12" s="1"/>
  <c r="CR52" i="12" s="1"/>
  <c r="CR60" i="12" s="1"/>
  <c r="CS15" i="12"/>
  <c r="AO43" i="12"/>
  <c r="AO31" i="12" s="1"/>
  <c r="AO34" i="12" s="1"/>
  <c r="CR14" i="12"/>
  <c r="CQ23" i="12"/>
  <c r="CQ22" i="12" s="1"/>
  <c r="G25" i="13"/>
  <c r="CK22" i="6"/>
  <c r="CM15" i="6"/>
  <c r="CL24" i="6"/>
  <c r="CM14" i="6"/>
  <c r="CL23" i="6"/>
  <c r="CK13" i="6"/>
  <c r="CK19" i="6" s="1"/>
  <c r="AM63" i="12" l="1"/>
  <c r="CQ19" i="12"/>
  <c r="AN36" i="12"/>
  <c r="AN37" i="12"/>
  <c r="AO33" i="12"/>
  <c r="AO32" i="12"/>
  <c r="BV45" i="12"/>
  <c r="BV48" i="12" s="1"/>
  <c r="CM59" i="12"/>
  <c r="CL58" i="12"/>
  <c r="CQ26" i="12"/>
  <c r="CS24" i="12"/>
  <c r="CS27" i="12" s="1"/>
  <c r="CS52" i="12" s="1"/>
  <c r="CS60" i="12" s="1"/>
  <c r="CT15" i="12"/>
  <c r="CS14" i="12"/>
  <c r="CR23" i="12"/>
  <c r="CR22" i="12" s="1"/>
  <c r="CR13" i="12"/>
  <c r="AO46" i="12"/>
  <c r="AO67" i="12"/>
  <c r="AN25" i="12"/>
  <c r="Y50" i="12"/>
  <c r="CL22" i="6"/>
  <c r="CN15" i="6"/>
  <c r="CM24" i="6"/>
  <c r="CN14" i="6"/>
  <c r="CM23" i="6"/>
  <c r="CL13" i="6"/>
  <c r="CL19" i="6" s="1"/>
  <c r="K11" i="7"/>
  <c r="K13" i="7" s="1"/>
  <c r="AN40" i="12" l="1"/>
  <c r="AM61" i="12"/>
  <c r="CR19" i="12"/>
  <c r="AN39" i="12"/>
  <c r="AO35" i="12"/>
  <c r="AO36" i="12" s="1"/>
  <c r="CQ51" i="12"/>
  <c r="CQ29" i="12"/>
  <c r="CQ28" i="12"/>
  <c r="BV68" i="12"/>
  <c r="CR26" i="12"/>
  <c r="CU15" i="12"/>
  <c r="CT24" i="12"/>
  <c r="CT27" i="12" s="1"/>
  <c r="CT52" i="12" s="1"/>
  <c r="CT60" i="12" s="1"/>
  <c r="CS13" i="12"/>
  <c r="CN59" i="12"/>
  <c r="CM58" i="12"/>
  <c r="CT14" i="12"/>
  <c r="CS23" i="12"/>
  <c r="CS22" i="12" s="1"/>
  <c r="AP44" i="12"/>
  <c r="AP47" i="12" s="1"/>
  <c r="AO66" i="12"/>
  <c r="CM22" i="6"/>
  <c r="CO15" i="6"/>
  <c r="CN24" i="6"/>
  <c r="CO14" i="6"/>
  <c r="CN23" i="6"/>
  <c r="CM13" i="6"/>
  <c r="CM19" i="6" s="1"/>
  <c r="AN53" i="12" l="1"/>
  <c r="CT13" i="12"/>
  <c r="CS19" i="12"/>
  <c r="AO37" i="12"/>
  <c r="AO38" i="12"/>
  <c r="CR51" i="12"/>
  <c r="CR29" i="12"/>
  <c r="CR28" i="12"/>
  <c r="BW45" i="12"/>
  <c r="BW48" i="12" s="1"/>
  <c r="BW68" i="12" s="1"/>
  <c r="CN58" i="12"/>
  <c r="CO59" i="12"/>
  <c r="CV15" i="12"/>
  <c r="CU24" i="12"/>
  <c r="CU27" i="12" s="1"/>
  <c r="CU52" i="12" s="1"/>
  <c r="CU60" i="12" s="1"/>
  <c r="CS26" i="12"/>
  <c r="AP43" i="12"/>
  <c r="AP31" i="12" s="1"/>
  <c r="AP34" i="12" s="1"/>
  <c r="CT23" i="12"/>
  <c r="CT22" i="12" s="1"/>
  <c r="CU14" i="12"/>
  <c r="CN22" i="6"/>
  <c r="CP15" i="6"/>
  <c r="CO24" i="6"/>
  <c r="CP14" i="6"/>
  <c r="CO23" i="6"/>
  <c r="AN55" i="12" l="1"/>
  <c r="AN54" i="12"/>
  <c r="AN62" i="12" s="1"/>
  <c r="CT19" i="12"/>
  <c r="AO40" i="12"/>
  <c r="AO39" i="12"/>
  <c r="AP33" i="12"/>
  <c r="AP32" i="12"/>
  <c r="CS51" i="12"/>
  <c r="CS29" i="12"/>
  <c r="CS28" i="12"/>
  <c r="BX45" i="12"/>
  <c r="BX48" i="12" s="1"/>
  <c r="BX68" i="12" s="1"/>
  <c r="CT26" i="12"/>
  <c r="CU13" i="12"/>
  <c r="CO58" i="12"/>
  <c r="CP59" i="12"/>
  <c r="CW15" i="12"/>
  <c r="CV24" i="12"/>
  <c r="CV27" i="12" s="1"/>
  <c r="CV52" i="12" s="1"/>
  <c r="CV60" i="12" s="1"/>
  <c r="CV14" i="12"/>
  <c r="CU23" i="12"/>
  <c r="CU22" i="12" s="1"/>
  <c r="AO25" i="12"/>
  <c r="AP46" i="12"/>
  <c r="AP67" i="12"/>
  <c r="CO22" i="6"/>
  <c r="CQ15" i="6"/>
  <c r="CP24" i="6"/>
  <c r="CQ14" i="6"/>
  <c r="CP23" i="6"/>
  <c r="CO13" i="6"/>
  <c r="CO19" i="6" s="1"/>
  <c r="CN13" i="6"/>
  <c r="CN19" i="6" s="1"/>
  <c r="AO53" i="12" l="1"/>
  <c r="AO54" i="12" s="1"/>
  <c r="AN63" i="12"/>
  <c r="AN61" i="12" s="1"/>
  <c r="CU19" i="12"/>
  <c r="AP35" i="12"/>
  <c r="AP36" i="12" s="1"/>
  <c r="CT51" i="12"/>
  <c r="CT29" i="12"/>
  <c r="CT28" i="12"/>
  <c r="BY45" i="12"/>
  <c r="CU26" i="12"/>
  <c r="CV13" i="12"/>
  <c r="CW24" i="12"/>
  <c r="CW27" i="12" s="1"/>
  <c r="CW52" i="12" s="1"/>
  <c r="CW60" i="12" s="1"/>
  <c r="CX15" i="12"/>
  <c r="CP58" i="12"/>
  <c r="CQ59" i="12"/>
  <c r="CW14" i="12"/>
  <c r="CV23" i="12"/>
  <c r="CV22" i="12" s="1"/>
  <c r="L16" i="13" s="1"/>
  <c r="AQ44" i="12"/>
  <c r="AQ47" i="12" s="1"/>
  <c r="AP66" i="12"/>
  <c r="CP22" i="6"/>
  <c r="CR15" i="6"/>
  <c r="CQ24" i="6"/>
  <c r="CR14" i="6"/>
  <c r="CQ23" i="6"/>
  <c r="AO55" i="12" l="1"/>
  <c r="AO62" i="12"/>
  <c r="L11" i="13"/>
  <c r="L13" i="13" s="1"/>
  <c r="AP37" i="12"/>
  <c r="AP38" i="12"/>
  <c r="CU51" i="12"/>
  <c r="CU28" i="12"/>
  <c r="CU29" i="12"/>
  <c r="BY48" i="12"/>
  <c r="BY68" i="12" s="1"/>
  <c r="CV19" i="12"/>
  <c r="CV26" i="12"/>
  <c r="CY15" i="12"/>
  <c r="CX24" i="12"/>
  <c r="CX27" i="12" s="1"/>
  <c r="CX52" i="12" s="1"/>
  <c r="CX60" i="12" s="1"/>
  <c r="CW13" i="12"/>
  <c r="CR59" i="12"/>
  <c r="CQ58" i="12"/>
  <c r="AQ43" i="12"/>
  <c r="AQ31" i="12" s="1"/>
  <c r="AQ34" i="12" s="1"/>
  <c r="CW23" i="12"/>
  <c r="CW22" i="12" s="1"/>
  <c r="CX14" i="12"/>
  <c r="CQ22" i="6"/>
  <c r="CS15" i="6"/>
  <c r="CR24" i="6"/>
  <c r="CS14" i="6"/>
  <c r="CR23" i="6"/>
  <c r="CQ13" i="6"/>
  <c r="CQ19" i="6" s="1"/>
  <c r="CP13" i="6"/>
  <c r="CP19" i="6" s="1"/>
  <c r="AO63" i="12" l="1"/>
  <c r="CW19" i="12"/>
  <c r="AP40" i="12"/>
  <c r="AP39" i="12"/>
  <c r="AQ33" i="12"/>
  <c r="AQ32" i="12"/>
  <c r="CV51" i="12"/>
  <c r="CV29" i="12"/>
  <c r="CV28" i="12"/>
  <c r="BZ45" i="12"/>
  <c r="BZ48" i="12" s="1"/>
  <c r="BZ68" i="12" s="1"/>
  <c r="CW26" i="12"/>
  <c r="CR58" i="12"/>
  <c r="CS59" i="12"/>
  <c r="CX13" i="12"/>
  <c r="CZ15" i="12"/>
  <c r="CY24" i="12"/>
  <c r="CY27" i="12" s="1"/>
  <c r="CY52" i="12" s="1"/>
  <c r="CY60" i="12" s="1"/>
  <c r="CX23" i="12"/>
  <c r="CX22" i="12" s="1"/>
  <c r="CY14" i="12"/>
  <c r="AQ46" i="12"/>
  <c r="AQ35" i="12" s="1"/>
  <c r="AQ38" i="12" s="1"/>
  <c r="AQ67" i="12"/>
  <c r="AP25" i="12"/>
  <c r="Z50" i="12"/>
  <c r="CR22" i="6"/>
  <c r="CT15" i="6"/>
  <c r="CS24" i="6"/>
  <c r="CT14" i="6"/>
  <c r="CS23" i="6"/>
  <c r="AP53" i="12" l="1"/>
  <c r="AP55" i="12" s="1"/>
  <c r="AO61" i="12"/>
  <c r="CX19" i="12"/>
  <c r="AQ36" i="12"/>
  <c r="AQ37" i="12"/>
  <c r="CW51" i="12"/>
  <c r="CW29" i="12"/>
  <c r="CW28" i="12"/>
  <c r="CA45" i="12"/>
  <c r="CA48" i="12" s="1"/>
  <c r="CA68" i="12" s="1"/>
  <c r="CZ24" i="12"/>
  <c r="CZ27" i="12" s="1"/>
  <c r="CZ52" i="12" s="1"/>
  <c r="CZ60" i="12" s="1"/>
  <c r="DA15" i="12"/>
  <c r="CS58" i="12"/>
  <c r="CT59" i="12"/>
  <c r="CX26" i="12"/>
  <c r="CY13" i="12"/>
  <c r="CY23" i="12"/>
  <c r="CY22" i="12" s="1"/>
  <c r="CZ14" i="12"/>
  <c r="AR44" i="12"/>
  <c r="AR47" i="12" s="1"/>
  <c r="AQ66" i="12"/>
  <c r="CS22" i="6"/>
  <c r="CU15" i="6"/>
  <c r="CT24" i="6"/>
  <c r="CU14" i="6"/>
  <c r="CT23" i="6"/>
  <c r="CS13" i="6"/>
  <c r="CS19" i="6" s="1"/>
  <c r="CR13" i="6"/>
  <c r="CR19" i="6" s="1"/>
  <c r="AP54" i="12" l="1"/>
  <c r="AP62" i="12" s="1"/>
  <c r="AQ40" i="12"/>
  <c r="CY19" i="12"/>
  <c r="AQ39" i="12"/>
  <c r="CX51" i="12"/>
  <c r="CX29" i="12"/>
  <c r="CX28" i="12"/>
  <c r="CB45" i="12"/>
  <c r="CB48" i="12" s="1"/>
  <c r="CB68" i="12" s="1"/>
  <c r="CT58" i="12"/>
  <c r="CU59" i="12"/>
  <c r="CY26" i="12"/>
  <c r="CZ13" i="12"/>
  <c r="DA24" i="12"/>
  <c r="DA27" i="12" s="1"/>
  <c r="DA52" i="12" s="1"/>
  <c r="DA60" i="12" s="1"/>
  <c r="DB15" i="12"/>
  <c r="AR43" i="12"/>
  <c r="AR31" i="12" s="1"/>
  <c r="AR34" i="12" s="1"/>
  <c r="DA14" i="12"/>
  <c r="CZ23" i="12"/>
  <c r="CZ22" i="12" s="1"/>
  <c r="CT22" i="6"/>
  <c r="CV15" i="6"/>
  <c r="CU24" i="6"/>
  <c r="CV14" i="6"/>
  <c r="CU23" i="6"/>
  <c r="CT13" i="6"/>
  <c r="CT19" i="6" s="1"/>
  <c r="AQ53" i="12" l="1"/>
  <c r="AP63" i="12"/>
  <c r="AP61" i="12" s="1"/>
  <c r="CZ19" i="12"/>
  <c r="AR33" i="12"/>
  <c r="AR32" i="12"/>
  <c r="CY51" i="12"/>
  <c r="CY29" i="12"/>
  <c r="CY28" i="12"/>
  <c r="CC45" i="12"/>
  <c r="CZ26" i="12"/>
  <c r="DC15" i="12"/>
  <c r="DB24" i="12"/>
  <c r="DB27" i="12" s="1"/>
  <c r="DB52" i="12" s="1"/>
  <c r="DB60" i="12" s="1"/>
  <c r="DA13" i="12"/>
  <c r="CV59" i="12"/>
  <c r="CU58" i="12"/>
  <c r="DA23" i="12"/>
  <c r="DA22" i="12" s="1"/>
  <c r="DB14" i="12"/>
  <c r="AQ25" i="12"/>
  <c r="AR46" i="12"/>
  <c r="AR67" i="12"/>
  <c r="CU22" i="6"/>
  <c r="CW15" i="6"/>
  <c r="CV24" i="6"/>
  <c r="CW14" i="6"/>
  <c r="CV23" i="6"/>
  <c r="CU13" i="6"/>
  <c r="CU19" i="6" s="1"/>
  <c r="AQ55" i="12" l="1"/>
  <c r="AQ54" i="12"/>
  <c r="AQ62" i="12" s="1"/>
  <c r="DB13" i="12"/>
  <c r="DA19" i="12"/>
  <c r="AR35" i="12"/>
  <c r="CZ51" i="12"/>
  <c r="CZ29" i="12"/>
  <c r="CZ28" i="12"/>
  <c r="CC48" i="12"/>
  <c r="CC68" i="12" s="1"/>
  <c r="DA26" i="12"/>
  <c r="DC24" i="12"/>
  <c r="DC27" i="12" s="1"/>
  <c r="DC52" i="12" s="1"/>
  <c r="DC60" i="12" s="1"/>
  <c r="DD15" i="12"/>
  <c r="CW59" i="12"/>
  <c r="CV58" i="12"/>
  <c r="DC14" i="12"/>
  <c r="DB23" i="12"/>
  <c r="DB22" i="12" s="1"/>
  <c r="AR66" i="12"/>
  <c r="AS44" i="12"/>
  <c r="AS47" i="12" s="1"/>
  <c r="CV22" i="6"/>
  <c r="L16" i="7" s="1"/>
  <c r="CX15" i="6"/>
  <c r="CW24" i="6"/>
  <c r="CX14" i="6"/>
  <c r="CW23" i="6"/>
  <c r="CV13" i="6"/>
  <c r="CV19" i="6" s="1"/>
  <c r="AQ63" i="12" l="1"/>
  <c r="DB19" i="12"/>
  <c r="CD45" i="12"/>
  <c r="CD48" i="12" s="1"/>
  <c r="CD68" i="12" s="1"/>
  <c r="CE45" i="12" s="1"/>
  <c r="CE48" i="12" s="1"/>
  <c r="CE68" i="12" s="1"/>
  <c r="AR37" i="12"/>
  <c r="AR38" i="12"/>
  <c r="AR36" i="12"/>
  <c r="DA51" i="12"/>
  <c r="DA29" i="12"/>
  <c r="DA28" i="12"/>
  <c r="CX59" i="12"/>
  <c r="CW58" i="12"/>
  <c r="DB26" i="12"/>
  <c r="DE15" i="12"/>
  <c r="DD24" i="12"/>
  <c r="DD27" i="12" s="1"/>
  <c r="DD52" i="12" s="1"/>
  <c r="DD60" i="12" s="1"/>
  <c r="AS43" i="12"/>
  <c r="AS31" i="12" s="1"/>
  <c r="AS34" i="12" s="1"/>
  <c r="DD14" i="12"/>
  <c r="DC23" i="12"/>
  <c r="DC26" i="12" s="1"/>
  <c r="DC13" i="12"/>
  <c r="CW22" i="6"/>
  <c r="CY15" i="6"/>
  <c r="CX24" i="6"/>
  <c r="CY14" i="6"/>
  <c r="CX23" i="6"/>
  <c r="CW13" i="6"/>
  <c r="CW19" i="6" s="1"/>
  <c r="AR39" i="12" l="1"/>
  <c r="AQ61" i="12"/>
  <c r="DC19" i="12"/>
  <c r="DD13" i="12"/>
  <c r="AR40" i="12"/>
  <c r="AS33" i="12"/>
  <c r="AS32" i="12"/>
  <c r="DC51" i="12"/>
  <c r="DC28" i="12"/>
  <c r="DC29" i="12"/>
  <c r="DB51" i="12"/>
  <c r="DB29" i="12"/>
  <c r="DB28" i="12"/>
  <c r="CF45" i="12"/>
  <c r="DC22" i="12"/>
  <c r="DF15" i="12"/>
  <c r="DE24" i="12"/>
  <c r="DE27" i="12" s="1"/>
  <c r="DE52" i="12" s="1"/>
  <c r="DE60" i="12" s="1"/>
  <c r="CY59" i="12"/>
  <c r="CX58" i="12"/>
  <c r="AS46" i="12"/>
  <c r="AS67" i="12"/>
  <c r="DD23" i="12"/>
  <c r="DD26" i="12" s="1"/>
  <c r="DE14" i="12"/>
  <c r="AR25" i="12"/>
  <c r="AA50" i="12"/>
  <c r="CX22" i="6"/>
  <c r="CZ15" i="6"/>
  <c r="CY24" i="6"/>
  <c r="CZ14" i="6"/>
  <c r="CY23" i="6"/>
  <c r="CX13" i="6"/>
  <c r="CX19" i="6" s="1"/>
  <c r="L11" i="7"/>
  <c r="L13" i="7" s="1"/>
  <c r="AR53" i="12" l="1"/>
  <c r="AR54" i="12" s="1"/>
  <c r="AR62" i="12" s="1"/>
  <c r="DD19" i="12"/>
  <c r="AS35" i="12"/>
  <c r="DD51" i="12"/>
  <c r="DD29" i="12"/>
  <c r="DD28" i="12"/>
  <c r="CF48" i="12"/>
  <c r="CF68" i="12" s="1"/>
  <c r="CZ59" i="12"/>
  <c r="CY58" i="12"/>
  <c r="DD22" i="12"/>
  <c r="DE13" i="12"/>
  <c r="DF24" i="12"/>
  <c r="DF27" i="12" s="1"/>
  <c r="DF52" i="12" s="1"/>
  <c r="DF60" i="12" s="1"/>
  <c r="DG15" i="12"/>
  <c r="AT44" i="12"/>
  <c r="AT47" i="12" s="1"/>
  <c r="AS66" i="12"/>
  <c r="DE23" i="12"/>
  <c r="DE22" i="12" s="1"/>
  <c r="DF14" i="12"/>
  <c r="CY22" i="6"/>
  <c r="DA15" i="6"/>
  <c r="CZ24" i="6"/>
  <c r="DA14" i="6"/>
  <c r="CZ23" i="6"/>
  <c r="CY13" i="6"/>
  <c r="CY19" i="6" s="1"/>
  <c r="AR55" i="12" l="1"/>
  <c r="AR63" i="12" s="1"/>
  <c r="DE19" i="12"/>
  <c r="AS37" i="12"/>
  <c r="AS38" i="12"/>
  <c r="AS36" i="12"/>
  <c r="CG45" i="12"/>
  <c r="CG48" i="12" s="1"/>
  <c r="CG68" i="12" s="1"/>
  <c r="DE26" i="12"/>
  <c r="DA59" i="12"/>
  <c r="CZ58" i="12"/>
  <c r="DG24" i="12"/>
  <c r="DG27" i="12" s="1"/>
  <c r="DG52" i="12" s="1"/>
  <c r="DG60" i="12" s="1"/>
  <c r="DH15" i="12"/>
  <c r="AT43" i="12"/>
  <c r="AT31" i="12" s="1"/>
  <c r="AT34" i="12" s="1"/>
  <c r="AT46" i="12"/>
  <c r="AS25" i="12"/>
  <c r="DF23" i="12"/>
  <c r="DF26" i="12" s="1"/>
  <c r="DG14" i="12"/>
  <c r="DF13" i="12"/>
  <c r="CZ22" i="6"/>
  <c r="DB15" i="6"/>
  <c r="DA24" i="6"/>
  <c r="DB14" i="6"/>
  <c r="DA23" i="6"/>
  <c r="AS39" i="12" l="1"/>
  <c r="AR61" i="12"/>
  <c r="DF19" i="12"/>
  <c r="AS40" i="12"/>
  <c r="AT35" i="12"/>
  <c r="AT37" i="12" s="1"/>
  <c r="AT32" i="12"/>
  <c r="AT33" i="12"/>
  <c r="DF51" i="12"/>
  <c r="DF29" i="12"/>
  <c r="DF28" i="12"/>
  <c r="DE51" i="12"/>
  <c r="DE29" i="12"/>
  <c r="DE28" i="12"/>
  <c r="CH45" i="12"/>
  <c r="CH48" i="12" s="1"/>
  <c r="CH68" i="12" s="1"/>
  <c r="DF22" i="12"/>
  <c r="DG13" i="12"/>
  <c r="DA58" i="12"/>
  <c r="DB59" i="12"/>
  <c r="DH24" i="12"/>
  <c r="DH27" i="12" s="1"/>
  <c r="DH52" i="12" s="1"/>
  <c r="DH60" i="12" s="1"/>
  <c r="DI15" i="12"/>
  <c r="AT67" i="12"/>
  <c r="DG23" i="12"/>
  <c r="DG22" i="12" s="1"/>
  <c r="DH14" i="12"/>
  <c r="DA22" i="6"/>
  <c r="DC15" i="6"/>
  <c r="DB24" i="6"/>
  <c r="DC14" i="6"/>
  <c r="DB23" i="6"/>
  <c r="DA13" i="6"/>
  <c r="DA19" i="6" s="1"/>
  <c r="CZ13" i="6"/>
  <c r="CZ19" i="6" s="1"/>
  <c r="AS53" i="12" l="1"/>
  <c r="AS54" i="12" s="1"/>
  <c r="AS62" i="12" s="1"/>
  <c r="DG19" i="12"/>
  <c r="AT38" i="12"/>
  <c r="AT36" i="12"/>
  <c r="CI45" i="12"/>
  <c r="CI48" i="12" s="1"/>
  <c r="CI68" i="12" s="1"/>
  <c r="DG26" i="12"/>
  <c r="DJ15" i="12"/>
  <c r="DI24" i="12"/>
  <c r="DI27" i="12" s="1"/>
  <c r="DI52" i="12" s="1"/>
  <c r="DI60" i="12" s="1"/>
  <c r="DH13" i="12"/>
  <c r="DB58" i="12"/>
  <c r="DC59" i="12"/>
  <c r="AT66" i="12"/>
  <c r="AU44" i="12"/>
  <c r="AU47" i="12" s="1"/>
  <c r="DI14" i="12"/>
  <c r="DH23" i="12"/>
  <c r="DH22" i="12" s="1"/>
  <c r="M16" i="13" s="1"/>
  <c r="AT25" i="12"/>
  <c r="DB22" i="6"/>
  <c r="DD15" i="6"/>
  <c r="DC24" i="6"/>
  <c r="DD14" i="6"/>
  <c r="DC23" i="6"/>
  <c r="DB13" i="6"/>
  <c r="DB19" i="6" s="1"/>
  <c r="AS55" i="12" l="1"/>
  <c r="AS63" i="12" s="1"/>
  <c r="AT40" i="12"/>
  <c r="M11" i="13"/>
  <c r="M13" i="13" s="1"/>
  <c r="AT39" i="12"/>
  <c r="DG51" i="12"/>
  <c r="DG29" i="12"/>
  <c r="DG28" i="12"/>
  <c r="CJ45" i="12"/>
  <c r="CJ48" i="12" s="1"/>
  <c r="CJ68" i="12" s="1"/>
  <c r="DH19" i="12"/>
  <c r="DH26" i="12"/>
  <c r="DI13" i="12"/>
  <c r="DD59" i="12"/>
  <c r="DC58" i="12"/>
  <c r="DJ24" i="12"/>
  <c r="DJ27" i="12" s="1"/>
  <c r="DJ52" i="12" s="1"/>
  <c r="DJ60" i="12" s="1"/>
  <c r="DK15" i="12"/>
  <c r="AU43" i="12"/>
  <c r="AU31" i="12" s="1"/>
  <c r="AU34" i="12" s="1"/>
  <c r="DI23" i="12"/>
  <c r="DI26" i="12" s="1"/>
  <c r="DJ14" i="12"/>
  <c r="DC22" i="6"/>
  <c r="DE15" i="6"/>
  <c r="DD24" i="6"/>
  <c r="DE14" i="6"/>
  <c r="DD23" i="6"/>
  <c r="DC13" i="6"/>
  <c r="DC19" i="6" s="1"/>
  <c r="AT53" i="12" l="1"/>
  <c r="AT54" i="12" s="1"/>
  <c r="AS61" i="12"/>
  <c r="DI19" i="12"/>
  <c r="AU33" i="12"/>
  <c r="AU32" i="12"/>
  <c r="DH51" i="12"/>
  <c r="DH29" i="12"/>
  <c r="DH28" i="12"/>
  <c r="DI51" i="12"/>
  <c r="DI29" i="12"/>
  <c r="DI28" i="12"/>
  <c r="CK45" i="12"/>
  <c r="CK48" i="12" s="1"/>
  <c r="CK68" i="12" s="1"/>
  <c r="DL15" i="12"/>
  <c r="DK24" i="12"/>
  <c r="DK27" i="12" s="1"/>
  <c r="DK52" i="12" s="1"/>
  <c r="DK60" i="12" s="1"/>
  <c r="DD58" i="12"/>
  <c r="DE59" i="12"/>
  <c r="DJ13" i="12"/>
  <c r="DI22" i="12"/>
  <c r="AU46" i="12"/>
  <c r="AU67" i="12"/>
  <c r="DJ23" i="12"/>
  <c r="DJ22" i="12" s="1"/>
  <c r="DK14" i="12"/>
  <c r="F22" i="13"/>
  <c r="AB50" i="12"/>
  <c r="F21" i="13" s="1"/>
  <c r="DD22" i="6"/>
  <c r="DF15" i="6"/>
  <c r="DE24" i="6"/>
  <c r="DF14" i="6"/>
  <c r="DE23" i="6"/>
  <c r="DD13" i="6"/>
  <c r="DD19" i="6" s="1"/>
  <c r="AT55" i="12" l="1"/>
  <c r="AT62" i="12"/>
  <c r="DJ19" i="12"/>
  <c r="AU35" i="12"/>
  <c r="CL45" i="12"/>
  <c r="CL48" i="12" s="1"/>
  <c r="CL68" i="12" s="1"/>
  <c r="DE58" i="12"/>
  <c r="DF59" i="12"/>
  <c r="DK13" i="12"/>
  <c r="DL24" i="12"/>
  <c r="DL27" i="12" s="1"/>
  <c r="DL52" i="12" s="1"/>
  <c r="DL60" i="12" s="1"/>
  <c r="DM15" i="12"/>
  <c r="DJ26" i="12"/>
  <c r="AV44" i="12"/>
  <c r="AV47" i="12" s="1"/>
  <c r="AU66" i="12"/>
  <c r="DL14" i="12"/>
  <c r="DK23" i="12"/>
  <c r="DK22" i="12" s="1"/>
  <c r="AU25" i="12"/>
  <c r="F40" i="13"/>
  <c r="F41" i="13" s="1"/>
  <c r="DE22" i="6"/>
  <c r="DG15" i="6"/>
  <c r="DF24" i="6"/>
  <c r="DG14" i="6"/>
  <c r="DF23" i="6"/>
  <c r="DE13" i="6"/>
  <c r="DE19" i="6" s="1"/>
  <c r="F42" i="13" l="1"/>
  <c r="F59" i="13" s="1"/>
  <c r="AT63" i="12"/>
  <c r="DK19" i="12"/>
  <c r="AU37" i="12"/>
  <c r="AU38" i="12"/>
  <c r="AU36" i="12"/>
  <c r="DJ51" i="12"/>
  <c r="DJ29" i="12"/>
  <c r="DJ28" i="12"/>
  <c r="CM45" i="12"/>
  <c r="DM24" i="12"/>
  <c r="DM27" i="12" s="1"/>
  <c r="DM52" i="12" s="1"/>
  <c r="DM60" i="12" s="1"/>
  <c r="DN15" i="12"/>
  <c r="DL13" i="12"/>
  <c r="DG59" i="12"/>
  <c r="DF58" i="12"/>
  <c r="DK26" i="12"/>
  <c r="AV43" i="12"/>
  <c r="AV31" i="12" s="1"/>
  <c r="AV34" i="12" s="1"/>
  <c r="AV67" i="12"/>
  <c r="DM14" i="12"/>
  <c r="DL23" i="12"/>
  <c r="DL22" i="12" s="1"/>
  <c r="DF22" i="6"/>
  <c r="DH15" i="6"/>
  <c r="DG24" i="6"/>
  <c r="DH14" i="6"/>
  <c r="DG23" i="6"/>
  <c r="DF13" i="6"/>
  <c r="DF19" i="6" s="1"/>
  <c r="AU39" i="12" l="1"/>
  <c r="AT61" i="12"/>
  <c r="DL19" i="12"/>
  <c r="AU40" i="12"/>
  <c r="AV33" i="12"/>
  <c r="AV32" i="12"/>
  <c r="DK51" i="12"/>
  <c r="DK28" i="12"/>
  <c r="DK29" i="12"/>
  <c r="CM48" i="12"/>
  <c r="CM68" i="12" s="1"/>
  <c r="DH59" i="12"/>
  <c r="DG58" i="12"/>
  <c r="DN24" i="12"/>
  <c r="DN27" i="12" s="1"/>
  <c r="DN52" i="12" s="1"/>
  <c r="DN60" i="12" s="1"/>
  <c r="DO15" i="12"/>
  <c r="DM13" i="12"/>
  <c r="DL26" i="12"/>
  <c r="AV66" i="12"/>
  <c r="AV46" i="12"/>
  <c r="AW44" i="12"/>
  <c r="AW47" i="12" s="1"/>
  <c r="DM23" i="12"/>
  <c r="DM22" i="12" s="1"/>
  <c r="DN14" i="12"/>
  <c r="F27" i="13"/>
  <c r="F28" i="13"/>
  <c r="DG22" i="6"/>
  <c r="DI15" i="6"/>
  <c r="DH24" i="6"/>
  <c r="DI14" i="6"/>
  <c r="DH23" i="6"/>
  <c r="DG13" i="6"/>
  <c r="DG19" i="6" s="1"/>
  <c r="AU53" i="12" l="1"/>
  <c r="AU55" i="12" s="1"/>
  <c r="DM19" i="12"/>
  <c r="AV35" i="12"/>
  <c r="DL51" i="12"/>
  <c r="DL29" i="12"/>
  <c r="DL28" i="12"/>
  <c r="CN45" i="12"/>
  <c r="DP15" i="12"/>
  <c r="DO24" i="12"/>
  <c r="DO27" i="12" s="1"/>
  <c r="DO52" i="12" s="1"/>
  <c r="DO60" i="12" s="1"/>
  <c r="DN13" i="12"/>
  <c r="DI59" i="12"/>
  <c r="DH58" i="12"/>
  <c r="DM26" i="12"/>
  <c r="AW46" i="12"/>
  <c r="AW43" i="12"/>
  <c r="AW31" i="12" s="1"/>
  <c r="AW34" i="12" s="1"/>
  <c r="DN23" i="12"/>
  <c r="DN22" i="12" s="1"/>
  <c r="DO14" i="12"/>
  <c r="AV25" i="12"/>
  <c r="DH22" i="6"/>
  <c r="M16" i="7" s="1"/>
  <c r="DJ15" i="6"/>
  <c r="DI24" i="6"/>
  <c r="DJ14" i="6"/>
  <c r="DI23" i="6"/>
  <c r="DH13" i="6"/>
  <c r="DH19" i="6" s="1"/>
  <c r="AU54" i="12" l="1"/>
  <c r="AU62" i="12" s="1"/>
  <c r="DN19" i="12"/>
  <c r="AV37" i="12"/>
  <c r="AV38" i="12"/>
  <c r="AW35" i="12"/>
  <c r="AW37" i="12" s="1"/>
  <c r="AV36" i="12"/>
  <c r="AW33" i="12"/>
  <c r="AW32" i="12"/>
  <c r="DM51" i="12"/>
  <c r="DM29" i="12"/>
  <c r="DM28" i="12"/>
  <c r="CN48" i="12"/>
  <c r="CN68" i="12" s="1"/>
  <c r="DI58" i="12"/>
  <c r="DJ59" i="12"/>
  <c r="DP24" i="12"/>
  <c r="DP27" i="12" s="1"/>
  <c r="DP52" i="12" s="1"/>
  <c r="DP60" i="12" s="1"/>
  <c r="DQ15" i="12"/>
  <c r="DN26" i="12"/>
  <c r="DO13" i="12"/>
  <c r="AW67" i="12"/>
  <c r="DP14" i="12"/>
  <c r="DO23" i="12"/>
  <c r="DO22" i="12" s="1"/>
  <c r="DI22" i="6"/>
  <c r="DK15" i="6"/>
  <c r="DJ24" i="6"/>
  <c r="DK14" i="6"/>
  <c r="DJ23" i="6"/>
  <c r="DI13" i="6"/>
  <c r="DI19" i="6" s="1"/>
  <c r="AU63" i="12" l="1"/>
  <c r="DO19" i="12"/>
  <c r="AV39" i="12"/>
  <c r="AV40" i="12"/>
  <c r="AW38" i="12"/>
  <c r="AW36" i="12"/>
  <c r="DN51" i="12"/>
  <c r="DN29" i="12"/>
  <c r="DN28" i="12"/>
  <c r="CO45" i="12"/>
  <c r="CO48" i="12" s="1"/>
  <c r="CO68" i="12" s="1"/>
  <c r="AW66" i="12"/>
  <c r="AX44" i="12"/>
  <c r="AX47" i="12" s="1"/>
  <c r="DO26" i="12"/>
  <c r="DQ24" i="12"/>
  <c r="DQ27" i="12" s="1"/>
  <c r="DQ52" i="12" s="1"/>
  <c r="DQ60" i="12" s="1"/>
  <c r="DR15" i="12"/>
  <c r="DP13" i="12"/>
  <c r="DK59" i="12"/>
  <c r="DJ58" i="12"/>
  <c r="DP23" i="12"/>
  <c r="DP26" i="12" s="1"/>
  <c r="DQ14" i="12"/>
  <c r="AW25" i="12"/>
  <c r="AC50" i="12"/>
  <c r="DJ22" i="6"/>
  <c r="DL15" i="6"/>
  <c r="DK24" i="6"/>
  <c r="DL14" i="6"/>
  <c r="DK23" i="6"/>
  <c r="DJ13" i="6"/>
  <c r="DJ19" i="6" s="1"/>
  <c r="M11" i="7"/>
  <c r="M13" i="7" s="1"/>
  <c r="AU61" i="12" l="1"/>
  <c r="AV53" i="12"/>
  <c r="DP19" i="12"/>
  <c r="AW40" i="12"/>
  <c r="AW39" i="12"/>
  <c r="DO51" i="12"/>
  <c r="DO29" i="12"/>
  <c r="DO28" i="12"/>
  <c r="DP51" i="12"/>
  <c r="DP29" i="12"/>
  <c r="DP28" i="12"/>
  <c r="CP45" i="12"/>
  <c r="CP48" i="12" s="1"/>
  <c r="CP68" i="12" s="1"/>
  <c r="AX43" i="12"/>
  <c r="AX31" i="12" s="1"/>
  <c r="AX34" i="12" s="1"/>
  <c r="AX46" i="12"/>
  <c r="DP22" i="12"/>
  <c r="DK58" i="12"/>
  <c r="DL59" i="12"/>
  <c r="DQ13" i="12"/>
  <c r="DS15" i="12"/>
  <c r="DR24" i="12"/>
  <c r="DR27" i="12" s="1"/>
  <c r="DR52" i="12" s="1"/>
  <c r="DR60" i="12" s="1"/>
  <c r="AX67" i="12"/>
  <c r="DQ23" i="12"/>
  <c r="DQ22" i="12" s="1"/>
  <c r="DR14" i="12"/>
  <c r="DK22" i="6"/>
  <c r="DM15" i="6"/>
  <c r="DL24" i="6"/>
  <c r="DM14" i="6"/>
  <c r="DL23" i="6"/>
  <c r="DK13" i="6"/>
  <c r="DK19" i="6" s="1"/>
  <c r="AV55" i="12" l="1"/>
  <c r="AV54" i="12"/>
  <c r="AV62" i="12" s="1"/>
  <c r="AW53" i="12"/>
  <c r="DQ19" i="12"/>
  <c r="AX35" i="12"/>
  <c r="AX37" i="12" s="1"/>
  <c r="AX32" i="12"/>
  <c r="AX33" i="12"/>
  <c r="CQ45" i="12"/>
  <c r="DR13" i="12"/>
  <c r="DQ26" i="12"/>
  <c r="DS24" i="12"/>
  <c r="DS27" i="12" s="1"/>
  <c r="DS52" i="12" s="1"/>
  <c r="DS60" i="12" s="1"/>
  <c r="DT15" i="12"/>
  <c r="DL58" i="12"/>
  <c r="DM59" i="12"/>
  <c r="AY44" i="12"/>
  <c r="AY47" i="12" s="1"/>
  <c r="AX66" i="12"/>
  <c r="DS14" i="12"/>
  <c r="DR23" i="12"/>
  <c r="DR22" i="12" s="1"/>
  <c r="DL22" i="6"/>
  <c r="DN15" i="6"/>
  <c r="DM24" i="6"/>
  <c r="DN14" i="6"/>
  <c r="DM23" i="6"/>
  <c r="DL13" i="6"/>
  <c r="DL19" i="6" s="1"/>
  <c r="AW54" i="12" l="1"/>
  <c r="AW62" i="12" s="1"/>
  <c r="AW55" i="12"/>
  <c r="AV63" i="12"/>
  <c r="DS13" i="12"/>
  <c r="DU18" i="12"/>
  <c r="DR19" i="12"/>
  <c r="AX36" i="12"/>
  <c r="AX38" i="12"/>
  <c r="DQ51" i="12"/>
  <c r="DQ29" i="12"/>
  <c r="DQ28" i="12"/>
  <c r="CQ48" i="12"/>
  <c r="CQ68" i="12" s="1"/>
  <c r="DR26" i="12"/>
  <c r="DM58" i="12"/>
  <c r="DN59" i="12"/>
  <c r="DT24" i="12"/>
  <c r="DT27" i="12" s="1"/>
  <c r="DT52" i="12" s="1"/>
  <c r="DT60" i="12" s="1"/>
  <c r="AY43" i="12"/>
  <c r="AY31" i="12" s="1"/>
  <c r="AY34" i="12" s="1"/>
  <c r="DT14" i="12"/>
  <c r="DS23" i="12"/>
  <c r="DS22" i="12" s="1"/>
  <c r="DM22" i="6"/>
  <c r="DO15" i="6"/>
  <c r="DN24" i="6"/>
  <c r="DO14" i="6"/>
  <c r="DN23" i="6"/>
  <c r="AX39" i="12" l="1"/>
  <c r="AV61" i="12"/>
  <c r="AW63" i="12"/>
  <c r="DU24" i="12"/>
  <c r="DU27" i="12" s="1"/>
  <c r="DU52" i="12" s="1"/>
  <c r="DU60" i="12" s="1"/>
  <c r="DS19" i="12"/>
  <c r="AX40" i="12"/>
  <c r="AY33" i="12"/>
  <c r="AY32" i="12"/>
  <c r="DR51" i="12"/>
  <c r="DR29" i="12"/>
  <c r="DR28" i="12"/>
  <c r="CR45" i="12"/>
  <c r="CR48" i="12" s="1"/>
  <c r="CR68" i="12" s="1"/>
  <c r="DS26" i="12"/>
  <c r="DN58" i="12"/>
  <c r="DO59" i="12"/>
  <c r="DT13" i="12"/>
  <c r="AX25" i="12"/>
  <c r="AY46" i="12"/>
  <c r="AY67" i="12"/>
  <c r="DT23" i="12"/>
  <c r="DT22" i="12" s="1"/>
  <c r="N16" i="13" s="1"/>
  <c r="DU17" i="12"/>
  <c r="DN22" i="6"/>
  <c r="DP15" i="6"/>
  <c r="DO24" i="6"/>
  <c r="DP14" i="6"/>
  <c r="DO23" i="6"/>
  <c r="DN13" i="6"/>
  <c r="DN19" i="6" s="1"/>
  <c r="DM13" i="6"/>
  <c r="DM19" i="6" s="1"/>
  <c r="AX53" i="12" l="1"/>
  <c r="AX54" i="12" s="1"/>
  <c r="AW61" i="12"/>
  <c r="N11" i="13"/>
  <c r="N13" i="13" s="1"/>
  <c r="DU16" i="12"/>
  <c r="O12" i="13" s="1"/>
  <c r="O13" i="13" s="1"/>
  <c r="AY35" i="12"/>
  <c r="AY36" i="12" s="1"/>
  <c r="DS51" i="12"/>
  <c r="DS29" i="12"/>
  <c r="DS28" i="12"/>
  <c r="CS45" i="12"/>
  <c r="DT19" i="12"/>
  <c r="DT26" i="12"/>
  <c r="DU23" i="12"/>
  <c r="DU22" i="12" s="1"/>
  <c r="O16" i="13" s="1"/>
  <c r="D54" i="13" s="1"/>
  <c r="DP59" i="12"/>
  <c r="DO58" i="12"/>
  <c r="AZ44" i="12"/>
  <c r="AZ47" i="12" s="1"/>
  <c r="AY66" i="12"/>
  <c r="DO22" i="6"/>
  <c r="DQ15" i="6"/>
  <c r="DP24" i="6"/>
  <c r="DQ14" i="6"/>
  <c r="DP23" i="6"/>
  <c r="DO13" i="6"/>
  <c r="DO19" i="6" s="1"/>
  <c r="DU19" i="12" l="1"/>
  <c r="AX55" i="12"/>
  <c r="F13" i="11"/>
  <c r="AY38" i="12"/>
  <c r="AY37" i="12"/>
  <c r="AX62" i="12"/>
  <c r="DT51" i="12"/>
  <c r="DT29" i="12"/>
  <c r="DT28" i="12"/>
  <c r="CS48" i="12"/>
  <c r="CS68" i="12" s="1"/>
  <c r="DU26" i="12"/>
  <c r="DQ59" i="12"/>
  <c r="DP58" i="12"/>
  <c r="AZ43" i="12"/>
  <c r="AD50" i="12"/>
  <c r="DP22" i="6"/>
  <c r="DR15" i="6"/>
  <c r="DQ24" i="6"/>
  <c r="DR14" i="6"/>
  <c r="DQ23" i="6"/>
  <c r="DP13" i="6"/>
  <c r="DP19" i="6" s="1"/>
  <c r="AY40" i="12" l="1"/>
  <c r="AY39" i="12"/>
  <c r="AX63" i="12"/>
  <c r="H17" i="13"/>
  <c r="H38" i="13" s="1"/>
  <c r="AZ31" i="12"/>
  <c r="AZ34" i="12" s="1"/>
  <c r="DU51" i="12"/>
  <c r="DU29" i="12"/>
  <c r="DU28" i="12"/>
  <c r="CT45" i="12"/>
  <c r="CT48" i="12" s="1"/>
  <c r="CT68" i="12" s="1"/>
  <c r="DR59" i="12"/>
  <c r="DQ58" i="12"/>
  <c r="AY25" i="12"/>
  <c r="AZ46" i="12"/>
  <c r="AZ67" i="12"/>
  <c r="DQ22" i="6"/>
  <c r="DS15" i="6"/>
  <c r="DR24" i="6"/>
  <c r="DS14" i="6"/>
  <c r="DR23" i="6"/>
  <c r="DQ13" i="6"/>
  <c r="DQ19" i="6" s="1"/>
  <c r="AY53" i="12" l="1"/>
  <c r="AY55" i="12" s="1"/>
  <c r="AY63" i="12" s="1"/>
  <c r="AX61" i="12"/>
  <c r="H18" i="13"/>
  <c r="H39" i="13" s="1"/>
  <c r="AZ35" i="12"/>
  <c r="AZ36" i="12" s="1"/>
  <c r="AZ33" i="12"/>
  <c r="AZ32" i="12"/>
  <c r="CU45" i="12"/>
  <c r="CU48" i="12" s="1"/>
  <c r="CU68" i="12" s="1"/>
  <c r="DR58" i="12"/>
  <c r="DS59" i="12"/>
  <c r="BA44" i="12"/>
  <c r="BA47" i="12" s="1"/>
  <c r="AZ66" i="12"/>
  <c r="DR22" i="6"/>
  <c r="DT15" i="6"/>
  <c r="DT24" i="6" s="1"/>
  <c r="DS24" i="6"/>
  <c r="DT14" i="6"/>
  <c r="DT23" i="6" s="1"/>
  <c r="DS23" i="6"/>
  <c r="DT22" i="6" l="1"/>
  <c r="AY54" i="12"/>
  <c r="AY62" i="12" s="1"/>
  <c r="AY61" i="12" s="1"/>
  <c r="AZ38" i="12"/>
  <c r="AZ37" i="12"/>
  <c r="AZ40" i="12" s="1"/>
  <c r="CV45" i="12"/>
  <c r="CV48" i="12" s="1"/>
  <c r="CV68" i="12" s="1"/>
  <c r="DT59" i="12"/>
  <c r="DS58" i="12"/>
  <c r="BA43" i="12"/>
  <c r="BA31" i="12" s="1"/>
  <c r="BA34" i="12" s="1"/>
  <c r="H25" i="13"/>
  <c r="DS22" i="6"/>
  <c r="N16" i="7" s="1"/>
  <c r="DS13" i="6"/>
  <c r="DS19" i="6" s="1"/>
  <c r="DR13" i="6"/>
  <c r="DR19" i="6" s="1"/>
  <c r="AZ39" i="12" l="1"/>
  <c r="AZ53" i="12" s="1"/>
  <c r="BA33" i="12"/>
  <c r="BA32" i="12"/>
  <c r="CW45" i="12"/>
  <c r="CW48" i="12" s="1"/>
  <c r="CW68" i="12" s="1"/>
  <c r="DU59" i="12"/>
  <c r="DT58" i="12"/>
  <c r="BA67" i="12"/>
  <c r="BA46" i="12"/>
  <c r="AZ25" i="12"/>
  <c r="DU18" i="6"/>
  <c r="DU24" i="6" s="1"/>
  <c r="DT13" i="6"/>
  <c r="DT19" i="6" s="1"/>
  <c r="AZ55" i="12" l="1"/>
  <c r="AZ63" i="12" s="1"/>
  <c r="AZ54" i="12"/>
  <c r="AZ62" i="12" s="1"/>
  <c r="BA35" i="12"/>
  <c r="CX45" i="12"/>
  <c r="CX48" i="12" s="1"/>
  <c r="CX68" i="12" s="1"/>
  <c r="BB44" i="12"/>
  <c r="BB47" i="12" s="1"/>
  <c r="BA66" i="12"/>
  <c r="BA25" i="12"/>
  <c r="DU17" i="6"/>
  <c r="N11" i="7"/>
  <c r="N13" i="7" s="1"/>
  <c r="BA38" i="12" l="1"/>
  <c r="BA37" i="12"/>
  <c r="BA36" i="12"/>
  <c r="AZ61" i="12"/>
  <c r="BB43" i="12"/>
  <c r="BB31" i="12" s="1"/>
  <c r="BB34" i="12" s="1"/>
  <c r="CY45" i="12"/>
  <c r="CY48" i="12" s="1"/>
  <c r="CY68" i="12" s="1"/>
  <c r="BB46" i="12"/>
  <c r="BB67" i="12"/>
  <c r="AE50" i="12"/>
  <c r="DU16" i="6"/>
  <c r="DU19" i="6" s="1"/>
  <c r="DU23" i="6"/>
  <c r="DU22" i="6" s="1"/>
  <c r="O16" i="7" s="1"/>
  <c r="D46" i="7" s="1"/>
  <c r="C13" i="11" s="1"/>
  <c r="BA39" i="12" l="1"/>
  <c r="O12" i="7"/>
  <c r="O13" i="7" s="1"/>
  <c r="BA40" i="12"/>
  <c r="BB35" i="12"/>
  <c r="BB36" i="12" s="1"/>
  <c r="BB33" i="12"/>
  <c r="BB32" i="12"/>
  <c r="CZ45" i="12"/>
  <c r="CZ48" i="12" s="1"/>
  <c r="CZ68" i="12" s="1"/>
  <c r="BC44" i="12"/>
  <c r="BC47" i="12" s="1"/>
  <c r="BB66" i="12"/>
  <c r="F27" i="6"/>
  <c r="F30" i="6" s="1"/>
  <c r="F26" i="6"/>
  <c r="F29" i="6" s="1"/>
  <c r="BA53" i="12" l="1"/>
  <c r="BA54" i="12" s="1"/>
  <c r="BA62" i="12" s="1"/>
  <c r="BB38" i="12"/>
  <c r="BB37" i="12"/>
  <c r="DA45" i="12"/>
  <c r="DA48" i="12" s="1"/>
  <c r="DA68" i="12" s="1"/>
  <c r="BC43" i="12"/>
  <c r="BC31" i="12" s="1"/>
  <c r="BC34" i="12" s="1"/>
  <c r="F70" i="6"/>
  <c r="E68" i="6"/>
  <c r="BA55" i="12" l="1"/>
  <c r="BA63" i="12" s="1"/>
  <c r="BB40" i="12"/>
  <c r="BB39" i="12"/>
  <c r="BC33" i="12"/>
  <c r="BC32" i="12"/>
  <c r="DB45" i="12"/>
  <c r="BC46" i="12"/>
  <c r="BC67" i="12"/>
  <c r="BB25" i="12"/>
  <c r="E33" i="6"/>
  <c r="E40" i="6" s="1"/>
  <c r="E32" i="6"/>
  <c r="F69" i="6"/>
  <c r="F28" i="6"/>
  <c r="F25" i="6"/>
  <c r="F21" i="6" s="1"/>
  <c r="BB53" i="12" l="1"/>
  <c r="BB54" i="12" s="1"/>
  <c r="BB62" i="12" s="1"/>
  <c r="BA61" i="12"/>
  <c r="BC35" i="12"/>
  <c r="BC36" i="12" s="1"/>
  <c r="DB48" i="12"/>
  <c r="DB68" i="12" s="1"/>
  <c r="BC66" i="12"/>
  <c r="BD44" i="12"/>
  <c r="BD47" i="12" s="1"/>
  <c r="BC25" i="12"/>
  <c r="G26" i="6"/>
  <c r="G29" i="6" s="1"/>
  <c r="E43" i="6"/>
  <c r="E46" i="6" s="1"/>
  <c r="E54" i="6" s="1"/>
  <c r="E62" i="6" s="1"/>
  <c r="E39" i="6"/>
  <c r="E38" i="6" s="1"/>
  <c r="E31" i="6"/>
  <c r="E49" i="6"/>
  <c r="E57" i="6" s="1"/>
  <c r="E65" i="6" s="1"/>
  <c r="G27" i="6"/>
  <c r="G30" i="6" s="1"/>
  <c r="F68" i="6"/>
  <c r="BB55" i="12" l="1"/>
  <c r="BB63" i="12" s="1"/>
  <c r="BB61" i="12" s="1"/>
  <c r="BC38" i="12"/>
  <c r="BC37" i="12"/>
  <c r="DC45" i="12"/>
  <c r="DC48" i="12" s="1"/>
  <c r="DC68" i="12" s="1"/>
  <c r="BD43" i="12"/>
  <c r="BD31" i="12" s="1"/>
  <c r="BD34" i="12" s="1"/>
  <c r="F33" i="6"/>
  <c r="F32" i="6"/>
  <c r="G70" i="6"/>
  <c r="F37" i="6"/>
  <c r="E42" i="6"/>
  <c r="E41" i="6" s="1"/>
  <c r="G69" i="6"/>
  <c r="G25" i="6"/>
  <c r="BC39" i="12" l="1"/>
  <c r="E48" i="6"/>
  <c r="E56" i="6" s="1"/>
  <c r="E64" i="6" s="1"/>
  <c r="BC40" i="12"/>
  <c r="BD33" i="12"/>
  <c r="BD32" i="12"/>
  <c r="DD45" i="12"/>
  <c r="DD48" i="12" s="1"/>
  <c r="DD68" i="12" s="1"/>
  <c r="BD67" i="12"/>
  <c r="BD46" i="12"/>
  <c r="AF50" i="12"/>
  <c r="H27" i="6"/>
  <c r="H26" i="6"/>
  <c r="H29" i="6" s="1"/>
  <c r="H69" i="6" s="1"/>
  <c r="G28" i="6"/>
  <c r="E45" i="6"/>
  <c r="E53" i="6" s="1"/>
  <c r="E61" i="6" s="1"/>
  <c r="E47" i="6"/>
  <c r="E55" i="6"/>
  <c r="E63" i="6" s="1"/>
  <c r="F31" i="6"/>
  <c r="BC53" i="12" l="1"/>
  <c r="BC55" i="12" s="1"/>
  <c r="BD35" i="12"/>
  <c r="DE45" i="12"/>
  <c r="DE48" i="12" s="1"/>
  <c r="DE68" i="12" s="1"/>
  <c r="BD66" i="12"/>
  <c r="BE44" i="12"/>
  <c r="BE47" i="12" s="1"/>
  <c r="H30" i="6"/>
  <c r="H28" i="6" s="1"/>
  <c r="E44" i="6"/>
  <c r="E60" i="6"/>
  <c r="F36" i="6"/>
  <c r="F35" i="6" s="1"/>
  <c r="E52" i="6"/>
  <c r="H25" i="6"/>
  <c r="G68" i="6"/>
  <c r="BC54" i="12" l="1"/>
  <c r="BC62" i="12" s="1"/>
  <c r="BD38" i="12"/>
  <c r="BD37" i="12"/>
  <c r="BD36" i="12"/>
  <c r="BC63" i="12"/>
  <c r="DF45" i="12"/>
  <c r="DF48" i="12" s="1"/>
  <c r="DF68" i="12" s="1"/>
  <c r="BE43" i="12"/>
  <c r="BE31" i="12" s="1"/>
  <c r="BE34" i="12" s="1"/>
  <c r="H70" i="6"/>
  <c r="BD25" i="12"/>
  <c r="G33" i="6"/>
  <c r="G32" i="6"/>
  <c r="I26" i="6"/>
  <c r="I29" i="6" s="1"/>
  <c r="BD40" i="12" l="1"/>
  <c r="BD39" i="12"/>
  <c r="BC61" i="12"/>
  <c r="BE33" i="12"/>
  <c r="BE32" i="12"/>
  <c r="DG45" i="12"/>
  <c r="BE67" i="12"/>
  <c r="BE46" i="12"/>
  <c r="I27" i="6"/>
  <c r="I30" i="6" s="1"/>
  <c r="I70" i="6" s="1"/>
  <c r="G31" i="6"/>
  <c r="H68" i="6"/>
  <c r="I25" i="6" l="1"/>
  <c r="BD53" i="12"/>
  <c r="BD54" i="12" s="1"/>
  <c r="BD62" i="12" s="1"/>
  <c r="BE35" i="12"/>
  <c r="BE66" i="12"/>
  <c r="DG48" i="12"/>
  <c r="DG68" i="12" s="1"/>
  <c r="BF44" i="12"/>
  <c r="BF47" i="12" s="1"/>
  <c r="J27" i="6"/>
  <c r="J30" i="6" s="1"/>
  <c r="H32" i="6"/>
  <c r="H33" i="6"/>
  <c r="I28" i="6"/>
  <c r="I69" i="6"/>
  <c r="BD55" i="12" l="1"/>
  <c r="BD63" i="12" s="1"/>
  <c r="BD61" i="12" s="1"/>
  <c r="BE38" i="12"/>
  <c r="BE37" i="12"/>
  <c r="BE36" i="12"/>
  <c r="DH45" i="12"/>
  <c r="DH48" i="12" s="1"/>
  <c r="DH68" i="12" s="1"/>
  <c r="BF43" i="12"/>
  <c r="BF31" i="12" s="1"/>
  <c r="BF34" i="12" s="1"/>
  <c r="BE25" i="12"/>
  <c r="BF46" i="12"/>
  <c r="BF67" i="12"/>
  <c r="H31" i="6"/>
  <c r="I68" i="6"/>
  <c r="J70" i="6"/>
  <c r="J26" i="6"/>
  <c r="J25" i="6" s="1"/>
  <c r="BE39" i="12" l="1"/>
  <c r="BE40" i="12"/>
  <c r="BF35" i="12"/>
  <c r="BF36" i="12" s="1"/>
  <c r="BF33" i="12"/>
  <c r="BF32" i="12"/>
  <c r="DI45" i="12"/>
  <c r="DI48" i="12" s="1"/>
  <c r="DI68" i="12" s="1"/>
  <c r="J29" i="6"/>
  <c r="BG44" i="12"/>
  <c r="BG47" i="12" s="1"/>
  <c r="BF66" i="12"/>
  <c r="AG50" i="12"/>
  <c r="I33" i="6"/>
  <c r="I32" i="6"/>
  <c r="K27" i="6"/>
  <c r="K30" i="6" s="1"/>
  <c r="BE53" i="12" l="1"/>
  <c r="BE54" i="12" s="1"/>
  <c r="BE62" i="12" s="1"/>
  <c r="BF38" i="12"/>
  <c r="BF37" i="12"/>
  <c r="DJ45" i="12"/>
  <c r="DJ48" i="12" s="1"/>
  <c r="DJ68" i="12" s="1"/>
  <c r="BG43" i="12"/>
  <c r="BG31" i="12" s="1"/>
  <c r="BG34" i="12" s="1"/>
  <c r="I31" i="6"/>
  <c r="J28" i="6"/>
  <c r="J69" i="6"/>
  <c r="K70" i="6"/>
  <c r="BE55" i="12" l="1"/>
  <c r="BE63" i="12" s="1"/>
  <c r="BE61" i="12" s="1"/>
  <c r="BF39" i="12"/>
  <c r="BF40" i="12"/>
  <c r="BG32" i="12"/>
  <c r="BG33" i="12"/>
  <c r="DK45" i="12"/>
  <c r="DK48" i="12" s="1"/>
  <c r="DK68" i="12" s="1"/>
  <c r="BF25" i="12"/>
  <c r="BG46" i="12"/>
  <c r="BG67" i="12"/>
  <c r="K26" i="6"/>
  <c r="K25" i="6" s="1"/>
  <c r="L27" i="6"/>
  <c r="L30" i="6" s="1"/>
  <c r="J68" i="6"/>
  <c r="BF53" i="12" l="1"/>
  <c r="BF54" i="12" s="1"/>
  <c r="BF62" i="12" s="1"/>
  <c r="BG35" i="12"/>
  <c r="DL45" i="12"/>
  <c r="DL48" i="12" s="1"/>
  <c r="DL68" i="12" s="1"/>
  <c r="K29" i="6"/>
  <c r="K28" i="6" s="1"/>
  <c r="BG66" i="12"/>
  <c r="BH44" i="12"/>
  <c r="BH47" i="12" s="1"/>
  <c r="J32" i="6"/>
  <c r="J33" i="6"/>
  <c r="L70" i="6"/>
  <c r="BF55" i="12" l="1"/>
  <c r="BF63" i="12" s="1"/>
  <c r="BF61" i="12" s="1"/>
  <c r="BG38" i="12"/>
  <c r="BG37" i="12"/>
  <c r="BG36" i="12"/>
  <c r="DM45" i="12"/>
  <c r="DM48" i="12" s="1"/>
  <c r="DM68" i="12" s="1"/>
  <c r="J31" i="6"/>
  <c r="BH43" i="12"/>
  <c r="BH31" i="12" s="1"/>
  <c r="BH34" i="12" s="1"/>
  <c r="K69" i="6"/>
  <c r="M27" i="6"/>
  <c r="M30" i="6" s="1"/>
  <c r="BG39" i="12" l="1"/>
  <c r="BG40" i="12"/>
  <c r="BH33" i="12"/>
  <c r="BH32" i="12"/>
  <c r="DN45" i="12"/>
  <c r="DN48" i="12" s="1"/>
  <c r="DN68" i="12" s="1"/>
  <c r="L26" i="6"/>
  <c r="L29" i="6" s="1"/>
  <c r="BG25" i="12"/>
  <c r="BH46" i="12"/>
  <c r="BH67" i="12"/>
  <c r="K68" i="6"/>
  <c r="K33" i="6" s="1"/>
  <c r="M70" i="6"/>
  <c r="BG53" i="12" l="1"/>
  <c r="BG55" i="12" s="1"/>
  <c r="BH35" i="12"/>
  <c r="BH36" i="12" s="1"/>
  <c r="DO45" i="12"/>
  <c r="DO48" i="12" s="1"/>
  <c r="DO68" i="12" s="1"/>
  <c r="K32" i="6"/>
  <c r="K31" i="6" s="1"/>
  <c r="L69" i="6"/>
  <c r="M26" i="6" s="1"/>
  <c r="M29" i="6" s="1"/>
  <c r="L28" i="6"/>
  <c r="L25" i="6"/>
  <c r="BH66" i="12"/>
  <c r="BI44" i="12"/>
  <c r="BI47" i="12" s="1"/>
  <c r="AH50" i="12"/>
  <c r="N27" i="6"/>
  <c r="N30" i="6" s="1"/>
  <c r="BG54" i="12" l="1"/>
  <c r="BG62" i="12" s="1"/>
  <c r="BH38" i="12"/>
  <c r="BH37" i="12"/>
  <c r="BG63" i="12"/>
  <c r="DP45" i="12"/>
  <c r="DP48" i="12" s="1"/>
  <c r="DP68" i="12" s="1"/>
  <c r="L68" i="6"/>
  <c r="L33" i="6" s="1"/>
  <c r="BI43" i="12"/>
  <c r="BI31" i="12" s="1"/>
  <c r="BI34" i="12" s="1"/>
  <c r="N70" i="6"/>
  <c r="M25" i="6"/>
  <c r="BH39" i="12" l="1"/>
  <c r="BG61" i="12"/>
  <c r="BH40" i="12"/>
  <c r="BI33" i="12"/>
  <c r="BI32" i="12"/>
  <c r="DQ45" i="12"/>
  <c r="L32" i="6"/>
  <c r="L31" i="6" s="1"/>
  <c r="BH25" i="12"/>
  <c r="BI46" i="12"/>
  <c r="BI67" i="12"/>
  <c r="M28" i="6"/>
  <c r="M69" i="6"/>
  <c r="O27" i="6"/>
  <c r="O30" i="6" s="1"/>
  <c r="BH53" i="12" l="1"/>
  <c r="BH54" i="12" s="1"/>
  <c r="BH62" i="12" s="1"/>
  <c r="BI35" i="12"/>
  <c r="DQ48" i="12"/>
  <c r="DQ68" i="12" s="1"/>
  <c r="BJ44" i="12"/>
  <c r="BJ47" i="12" s="1"/>
  <c r="BI66" i="12"/>
  <c r="O70" i="6"/>
  <c r="N26" i="6"/>
  <c r="N29" i="6" s="1"/>
  <c r="M68" i="6"/>
  <c r="BH55" i="12" l="1"/>
  <c r="BH63" i="12" s="1"/>
  <c r="BH61" i="12" s="1"/>
  <c r="BI38" i="12"/>
  <c r="BI37" i="12"/>
  <c r="BI36" i="12"/>
  <c r="DR45" i="12"/>
  <c r="DR48" i="12" s="1"/>
  <c r="BI25" i="12"/>
  <c r="BJ43" i="12"/>
  <c r="BJ31" i="12" s="1"/>
  <c r="BJ34" i="12" s="1"/>
  <c r="M33" i="6"/>
  <c r="M32" i="6"/>
  <c r="N28" i="6"/>
  <c r="N69" i="6"/>
  <c r="N25" i="6"/>
  <c r="P27" i="6"/>
  <c r="P30" i="6" s="1"/>
  <c r="BI39" i="12" l="1"/>
  <c r="BI40" i="12"/>
  <c r="BJ32" i="12"/>
  <c r="BJ33" i="12"/>
  <c r="DR68" i="12"/>
  <c r="BJ67" i="12"/>
  <c r="BJ46" i="12"/>
  <c r="O26" i="6"/>
  <c r="P70" i="6"/>
  <c r="M31" i="6"/>
  <c r="N68" i="6"/>
  <c r="BI53" i="12" l="1"/>
  <c r="BI54" i="12" s="1"/>
  <c r="BI62" i="12" s="1"/>
  <c r="BJ35" i="12"/>
  <c r="DS45" i="12"/>
  <c r="O29" i="6"/>
  <c r="O28" i="6" s="1"/>
  <c r="BK44" i="12"/>
  <c r="BK47" i="12" s="1"/>
  <c r="BJ66" i="12"/>
  <c r="AI50" i="12"/>
  <c r="O25" i="6"/>
  <c r="N32" i="6"/>
  <c r="N33" i="6"/>
  <c r="Q27" i="6"/>
  <c r="BI55" i="12" l="1"/>
  <c r="BI63" i="12" s="1"/>
  <c r="BI61" i="12" s="1"/>
  <c r="BJ38" i="12"/>
  <c r="BJ37" i="12"/>
  <c r="BJ36" i="12"/>
  <c r="DS48" i="12"/>
  <c r="DS68" i="12" s="1"/>
  <c r="Q30" i="6"/>
  <c r="Q70" i="6" s="1"/>
  <c r="O69" i="6"/>
  <c r="P26" i="6" s="1"/>
  <c r="P25" i="6" s="1"/>
  <c r="BK43" i="12"/>
  <c r="BK31" i="12" s="1"/>
  <c r="BK34" i="12" s="1"/>
  <c r="N31" i="6"/>
  <c r="BJ39" i="12" l="1"/>
  <c r="BJ40" i="12"/>
  <c r="BK33" i="12"/>
  <c r="BK32" i="12"/>
  <c r="DT45" i="12"/>
  <c r="DT48" i="12" s="1"/>
  <c r="DT68" i="12" s="1"/>
  <c r="R27" i="6"/>
  <c r="R30" i="6" s="1"/>
  <c r="R70" i="6" s="1"/>
  <c r="P29" i="6"/>
  <c r="O68" i="6"/>
  <c r="O32" i="6" s="1"/>
  <c r="BJ25" i="12"/>
  <c r="BK67" i="12"/>
  <c r="BK46" i="12"/>
  <c r="E17" i="7"/>
  <c r="BJ53" i="12" l="1"/>
  <c r="BJ54" i="12" s="1"/>
  <c r="BJ62" i="12" s="1"/>
  <c r="BK35" i="12"/>
  <c r="BK36" i="12" s="1"/>
  <c r="DU45" i="12"/>
  <c r="DU48" i="12" s="1"/>
  <c r="DU68" i="12" s="1"/>
  <c r="O33" i="6"/>
  <c r="O31" i="6" s="1"/>
  <c r="BK66" i="12"/>
  <c r="BL44" i="12"/>
  <c r="BL47" i="12" s="1"/>
  <c r="S27" i="6"/>
  <c r="S30" i="6" s="1"/>
  <c r="P28" i="6"/>
  <c r="P69" i="6"/>
  <c r="BJ55" i="12" l="1"/>
  <c r="BJ63" i="12" s="1"/>
  <c r="BJ61" i="12" s="1"/>
  <c r="BK38" i="12"/>
  <c r="BK37" i="12"/>
  <c r="BL43" i="12"/>
  <c r="Q26" i="6"/>
  <c r="Q25" i="6" s="1"/>
  <c r="P68" i="6"/>
  <c r="S70" i="6"/>
  <c r="BK40" i="12" l="1"/>
  <c r="BK39" i="12"/>
  <c r="I17" i="13"/>
  <c r="I38" i="13" s="1"/>
  <c r="BL31" i="12"/>
  <c r="BL34" i="12" s="1"/>
  <c r="Q29" i="6"/>
  <c r="Q28" i="6" s="1"/>
  <c r="BL46" i="12"/>
  <c r="BL67" i="12"/>
  <c r="BK25" i="12"/>
  <c r="P33" i="6"/>
  <c r="P32" i="6"/>
  <c r="E25" i="7"/>
  <c r="T27" i="6"/>
  <c r="T30" i="6" s="1"/>
  <c r="BK53" i="12" l="1"/>
  <c r="BK55" i="12" s="1"/>
  <c r="BK63" i="12" s="1"/>
  <c r="I18" i="13"/>
  <c r="I39" i="13" s="1"/>
  <c r="BL35" i="12"/>
  <c r="BL33" i="12"/>
  <c r="BL32" i="12"/>
  <c r="BL66" i="12"/>
  <c r="BM44" i="12"/>
  <c r="BM47" i="12" s="1"/>
  <c r="AJ50" i="12"/>
  <c r="Q69" i="6"/>
  <c r="P31" i="6"/>
  <c r="T70" i="6"/>
  <c r="BK54" i="12" l="1"/>
  <c r="BK62" i="12" s="1"/>
  <c r="BK61" i="12" s="1"/>
  <c r="BL38" i="12"/>
  <c r="BL37" i="12"/>
  <c r="BL36" i="12"/>
  <c r="Q68" i="6"/>
  <c r="Q33" i="6" s="1"/>
  <c r="BM43" i="12"/>
  <c r="BM31" i="12" s="1"/>
  <c r="BM34" i="12" s="1"/>
  <c r="BL25" i="12"/>
  <c r="I25" i="13"/>
  <c r="R26" i="6"/>
  <c r="R25" i="6" s="1"/>
  <c r="U27" i="6"/>
  <c r="U30" i="6" s="1"/>
  <c r="BL39" i="12" l="1"/>
  <c r="BL40" i="12"/>
  <c r="BM33" i="12"/>
  <c r="BM32" i="12"/>
  <c r="Q32" i="6"/>
  <c r="Q31" i="6" s="1"/>
  <c r="R29" i="6"/>
  <c r="R28" i="6" s="1"/>
  <c r="BM46" i="12"/>
  <c r="BM67" i="12"/>
  <c r="U70" i="6"/>
  <c r="BL53" i="12" l="1"/>
  <c r="BL55" i="12" s="1"/>
  <c r="BM35" i="12"/>
  <c r="R69" i="6"/>
  <c r="R68" i="6" s="1"/>
  <c r="BN44" i="12"/>
  <c r="BN47" i="12" s="1"/>
  <c r="BM66" i="12"/>
  <c r="V27" i="6"/>
  <c r="S26" i="6" l="1"/>
  <c r="S29" i="6" s="1"/>
  <c r="BL54" i="12"/>
  <c r="BL62" i="12" s="1"/>
  <c r="BM38" i="12"/>
  <c r="BM37" i="12"/>
  <c r="BM36" i="12"/>
  <c r="BL63" i="12"/>
  <c r="V30" i="6"/>
  <c r="V70" i="6" s="1"/>
  <c r="W27" i="6" s="1"/>
  <c r="BN43" i="12"/>
  <c r="BN31" i="12" s="1"/>
  <c r="BN34" i="12" s="1"/>
  <c r="BM25" i="12"/>
  <c r="R33" i="6"/>
  <c r="R32" i="6"/>
  <c r="S28" i="6"/>
  <c r="S25" i="6"/>
  <c r="BM39" i="12" l="1"/>
  <c r="BM40" i="12"/>
  <c r="BL61" i="12"/>
  <c r="BN32" i="12"/>
  <c r="BN33" i="12"/>
  <c r="BN67" i="12"/>
  <c r="W30" i="6"/>
  <c r="W70" i="6" s="1"/>
  <c r="BN46" i="12"/>
  <c r="S69" i="6"/>
  <c r="T26" i="6" s="1"/>
  <c r="T25" i="6" s="1"/>
  <c r="R31" i="6"/>
  <c r="BM53" i="12" l="1"/>
  <c r="BM54" i="12" s="1"/>
  <c r="BM62" i="12" s="1"/>
  <c r="BN35" i="12"/>
  <c r="BN36" i="12" s="1"/>
  <c r="BO44" i="12"/>
  <c r="BO47" i="12" s="1"/>
  <c r="BN66" i="12"/>
  <c r="S68" i="6"/>
  <c r="S33" i="6" s="1"/>
  <c r="T29" i="6"/>
  <c r="BN25" i="12"/>
  <c r="AK50" i="12"/>
  <c r="X27" i="6"/>
  <c r="X30" i="6" s="1"/>
  <c r="BM55" i="12" l="1"/>
  <c r="BM63" i="12" s="1"/>
  <c r="BM61" i="12" s="1"/>
  <c r="BN38" i="12"/>
  <c r="BN37" i="12"/>
  <c r="BO67" i="12"/>
  <c r="BO66" i="12" s="1"/>
  <c r="S32" i="6"/>
  <c r="S31" i="6" s="1"/>
  <c r="BO43" i="12"/>
  <c r="BO31" i="12" s="1"/>
  <c r="BO34" i="12" s="1"/>
  <c r="BO46" i="12"/>
  <c r="T69" i="6"/>
  <c r="T28" i="6"/>
  <c r="BN40" i="12" l="1"/>
  <c r="BN39" i="12"/>
  <c r="BP44" i="12"/>
  <c r="BP47" i="12" s="1"/>
  <c r="BO35" i="12"/>
  <c r="BO36" i="12" s="1"/>
  <c r="BO33" i="12"/>
  <c r="BO32" i="12"/>
  <c r="U26" i="6"/>
  <c r="U25" i="6" s="1"/>
  <c r="T68" i="6"/>
  <c r="X70" i="6"/>
  <c r="BN53" i="12" l="1"/>
  <c r="BN54" i="12" s="1"/>
  <c r="BN62" i="12" s="1"/>
  <c r="BO38" i="12"/>
  <c r="BO37" i="12"/>
  <c r="BP43" i="12"/>
  <c r="BP31" i="12" s="1"/>
  <c r="BP34" i="12" s="1"/>
  <c r="U29" i="6"/>
  <c r="U28" i="6" s="1"/>
  <c r="BO25" i="12"/>
  <c r="BP46" i="12"/>
  <c r="BP67" i="12"/>
  <c r="T32" i="6"/>
  <c r="T33" i="6"/>
  <c r="Y27" i="6"/>
  <c r="Y30" i="6" s="1"/>
  <c r="BO40" i="12" l="1"/>
  <c r="BN55" i="12"/>
  <c r="BN63" i="12" s="1"/>
  <c r="BO39" i="12"/>
  <c r="BP32" i="12"/>
  <c r="BP33" i="12"/>
  <c r="BP35" i="12"/>
  <c r="BP66" i="12"/>
  <c r="BQ44" i="12"/>
  <c r="BQ47" i="12" s="1"/>
  <c r="U69" i="6"/>
  <c r="T31" i="6"/>
  <c r="Y70" i="6"/>
  <c r="BO53" i="12" l="1"/>
  <c r="BO55" i="12" s="1"/>
  <c r="BO63" i="12" s="1"/>
  <c r="BP38" i="12"/>
  <c r="BP37" i="12"/>
  <c r="BP36" i="12"/>
  <c r="BN61" i="12"/>
  <c r="V26" i="6"/>
  <c r="V25" i="6" s="1"/>
  <c r="BQ43" i="12"/>
  <c r="BQ31" i="12" s="1"/>
  <c r="BQ34" i="12" s="1"/>
  <c r="U68" i="6"/>
  <c r="U33" i="6" s="1"/>
  <c r="Z27" i="6"/>
  <c r="Z30" i="6" s="1"/>
  <c r="BO54" i="12" l="1"/>
  <c r="BO62" i="12" s="1"/>
  <c r="BO61" i="12" s="1"/>
  <c r="BP39" i="12"/>
  <c r="BP40" i="12"/>
  <c r="BQ33" i="12"/>
  <c r="BQ32" i="12"/>
  <c r="V29" i="6"/>
  <c r="V28" i="6" s="1"/>
  <c r="U32" i="6"/>
  <c r="U31" i="6" s="1"/>
  <c r="BP25" i="12"/>
  <c r="BQ46" i="12"/>
  <c r="BQ67" i="12"/>
  <c r="AL50" i="12"/>
  <c r="Z70" i="6"/>
  <c r="BP53" i="12" l="1"/>
  <c r="BP55" i="12" s="1"/>
  <c r="BQ35" i="12"/>
  <c r="V69" i="6"/>
  <c r="W26" i="6" s="1"/>
  <c r="BQ66" i="12"/>
  <c r="BR44" i="12"/>
  <c r="BR47" i="12" s="1"/>
  <c r="AA27" i="6"/>
  <c r="AA30" i="6" s="1"/>
  <c r="BP54" i="12" l="1"/>
  <c r="BP62" i="12" s="1"/>
  <c r="BQ38" i="12"/>
  <c r="BQ37" i="12"/>
  <c r="BQ36" i="12"/>
  <c r="BP63" i="12"/>
  <c r="V68" i="6"/>
  <c r="V33" i="6" s="1"/>
  <c r="W29" i="6"/>
  <c r="W28" i="6" s="1"/>
  <c r="W25" i="6"/>
  <c r="BR43" i="12"/>
  <c r="BR31" i="12" s="1"/>
  <c r="BR34" i="12" s="1"/>
  <c r="BQ25" i="12"/>
  <c r="AA70" i="6"/>
  <c r="BP61" i="12" l="1"/>
  <c r="BQ40" i="12"/>
  <c r="BQ39" i="12"/>
  <c r="BR33" i="12"/>
  <c r="BR32" i="12"/>
  <c r="V32" i="6"/>
  <c r="V31" i="6" s="1"/>
  <c r="W69" i="6"/>
  <c r="W68" i="6" s="1"/>
  <c r="BR46" i="12"/>
  <c r="BR67" i="12"/>
  <c r="AB27" i="6"/>
  <c r="AB30" i="6" s="1"/>
  <c r="BQ53" i="12" l="1"/>
  <c r="BQ54" i="12" s="1"/>
  <c r="BQ62" i="12" s="1"/>
  <c r="X26" i="6"/>
  <c r="X29" i="6" s="1"/>
  <c r="BR35" i="12"/>
  <c r="BR66" i="12"/>
  <c r="BS44" i="12"/>
  <c r="BS47" i="12" s="1"/>
  <c r="W33" i="6"/>
  <c r="W32" i="6"/>
  <c r="AB70" i="6"/>
  <c r="X25" i="6" l="1"/>
  <c r="BQ55" i="12"/>
  <c r="BQ63" i="12" s="1"/>
  <c r="BQ61" i="12" s="1"/>
  <c r="BR38" i="12"/>
  <c r="BR37" i="12"/>
  <c r="BR36" i="12"/>
  <c r="X28" i="6"/>
  <c r="X69" i="6"/>
  <c r="Y26" i="6" s="1"/>
  <c r="BS43" i="12"/>
  <c r="BS31" i="12" s="1"/>
  <c r="BS34" i="12" s="1"/>
  <c r="BR25" i="12"/>
  <c r="AC27" i="6"/>
  <c r="W31" i="6"/>
  <c r="BR39" i="12" l="1"/>
  <c r="BR40" i="12"/>
  <c r="BS33" i="12"/>
  <c r="BS32" i="12"/>
  <c r="Y29" i="6"/>
  <c r="Y28" i="6" s="1"/>
  <c r="AC30" i="6"/>
  <c r="AC70" i="6" s="1"/>
  <c r="BS46" i="12"/>
  <c r="BS67" i="12"/>
  <c r="AM50" i="12"/>
  <c r="X68" i="6"/>
  <c r="Y25" i="6"/>
  <c r="BR53" i="12" l="1"/>
  <c r="BR54" i="12" s="1"/>
  <c r="BR62" i="12" s="1"/>
  <c r="BS35" i="12"/>
  <c r="BS36" i="12" s="1"/>
  <c r="AD27" i="6"/>
  <c r="AD30" i="6" s="1"/>
  <c r="BT44" i="12"/>
  <c r="BT47" i="12" s="1"/>
  <c r="BS66" i="12"/>
  <c r="X32" i="6"/>
  <c r="X33" i="6"/>
  <c r="Y69" i="6"/>
  <c r="BR55" i="12" l="1"/>
  <c r="BR63" i="12" s="1"/>
  <c r="BS38" i="12"/>
  <c r="BS37" i="12"/>
  <c r="Z26" i="6"/>
  <c r="Z29" i="6" s="1"/>
  <c r="Z28" i="6" s="1"/>
  <c r="BT43" i="12"/>
  <c r="BT31" i="12" s="1"/>
  <c r="BT34" i="12" s="1"/>
  <c r="X31" i="6"/>
  <c r="Y68" i="6"/>
  <c r="AD70" i="6"/>
  <c r="BS40" i="12" l="1"/>
  <c r="BS39" i="12"/>
  <c r="BR61" i="12"/>
  <c r="BT33" i="12"/>
  <c r="BT32" i="12"/>
  <c r="Z25" i="6"/>
  <c r="BT46" i="12"/>
  <c r="BT67" i="12"/>
  <c r="BS25" i="12"/>
  <c r="Z69" i="6"/>
  <c r="AA26" i="6" s="1"/>
  <c r="Y33" i="6"/>
  <c r="Y32" i="6"/>
  <c r="AE27" i="6"/>
  <c r="AE30" i="6" s="1"/>
  <c r="BS53" i="12" l="1"/>
  <c r="BS54" i="12" s="1"/>
  <c r="BS62" i="12" s="1"/>
  <c r="BT35" i="12"/>
  <c r="BT36" i="12" s="1"/>
  <c r="Y31" i="6"/>
  <c r="AA29" i="6"/>
  <c r="Z68" i="6"/>
  <c r="Z32" i="6" s="1"/>
  <c r="BU44" i="12"/>
  <c r="BU47" i="12" s="1"/>
  <c r="BT66" i="12"/>
  <c r="AE70" i="6"/>
  <c r="AA25" i="6"/>
  <c r="BS55" i="12" l="1"/>
  <c r="BS63" i="12" s="1"/>
  <c r="BS61" i="12" s="1"/>
  <c r="BT38" i="12"/>
  <c r="BT37" i="12"/>
  <c r="Z33" i="6"/>
  <c r="Z31" i="6" s="1"/>
  <c r="BU46" i="12"/>
  <c r="BU43" i="12"/>
  <c r="BU31" i="12" s="1"/>
  <c r="BU34" i="12" s="1"/>
  <c r="BT25" i="12"/>
  <c r="AA28" i="6"/>
  <c r="AA69" i="6"/>
  <c r="AF27" i="6"/>
  <c r="AF30" i="6" s="1"/>
  <c r="BT39" i="12" l="1"/>
  <c r="BT40" i="12"/>
  <c r="BU35" i="12"/>
  <c r="BU36" i="12" s="1"/>
  <c r="BU33" i="12"/>
  <c r="BU32" i="12"/>
  <c r="BU67" i="12"/>
  <c r="BU25" i="12"/>
  <c r="BV25" i="12"/>
  <c r="G22" i="13"/>
  <c r="AN50" i="12"/>
  <c r="G21" i="13" s="1"/>
  <c r="AA68" i="6"/>
  <c r="AF70" i="6"/>
  <c r="AB26" i="6"/>
  <c r="AB25" i="6" s="1"/>
  <c r="F17" i="7" s="1"/>
  <c r="BT53" i="12" l="1"/>
  <c r="BT55" i="12" s="1"/>
  <c r="BU38" i="12"/>
  <c r="BU37" i="12"/>
  <c r="BU66" i="12"/>
  <c r="BV44" i="12"/>
  <c r="BV47" i="12" s="1"/>
  <c r="AB29" i="6"/>
  <c r="AB28" i="6" s="1"/>
  <c r="G40" i="13"/>
  <c r="G41" i="13" s="1"/>
  <c r="AA33" i="6"/>
  <c r="AA32" i="6"/>
  <c r="AG27" i="6"/>
  <c r="BT54" i="12" l="1"/>
  <c r="BT62" i="12" s="1"/>
  <c r="G42" i="13"/>
  <c r="G59" i="13" s="1"/>
  <c r="BU39" i="12"/>
  <c r="BU40" i="12"/>
  <c r="BT63" i="12"/>
  <c r="BV43" i="12"/>
  <c r="BV31" i="12" s="1"/>
  <c r="BV34" i="12" s="1"/>
  <c r="AG30" i="6"/>
  <c r="AG70" i="6" s="1"/>
  <c r="BW25" i="12"/>
  <c r="AA31" i="6"/>
  <c r="AB69" i="6"/>
  <c r="BU53" i="12" l="1"/>
  <c r="BU55" i="12" s="1"/>
  <c r="BT61" i="12"/>
  <c r="BV33" i="12"/>
  <c r="BV32" i="12"/>
  <c r="BV67" i="12"/>
  <c r="BV46" i="12"/>
  <c r="AH27" i="6"/>
  <c r="AH30" i="6" s="1"/>
  <c r="AH70" i="6" s="1"/>
  <c r="G27" i="13"/>
  <c r="G28" i="13"/>
  <c r="AC26" i="6"/>
  <c r="AC25" i="6" s="1"/>
  <c r="AB68" i="6"/>
  <c r="BU54" i="12" l="1"/>
  <c r="BU62" i="12" s="1"/>
  <c r="BU63" i="12"/>
  <c r="BV66" i="12"/>
  <c r="BV35" i="12"/>
  <c r="BV36" i="12" s="1"/>
  <c r="BW44" i="12"/>
  <c r="BW47" i="12" s="1"/>
  <c r="AC29" i="6"/>
  <c r="AC28" i="6" s="1"/>
  <c r="AB33" i="6"/>
  <c r="AB32" i="6"/>
  <c r="F25" i="7"/>
  <c r="AI27" i="6"/>
  <c r="AI30" i="6" s="1"/>
  <c r="BV38" i="12" l="1"/>
  <c r="BV37" i="12"/>
  <c r="BU61" i="12"/>
  <c r="BW43" i="12"/>
  <c r="BW31" i="12" s="1"/>
  <c r="BW34" i="12" s="1"/>
  <c r="BW46" i="12"/>
  <c r="BW67" i="12"/>
  <c r="AC69" i="6"/>
  <c r="AC68" i="6" s="1"/>
  <c r="AB31" i="6"/>
  <c r="BV40" i="12" l="1"/>
  <c r="BV39" i="12"/>
  <c r="BW35" i="12"/>
  <c r="BW36" i="12" s="1"/>
  <c r="BW32" i="12"/>
  <c r="BW33" i="12"/>
  <c r="BX44" i="12"/>
  <c r="BX47" i="12" s="1"/>
  <c r="BW66" i="12"/>
  <c r="AD26" i="6"/>
  <c r="AD29" i="6" s="1"/>
  <c r="AD69" i="6" s="1"/>
  <c r="BX25" i="12"/>
  <c r="AO50" i="12"/>
  <c r="AC33" i="6"/>
  <c r="AC32" i="6"/>
  <c r="AI70" i="6"/>
  <c r="BV53" i="12" l="1"/>
  <c r="BV54" i="12" s="1"/>
  <c r="BV62" i="12" s="1"/>
  <c r="BW38" i="12"/>
  <c r="BW37" i="12"/>
  <c r="BX43" i="12"/>
  <c r="AD25" i="6"/>
  <c r="AD28" i="6"/>
  <c r="BX46" i="12"/>
  <c r="BX67" i="12"/>
  <c r="AC31" i="6"/>
  <c r="AE26" i="6"/>
  <c r="AE25" i="6" s="1"/>
  <c r="AD68" i="6"/>
  <c r="AJ27" i="6"/>
  <c r="AJ30" i="6" s="1"/>
  <c r="BV55" i="12" l="1"/>
  <c r="BV63" i="12" s="1"/>
  <c r="BV61" i="12" s="1"/>
  <c r="BW40" i="12"/>
  <c r="BW39" i="12"/>
  <c r="J18" i="13"/>
  <c r="J39" i="13" s="1"/>
  <c r="J17" i="13"/>
  <c r="J38" i="13" s="1"/>
  <c r="BX31" i="12"/>
  <c r="BX34" i="12" s="1"/>
  <c r="AE29" i="6"/>
  <c r="AE28" i="6" s="1"/>
  <c r="BY44" i="12"/>
  <c r="BY47" i="12" s="1"/>
  <c r="BX66" i="12"/>
  <c r="BY25" i="12"/>
  <c r="AD32" i="6"/>
  <c r="AD33" i="6"/>
  <c r="AJ70" i="6"/>
  <c r="BW53" i="12" l="1"/>
  <c r="BW55" i="12" s="1"/>
  <c r="BX35" i="12"/>
  <c r="BX33" i="12"/>
  <c r="BX32" i="12"/>
  <c r="AE69" i="6"/>
  <c r="AF26" i="6" s="1"/>
  <c r="AF29" i="6" s="1"/>
  <c r="J25" i="13"/>
  <c r="BY43" i="12"/>
  <c r="BY31" i="12" s="1"/>
  <c r="BY34" i="12" s="1"/>
  <c r="AK27" i="6"/>
  <c r="AK30" i="6" s="1"/>
  <c r="AD31" i="6"/>
  <c r="BW54" i="12" l="1"/>
  <c r="BW62" i="12" s="1"/>
  <c r="BX38" i="12"/>
  <c r="BX37" i="12"/>
  <c r="BX36" i="12"/>
  <c r="BW63" i="12"/>
  <c r="BY33" i="12"/>
  <c r="BY32" i="12"/>
  <c r="AE68" i="6"/>
  <c r="AE32" i="6" s="1"/>
  <c r="BY46" i="12"/>
  <c r="BY67" i="12"/>
  <c r="AK70" i="6"/>
  <c r="AF25" i="6"/>
  <c r="BX39" i="12" l="1"/>
  <c r="AE33" i="6"/>
  <c r="AE31" i="6" s="1"/>
  <c r="BX40" i="12"/>
  <c r="BW61" i="12"/>
  <c r="BY35" i="12"/>
  <c r="BZ44" i="12"/>
  <c r="BZ47" i="12" s="1"/>
  <c r="BY66" i="12"/>
  <c r="BZ25" i="12"/>
  <c r="AF69" i="6"/>
  <c r="AL27" i="6"/>
  <c r="AL30" i="6" s="1"/>
  <c r="AF28" i="6"/>
  <c r="BX53" i="12" l="1"/>
  <c r="BX54" i="12" s="1"/>
  <c r="BX62" i="12" s="1"/>
  <c r="BY38" i="12"/>
  <c r="BY37" i="12"/>
  <c r="BY36" i="12"/>
  <c r="BZ43" i="12"/>
  <c r="BZ31" i="12" s="1"/>
  <c r="BZ34" i="12" s="1"/>
  <c r="AP50" i="12"/>
  <c r="AL70" i="6"/>
  <c r="AG26" i="6"/>
  <c r="AG29" i="6" s="1"/>
  <c r="AF68" i="6"/>
  <c r="BX55" i="12" l="1"/>
  <c r="BX63" i="12" s="1"/>
  <c r="BY39" i="12"/>
  <c r="BY40" i="12"/>
  <c r="BZ32" i="12"/>
  <c r="BZ33" i="12"/>
  <c r="BZ46" i="12"/>
  <c r="BZ67" i="12"/>
  <c r="AF33" i="6"/>
  <c r="AF32" i="6"/>
  <c r="AM27" i="6"/>
  <c r="AM30" i="6" s="1"/>
  <c r="AG25" i="6"/>
  <c r="BY53" i="12" l="1"/>
  <c r="BY54" i="12" s="1"/>
  <c r="BY62" i="12" s="1"/>
  <c r="BX61" i="12"/>
  <c r="BZ35" i="12"/>
  <c r="BZ36" i="12" s="1"/>
  <c r="CA44" i="12"/>
  <c r="CA47" i="12" s="1"/>
  <c r="BZ66" i="12"/>
  <c r="CA25" i="12"/>
  <c r="AF31" i="6"/>
  <c r="AG69" i="6"/>
  <c r="AM70" i="6"/>
  <c r="AG28" i="6"/>
  <c r="BY55" i="12" l="1"/>
  <c r="BY63" i="12" s="1"/>
  <c r="BY61" i="12" s="1"/>
  <c r="BZ38" i="12"/>
  <c r="BZ37" i="12"/>
  <c r="CA43" i="12"/>
  <c r="CA31" i="12" s="1"/>
  <c r="CA34" i="12" s="1"/>
  <c r="AN27" i="6"/>
  <c r="AN30" i="6" s="1"/>
  <c r="AH26" i="6"/>
  <c r="AH29" i="6" s="1"/>
  <c r="AG68" i="6"/>
  <c r="BZ40" i="12" l="1"/>
  <c r="BZ39" i="12"/>
  <c r="CA33" i="12"/>
  <c r="CA32" i="12"/>
  <c r="CA46" i="12"/>
  <c r="CA67" i="12"/>
  <c r="AG33" i="6"/>
  <c r="AG32" i="6"/>
  <c r="AN70" i="6"/>
  <c r="AH25" i="6"/>
  <c r="BZ53" i="12" l="1"/>
  <c r="BZ54" i="12" s="1"/>
  <c r="BZ62" i="12" s="1"/>
  <c r="CA35" i="12"/>
  <c r="CA36" i="12" s="1"/>
  <c r="CB44" i="12"/>
  <c r="CB47" i="12" s="1"/>
  <c r="CA66" i="12"/>
  <c r="CB25" i="12"/>
  <c r="AO27" i="6"/>
  <c r="AO30" i="6" s="1"/>
  <c r="AG31" i="6"/>
  <c r="AH69" i="6"/>
  <c r="AH28" i="6"/>
  <c r="BZ55" i="12" l="1"/>
  <c r="BZ63" i="12" s="1"/>
  <c r="BZ61" i="12" s="1"/>
  <c r="CA38" i="12"/>
  <c r="CA37" i="12"/>
  <c r="CB43" i="12"/>
  <c r="CB31" i="12" s="1"/>
  <c r="CB34" i="12" s="1"/>
  <c r="AQ50" i="12"/>
  <c r="AO70" i="6"/>
  <c r="AI26" i="6"/>
  <c r="AI29" i="6" s="1"/>
  <c r="AH68" i="6"/>
  <c r="CA39" i="12" l="1"/>
  <c r="CA40" i="12"/>
  <c r="CB33" i="12"/>
  <c r="CB32" i="12"/>
  <c r="CB67" i="12"/>
  <c r="CB46" i="12"/>
  <c r="CC25" i="12"/>
  <c r="AH33" i="6"/>
  <c r="AH32" i="6"/>
  <c r="AP27" i="6"/>
  <c r="AP30" i="6" s="1"/>
  <c r="AI25" i="6"/>
  <c r="CA53" i="12" l="1"/>
  <c r="CA55" i="12" s="1"/>
  <c r="CB35" i="12"/>
  <c r="CB36" i="12" s="1"/>
  <c r="CC44" i="12"/>
  <c r="CC47" i="12" s="1"/>
  <c r="CB66" i="12"/>
  <c r="AP70" i="6"/>
  <c r="AH31" i="6"/>
  <c r="AI69" i="6"/>
  <c r="AI28" i="6"/>
  <c r="CA54" i="12" l="1"/>
  <c r="CA62" i="12" s="1"/>
  <c r="CB38" i="12"/>
  <c r="CB37" i="12"/>
  <c r="CA63" i="12"/>
  <c r="CC43" i="12"/>
  <c r="CC31" i="12" s="1"/>
  <c r="CC34" i="12" s="1"/>
  <c r="CD25" i="12"/>
  <c r="AQ27" i="6"/>
  <c r="AQ30" i="6" s="1"/>
  <c r="AJ26" i="6"/>
  <c r="AJ29" i="6" s="1"/>
  <c r="AI68" i="6"/>
  <c r="CA61" i="12" l="1"/>
  <c r="CB39" i="12"/>
  <c r="CB40" i="12"/>
  <c r="CC33" i="12"/>
  <c r="CC32" i="12"/>
  <c r="AQ70" i="6"/>
  <c r="AR27" i="6" s="1"/>
  <c r="AI32" i="6"/>
  <c r="AI33" i="6"/>
  <c r="AJ25" i="6"/>
  <c r="CB53" i="12" l="1"/>
  <c r="CB55" i="12" s="1"/>
  <c r="AR30" i="6"/>
  <c r="AR70" i="6" s="1"/>
  <c r="AI31" i="6"/>
  <c r="AJ69" i="6"/>
  <c r="AJ28" i="6"/>
  <c r="CB54" i="12" l="1"/>
  <c r="CB62" i="12" s="1"/>
  <c r="CB63" i="12"/>
  <c r="CE25" i="12"/>
  <c r="AR50" i="12"/>
  <c r="AS27" i="6"/>
  <c r="AK26" i="6"/>
  <c r="AK29" i="6" s="1"/>
  <c r="AJ68" i="6"/>
  <c r="CB61" i="12" l="1"/>
  <c r="AS30" i="6"/>
  <c r="AS70" i="6" s="1"/>
  <c r="AJ32" i="6"/>
  <c r="AJ33" i="6"/>
  <c r="AK25" i="6"/>
  <c r="AT27" i="6" l="1"/>
  <c r="AT30" i="6" s="1"/>
  <c r="CF25" i="12"/>
  <c r="AJ31" i="6"/>
  <c r="AK69" i="6"/>
  <c r="AK28" i="6"/>
  <c r="AT70" i="6" l="1"/>
  <c r="AL26" i="6"/>
  <c r="AL29" i="6" s="1"/>
  <c r="AK68" i="6"/>
  <c r="AU27" i="6" l="1"/>
  <c r="AU30" i="6" s="1"/>
  <c r="AU70" i="6" s="1"/>
  <c r="CG25" i="12"/>
  <c r="AK33" i="6"/>
  <c r="AK32" i="6"/>
  <c r="AL25" i="6"/>
  <c r="AV27" i="6" l="1"/>
  <c r="AV30" i="6" s="1"/>
  <c r="AV70" i="6" s="1"/>
  <c r="AK31" i="6"/>
  <c r="AL69" i="6"/>
  <c r="AL28" i="6"/>
  <c r="AS50" i="12" l="1"/>
  <c r="AW27" i="6"/>
  <c r="AM26" i="6"/>
  <c r="AM29" i="6" s="1"/>
  <c r="AL68" i="6"/>
  <c r="AW30" i="6" l="1"/>
  <c r="AW70" i="6" s="1"/>
  <c r="CH25" i="12"/>
  <c r="AL33" i="6"/>
  <c r="AL32" i="6"/>
  <c r="AM25" i="6"/>
  <c r="AX27" i="6" l="1"/>
  <c r="AL31" i="6"/>
  <c r="AM69" i="6"/>
  <c r="AM28" i="6"/>
  <c r="AX30" i="6" l="1"/>
  <c r="AX70" i="6" s="1"/>
  <c r="CI25" i="12"/>
  <c r="AN26" i="6"/>
  <c r="AN29" i="6" s="1"/>
  <c r="AM68" i="6"/>
  <c r="AY27" i="6" l="1"/>
  <c r="AY30" i="6" s="1"/>
  <c r="AY70" i="6" s="1"/>
  <c r="AM33" i="6"/>
  <c r="AM32" i="6"/>
  <c r="AN25" i="6"/>
  <c r="G17" i="7" s="1"/>
  <c r="AZ27" i="6" l="1"/>
  <c r="AM31" i="6"/>
  <c r="AN69" i="6"/>
  <c r="AN28" i="6"/>
  <c r="AZ30" i="6" l="1"/>
  <c r="AZ70" i="6" s="1"/>
  <c r="CJ25" i="12"/>
  <c r="AT50" i="12"/>
  <c r="AO26" i="6"/>
  <c r="AO29" i="6" s="1"/>
  <c r="AN68" i="6"/>
  <c r="BA27" i="6" l="1"/>
  <c r="BA30" i="6" s="1"/>
  <c r="BA70" i="6" s="1"/>
  <c r="AN32" i="6"/>
  <c r="AN33" i="6"/>
  <c r="G25" i="7"/>
  <c r="AO25" i="6"/>
  <c r="BB27" i="6" l="1"/>
  <c r="BB30" i="6" s="1"/>
  <c r="BB70" i="6" s="1"/>
  <c r="AN31" i="6"/>
  <c r="AO69" i="6"/>
  <c r="AO28" i="6"/>
  <c r="CK25" i="12" l="1"/>
  <c r="BC27" i="6"/>
  <c r="BC30" i="6" s="1"/>
  <c r="AP26" i="6"/>
  <c r="AP29" i="6" s="1"/>
  <c r="AO68" i="6"/>
  <c r="AO33" i="6" l="1"/>
  <c r="AO32" i="6"/>
  <c r="BC70" i="6"/>
  <c r="AP25" i="6"/>
  <c r="BD27" i="6" l="1"/>
  <c r="BD30" i="6" s="1"/>
  <c r="AO31" i="6"/>
  <c r="AP69" i="6"/>
  <c r="AP28" i="6"/>
  <c r="CL25" i="12" l="1"/>
  <c r="AU50" i="12"/>
  <c r="BD70" i="6"/>
  <c r="AQ26" i="6"/>
  <c r="AQ29" i="6" s="1"/>
  <c r="AP68" i="6"/>
  <c r="AP32" i="6" l="1"/>
  <c r="AP33" i="6"/>
  <c r="BE27" i="6"/>
  <c r="BE30" i="6" s="1"/>
  <c r="AQ25" i="6"/>
  <c r="CM25" i="12" l="1"/>
  <c r="BE70" i="6"/>
  <c r="AP31" i="6"/>
  <c r="AQ69" i="6"/>
  <c r="AQ28" i="6"/>
  <c r="BF27" i="6" l="1"/>
  <c r="BF30" i="6" s="1"/>
  <c r="AR26" i="6"/>
  <c r="AR29" i="6" s="1"/>
  <c r="AQ68" i="6"/>
  <c r="AQ33" i="6" l="1"/>
  <c r="AQ32" i="6"/>
  <c r="BF70" i="6"/>
  <c r="AR25" i="6"/>
  <c r="AQ31" i="6" l="1"/>
  <c r="AR69" i="6"/>
  <c r="BG27" i="6"/>
  <c r="BG30" i="6" s="1"/>
  <c r="AR28" i="6"/>
  <c r="CN25" i="12" l="1"/>
  <c r="AV50" i="12"/>
  <c r="BG70" i="6"/>
  <c r="AS26" i="6"/>
  <c r="AS29" i="6" s="1"/>
  <c r="AR68" i="6"/>
  <c r="CO25" i="12" l="1"/>
  <c r="AR33" i="6"/>
  <c r="AR32" i="6"/>
  <c r="BH27" i="6"/>
  <c r="BH30" i="6" s="1"/>
  <c r="AS25" i="6"/>
  <c r="AR31" i="6" l="1"/>
  <c r="AS69" i="6"/>
  <c r="BH70" i="6"/>
  <c r="AS28" i="6"/>
  <c r="CP25" i="12" l="1"/>
  <c r="BI27" i="6"/>
  <c r="BI30" i="6" s="1"/>
  <c r="AT26" i="6"/>
  <c r="AT29" i="6" s="1"/>
  <c r="AS68" i="6"/>
  <c r="CQ25" i="12" l="1"/>
  <c r="AS33" i="6"/>
  <c r="AS32" i="6"/>
  <c r="BI70" i="6"/>
  <c r="AT25" i="6"/>
  <c r="AS31" i="6" l="1"/>
  <c r="AT69" i="6"/>
  <c r="BJ27" i="6"/>
  <c r="BJ30" i="6" s="1"/>
  <c r="AT28" i="6"/>
  <c r="AW50" i="12" l="1"/>
  <c r="BJ70" i="6"/>
  <c r="AU26" i="6"/>
  <c r="AU29" i="6" s="1"/>
  <c r="AT68" i="6"/>
  <c r="AT32" i="6" l="1"/>
  <c r="AT33" i="6"/>
  <c r="BK27" i="6"/>
  <c r="BK30" i="6" s="1"/>
  <c r="AU25" i="6"/>
  <c r="CR25" i="12" l="1"/>
  <c r="AT31" i="6"/>
  <c r="AU69" i="6"/>
  <c r="BK70" i="6"/>
  <c r="AU28" i="6"/>
  <c r="BL27" i="6" l="1"/>
  <c r="BL30" i="6" s="1"/>
  <c r="AU68" i="6"/>
  <c r="AV26" i="6"/>
  <c r="AV29" i="6" s="1"/>
  <c r="AU32" i="6" l="1"/>
  <c r="AU33" i="6"/>
  <c r="BL70" i="6"/>
  <c r="AV25" i="6"/>
  <c r="CS25" i="12" l="1"/>
  <c r="AU31" i="6"/>
  <c r="AV69" i="6"/>
  <c r="BM27" i="6"/>
  <c r="BM30" i="6" s="1"/>
  <c r="AV28" i="6"/>
  <c r="AX50" i="12" l="1"/>
  <c r="BM70" i="6"/>
  <c r="AW26" i="6"/>
  <c r="AW29" i="6" s="1"/>
  <c r="AV68" i="6"/>
  <c r="AV33" i="6" l="1"/>
  <c r="AV32" i="6"/>
  <c r="BN27" i="6"/>
  <c r="BN30" i="6" s="1"/>
  <c r="AW25" i="6"/>
  <c r="CT25" i="12" l="1"/>
  <c r="CU25" i="12"/>
  <c r="AV31" i="6"/>
  <c r="AW69" i="6"/>
  <c r="BN70" i="6"/>
  <c r="AW28" i="6"/>
  <c r="BO27" i="6" l="1"/>
  <c r="BO30" i="6" s="1"/>
  <c r="AX26" i="6"/>
  <c r="AX29" i="6" s="1"/>
  <c r="AW68" i="6"/>
  <c r="AW33" i="6" l="1"/>
  <c r="AW32" i="6"/>
  <c r="BO70" i="6"/>
  <c r="AX25" i="6"/>
  <c r="BP27" i="6" l="1"/>
  <c r="BP30" i="6" s="1"/>
  <c r="BP70" i="6" s="1"/>
  <c r="AW31" i="6"/>
  <c r="AX69" i="6"/>
  <c r="AX28" i="6"/>
  <c r="CV25" i="12" l="1"/>
  <c r="AY50" i="12"/>
  <c r="AY26" i="6"/>
  <c r="AY29" i="6" s="1"/>
  <c r="AX68" i="6"/>
  <c r="BQ27" i="6"/>
  <c r="BQ30" i="6" s="1"/>
  <c r="AX33" i="6" l="1"/>
  <c r="AX32" i="6"/>
  <c r="AY25" i="6"/>
  <c r="AY69" i="6"/>
  <c r="AX31" i="6" l="1"/>
  <c r="BQ70" i="6"/>
  <c r="AY28" i="6"/>
  <c r="CW25" i="12" l="1"/>
  <c r="BR27" i="6"/>
  <c r="BR30" i="6" s="1"/>
  <c r="AZ26" i="6"/>
  <c r="AZ29" i="6" s="1"/>
  <c r="AY68" i="6"/>
  <c r="AY32" i="6" l="1"/>
  <c r="AY33" i="6"/>
  <c r="BR70" i="6"/>
  <c r="AZ28" i="6"/>
  <c r="AZ69" i="6"/>
  <c r="AZ25" i="6"/>
  <c r="H17" i="7" s="1"/>
  <c r="BS27" i="6" l="1"/>
  <c r="BS30" i="6" s="1"/>
  <c r="AY31" i="6"/>
  <c r="BA26" i="6"/>
  <c r="BA29" i="6" s="1"/>
  <c r="AZ68" i="6"/>
  <c r="CX25" i="12" l="1"/>
  <c r="H22" i="13"/>
  <c r="AZ50" i="12"/>
  <c r="H21" i="13" s="1"/>
  <c r="AZ32" i="6"/>
  <c r="AZ33" i="6"/>
  <c r="BA28" i="6"/>
  <c r="H25" i="7"/>
  <c r="BS70" i="6"/>
  <c r="BA69" i="6"/>
  <c r="BA25" i="6"/>
  <c r="H40" i="13" l="1"/>
  <c r="H41" i="13" s="1"/>
  <c r="BA68" i="6"/>
  <c r="AZ31" i="6"/>
  <c r="BT27" i="6"/>
  <c r="BT30" i="6" s="1"/>
  <c r="BB26" i="6"/>
  <c r="BB29" i="6" s="1"/>
  <c r="H42" i="13" l="1"/>
  <c r="H59" i="13" s="1"/>
  <c r="CY25" i="12"/>
  <c r="BA33" i="6"/>
  <c r="BA32" i="6"/>
  <c r="BB28" i="6"/>
  <c r="BT70" i="6"/>
  <c r="BB25" i="6"/>
  <c r="BB69" i="6"/>
  <c r="H28" i="13" l="1"/>
  <c r="H27" i="13"/>
  <c r="BA31" i="6"/>
  <c r="BB68" i="6"/>
  <c r="BU27" i="6"/>
  <c r="BU30" i="6" s="1"/>
  <c r="BC26" i="6"/>
  <c r="BC29" i="6" s="1"/>
  <c r="CZ25" i="12" l="1"/>
  <c r="BB33" i="6"/>
  <c r="BB32" i="6"/>
  <c r="BC69" i="6"/>
  <c r="BC25" i="6"/>
  <c r="BU70" i="6"/>
  <c r="BC28" i="6"/>
  <c r="BD26" i="6" l="1"/>
  <c r="BD25" i="6" s="1"/>
  <c r="BC68" i="6"/>
  <c r="BC32" i="6" s="1"/>
  <c r="BB31" i="6"/>
  <c r="BV27" i="6"/>
  <c r="BV30" i="6" s="1"/>
  <c r="BD29" i="6" l="1"/>
  <c r="BD69" i="6" s="1"/>
  <c r="BD68" i="6" s="1"/>
  <c r="BC33" i="6"/>
  <c r="BC31" i="6" s="1"/>
  <c r="BA50" i="12"/>
  <c r="BV70" i="6"/>
  <c r="BE26" i="6" l="1"/>
  <c r="BE29" i="6" s="1"/>
  <c r="BD28" i="6"/>
  <c r="BD32" i="6"/>
  <c r="BD33" i="6"/>
  <c r="BW27" i="6"/>
  <c r="BW30" i="6" s="1"/>
  <c r="BE25" i="6" l="1"/>
  <c r="DA25" i="12"/>
  <c r="BD31" i="6"/>
  <c r="BE69" i="6"/>
  <c r="BW70" i="6"/>
  <c r="BE28" i="6"/>
  <c r="BX27" i="6" l="1"/>
  <c r="BX30" i="6" s="1"/>
  <c r="BE68" i="6"/>
  <c r="BF26" i="6"/>
  <c r="BF29" i="6" s="1"/>
  <c r="BE33" i="6" l="1"/>
  <c r="BE32" i="6"/>
  <c r="BX70" i="6"/>
  <c r="BF69" i="6"/>
  <c r="BF25" i="6"/>
  <c r="DB25" i="12" l="1"/>
  <c r="BY27" i="6"/>
  <c r="BY30" i="6" s="1"/>
  <c r="BF28" i="6"/>
  <c r="BE31" i="6"/>
  <c r="BG26" i="6"/>
  <c r="BG29" i="6" s="1"/>
  <c r="BF68" i="6"/>
  <c r="BB50" i="12" l="1"/>
  <c r="BF32" i="6"/>
  <c r="BF33" i="6"/>
  <c r="BY70" i="6"/>
  <c r="BG25" i="6"/>
  <c r="BZ27" i="6" l="1"/>
  <c r="BF31" i="6"/>
  <c r="BG69" i="6"/>
  <c r="BG28" i="6"/>
  <c r="BZ30" i="6" l="1"/>
  <c r="BZ70" i="6" s="1"/>
  <c r="DC25" i="12"/>
  <c r="BH26" i="6"/>
  <c r="BH29" i="6" s="1"/>
  <c r="BG68" i="6"/>
  <c r="CA27" i="6" l="1"/>
  <c r="CA30" i="6" s="1"/>
  <c r="DD25" i="12"/>
  <c r="BG33" i="6"/>
  <c r="BG32" i="6"/>
  <c r="BH69" i="6"/>
  <c r="BH25" i="6"/>
  <c r="BH68" i="6" l="1"/>
  <c r="BH28" i="6"/>
  <c r="BG31" i="6"/>
  <c r="CA70" i="6"/>
  <c r="BI26" i="6"/>
  <c r="BI29" i="6" s="1"/>
  <c r="BH33" i="6" l="1"/>
  <c r="BH32" i="6"/>
  <c r="CB27" i="6"/>
  <c r="BI28" i="6"/>
  <c r="BI69" i="6"/>
  <c r="BI25" i="6"/>
  <c r="BH31" i="6" l="1"/>
  <c r="CB30" i="6"/>
  <c r="CB70" i="6" s="1"/>
  <c r="DE25" i="12"/>
  <c r="BC50" i="12"/>
  <c r="BI68" i="6"/>
  <c r="BJ26" i="6"/>
  <c r="BJ25" i="6" s="1"/>
  <c r="CC27" i="6" l="1"/>
  <c r="CC30" i="6" s="1"/>
  <c r="BJ29" i="6"/>
  <c r="BJ69" i="6" s="1"/>
  <c r="BI33" i="6"/>
  <c r="BI32" i="6"/>
  <c r="BI31" i="6" l="1"/>
  <c r="DF25" i="12"/>
  <c r="CC70" i="6"/>
  <c r="BJ28" i="6"/>
  <c r="CD27" i="6" l="1"/>
  <c r="CD30" i="6" s="1"/>
  <c r="BJ68" i="6"/>
  <c r="BK26" i="6"/>
  <c r="BK29" i="6" s="1"/>
  <c r="DG25" i="12" l="1"/>
  <c r="BJ32" i="6"/>
  <c r="BJ33" i="6"/>
  <c r="CD70" i="6"/>
  <c r="BK69" i="6"/>
  <c r="BK25" i="6"/>
  <c r="CE27" i="6" l="1"/>
  <c r="CE30" i="6" s="1"/>
  <c r="BJ31" i="6"/>
  <c r="BK28" i="6"/>
  <c r="BD50" i="12" l="1"/>
  <c r="CE70" i="6"/>
  <c r="BK68" i="6"/>
  <c r="BL26" i="6"/>
  <c r="BL29" i="6" s="1"/>
  <c r="DH25" i="12" l="1"/>
  <c r="BK32" i="6"/>
  <c r="BK33" i="6"/>
  <c r="CF27" i="6"/>
  <c r="BL25" i="6"/>
  <c r="I17" i="7" s="1"/>
  <c r="CF30" i="6" l="1"/>
  <c r="CF70" i="6" s="1"/>
  <c r="BK31" i="6"/>
  <c r="BL69" i="6"/>
  <c r="BL28" i="6"/>
  <c r="CG27" i="6" l="1"/>
  <c r="CG30" i="6" s="1"/>
  <c r="DI25" i="12"/>
  <c r="BL68" i="6"/>
  <c r="BM26" i="6"/>
  <c r="BM29" i="6" s="1"/>
  <c r="DJ25" i="12" l="1"/>
  <c r="BL33" i="6"/>
  <c r="BL32" i="6"/>
  <c r="BM69" i="6"/>
  <c r="I25" i="7"/>
  <c r="CG70" i="6"/>
  <c r="BM25" i="6"/>
  <c r="BM28" i="6" l="1"/>
  <c r="BL31" i="6"/>
  <c r="BM68" i="6"/>
  <c r="BN26" i="6"/>
  <c r="BN25" i="6" s="1"/>
  <c r="CH27" i="6"/>
  <c r="CH30" i="6" s="1"/>
  <c r="BN29" i="6" l="1"/>
  <c r="BN69" i="6" s="1"/>
  <c r="DK25" i="12"/>
  <c r="BE50" i="12"/>
  <c r="BM33" i="6"/>
  <c r="BM32" i="6"/>
  <c r="CH70" i="6"/>
  <c r="DL25" i="12" l="1"/>
  <c r="BM31" i="6"/>
  <c r="BN28" i="6"/>
  <c r="CI27" i="6"/>
  <c r="CI30" i="6" s="1"/>
  <c r="CI70" i="6" l="1"/>
  <c r="BO26" i="6"/>
  <c r="BO29" i="6" s="1"/>
  <c r="BN68" i="6"/>
  <c r="DM25" i="12" l="1"/>
  <c r="BN33" i="6"/>
  <c r="BN32" i="6"/>
  <c r="CJ27" i="6"/>
  <c r="CJ30" i="6" s="1"/>
  <c r="BO69" i="6"/>
  <c r="BO25" i="6"/>
  <c r="BO28" i="6" l="1"/>
  <c r="BN31" i="6"/>
  <c r="CJ70" i="6"/>
  <c r="BP26" i="6"/>
  <c r="BP29" i="6" s="1"/>
  <c r="BO68" i="6"/>
  <c r="BO32" i="6" l="1"/>
  <c r="BO33" i="6"/>
  <c r="BP69" i="6"/>
  <c r="BP25" i="6"/>
  <c r="CK27" i="6"/>
  <c r="CK30" i="6" s="1"/>
  <c r="DN25" i="12" l="1"/>
  <c r="DO25" i="12"/>
  <c r="BF50" i="12"/>
  <c r="BO31" i="6"/>
  <c r="CK70" i="6"/>
  <c r="BP28" i="6"/>
  <c r="DP25" i="12" l="1"/>
  <c r="CL27" i="6"/>
  <c r="CL30" i="6" s="1"/>
  <c r="BQ26" i="6"/>
  <c r="BQ29" i="6" s="1"/>
  <c r="BP68" i="6"/>
  <c r="BP32" i="6" l="1"/>
  <c r="BP33" i="6"/>
  <c r="CL70" i="6"/>
  <c r="BQ25" i="6"/>
  <c r="DQ25" i="12" l="1"/>
  <c r="CM27" i="6"/>
  <c r="CM30" i="6" s="1"/>
  <c r="BP31" i="6"/>
  <c r="BQ69" i="6"/>
  <c r="BQ28" i="6"/>
  <c r="DR25" i="12" l="1"/>
  <c r="CM70" i="6"/>
  <c r="BQ68" i="6"/>
  <c r="BR26" i="6"/>
  <c r="BR29" i="6" s="1"/>
  <c r="BQ33" i="6" l="1"/>
  <c r="BQ32" i="6"/>
  <c r="BR69" i="6"/>
  <c r="BR25" i="6"/>
  <c r="CN27" i="6"/>
  <c r="CN30" i="6" s="1"/>
  <c r="BG50" i="12" l="1"/>
  <c r="CN70" i="6"/>
  <c r="BQ31" i="6"/>
  <c r="BR28" i="6"/>
  <c r="DS25" i="12" l="1"/>
  <c r="CO27" i="6"/>
  <c r="CO30" i="6" s="1"/>
  <c r="BR68" i="6"/>
  <c r="BS26" i="6"/>
  <c r="BS29" i="6" s="1"/>
  <c r="BR33" i="6" l="1"/>
  <c r="BR32" i="6"/>
  <c r="BS69" i="6"/>
  <c r="CO70" i="6"/>
  <c r="BS25" i="6"/>
  <c r="BS28" i="6" l="1"/>
  <c r="BR31" i="6"/>
  <c r="BS68" i="6"/>
  <c r="BT26" i="6"/>
  <c r="BT25" i="6" s="1"/>
  <c r="CP27" i="6"/>
  <c r="CP30" i="6" s="1"/>
  <c r="BT29" i="6" l="1"/>
  <c r="BT69" i="6" s="1"/>
  <c r="DT25" i="12"/>
  <c r="BS33" i="6"/>
  <c r="BS32" i="6"/>
  <c r="CP70" i="6"/>
  <c r="DU25" i="12" l="1"/>
  <c r="CQ27" i="6"/>
  <c r="BS31" i="6"/>
  <c r="BT28" i="6"/>
  <c r="CQ30" i="6" l="1"/>
  <c r="CQ70" i="6" s="1"/>
  <c r="CR27" i="6" s="1"/>
  <c r="BH50" i="12"/>
  <c r="BT68" i="6"/>
  <c r="BU26" i="6"/>
  <c r="BU29" i="6" s="1"/>
  <c r="CR30" i="6" l="1"/>
  <c r="BT32" i="6"/>
  <c r="BT33" i="6"/>
  <c r="BU25" i="6"/>
  <c r="BU69" i="6"/>
  <c r="BT31" i="6" l="1"/>
  <c r="BU28" i="6"/>
  <c r="CR70" i="6"/>
  <c r="BV26" i="6"/>
  <c r="BV25" i="6" s="1"/>
  <c r="BU68" i="6"/>
  <c r="BV29" i="6" l="1"/>
  <c r="BV69" i="6" s="1"/>
  <c r="BU33" i="6"/>
  <c r="BU32" i="6"/>
  <c r="CS27" i="6"/>
  <c r="CS30" i="6" s="1"/>
  <c r="CS70" i="6" l="1"/>
  <c r="BU31" i="6"/>
  <c r="BV28" i="6"/>
  <c r="CT27" i="6" l="1"/>
  <c r="CT30" i="6" s="1"/>
  <c r="BW26" i="6"/>
  <c r="BW29" i="6" s="1"/>
  <c r="BV68" i="6"/>
  <c r="BI50" i="12" l="1"/>
  <c r="BV32" i="6"/>
  <c r="BV33" i="6"/>
  <c r="BW25" i="6"/>
  <c r="BW69" i="6"/>
  <c r="CT70" i="6"/>
  <c r="CU27" i="6" l="1"/>
  <c r="CU30" i="6" s="1"/>
  <c r="BV31" i="6"/>
  <c r="BW28" i="6"/>
  <c r="BW68" i="6"/>
  <c r="BX26" i="6"/>
  <c r="BX25" i="6" s="1"/>
  <c r="J17" i="7" s="1"/>
  <c r="BX29" i="6" l="1"/>
  <c r="BW33" i="6"/>
  <c r="BW32" i="6"/>
  <c r="CU70" i="6"/>
  <c r="BW31" i="6" l="1"/>
  <c r="CV27" i="6"/>
  <c r="CV30" i="6" s="1"/>
  <c r="BX69" i="6"/>
  <c r="BX28" i="6"/>
  <c r="BY26" i="6" l="1"/>
  <c r="BY25" i="6" s="1"/>
  <c r="BX68" i="6"/>
  <c r="CV70" i="6"/>
  <c r="BY29" i="6" l="1"/>
  <c r="BY28" i="6" s="1"/>
  <c r="BX33" i="6"/>
  <c r="BX32" i="6"/>
  <c r="CW27" i="6"/>
  <c r="CW30" i="6" s="1"/>
  <c r="J25" i="7"/>
  <c r="BJ50" i="12" l="1"/>
  <c r="BX31" i="6"/>
  <c r="BY69" i="6"/>
  <c r="CW70" i="6"/>
  <c r="BZ26" i="6" l="1"/>
  <c r="BZ29" i="6" s="1"/>
  <c r="CX27" i="6"/>
  <c r="CX30" i="6" s="1"/>
  <c r="BY68" i="6"/>
  <c r="BZ25" i="6" l="1"/>
  <c r="BY33" i="6"/>
  <c r="BY32" i="6"/>
  <c r="CX70" i="6"/>
  <c r="BZ28" i="6"/>
  <c r="BZ69" i="6"/>
  <c r="CY27" i="6" l="1"/>
  <c r="CY30" i="6" s="1"/>
  <c r="BY31" i="6"/>
  <c r="BZ68" i="6"/>
  <c r="CA26" i="6"/>
  <c r="CA25" i="6" s="1"/>
  <c r="CA29" i="6" l="1"/>
  <c r="BZ32" i="6"/>
  <c r="BZ33" i="6"/>
  <c r="CY70" i="6"/>
  <c r="CZ27" i="6" l="1"/>
  <c r="CZ30" i="6" s="1"/>
  <c r="BZ31" i="6"/>
  <c r="CA28" i="6"/>
  <c r="CA69" i="6"/>
  <c r="BK50" i="12" l="1"/>
  <c r="CA68" i="6"/>
  <c r="CB26" i="6"/>
  <c r="CB29" i="6" s="1"/>
  <c r="CZ70" i="6"/>
  <c r="CA32" i="6" l="1"/>
  <c r="CA33" i="6"/>
  <c r="DA27" i="6"/>
  <c r="DA30" i="6" s="1"/>
  <c r="CB28" i="6"/>
  <c r="CB25" i="6"/>
  <c r="CB69" i="6"/>
  <c r="CA31" i="6" l="1"/>
  <c r="CC26" i="6"/>
  <c r="CC29" i="6" s="1"/>
  <c r="DA70" i="6"/>
  <c r="CB68" i="6"/>
  <c r="CB33" i="6" l="1"/>
  <c r="CB32" i="6"/>
  <c r="CC25" i="6"/>
  <c r="DB27" i="6"/>
  <c r="DB30" i="6" s="1"/>
  <c r="DB70" i="6" l="1"/>
  <c r="CB31" i="6"/>
  <c r="CC28" i="6"/>
  <c r="CC69" i="6"/>
  <c r="CD26" i="6" l="1"/>
  <c r="CD25" i="6" s="1"/>
  <c r="CC68" i="6"/>
  <c r="DC27" i="6"/>
  <c r="DC30" i="6" s="1"/>
  <c r="CD29" i="6" l="1"/>
  <c r="BL50" i="12"/>
  <c r="I21" i="13" s="1"/>
  <c r="I22" i="13"/>
  <c r="CC33" i="6"/>
  <c r="CC32" i="6"/>
  <c r="DC70" i="6"/>
  <c r="I40" i="13" l="1"/>
  <c r="I41" i="13" s="1"/>
  <c r="CC31" i="6"/>
  <c r="CD69" i="6"/>
  <c r="CD28" i="6"/>
  <c r="DD27" i="6"/>
  <c r="DD30" i="6" s="1"/>
  <c r="E18" i="7"/>
  <c r="I42" i="13" l="1"/>
  <c r="I59" i="13" s="1"/>
  <c r="CE26" i="6"/>
  <c r="CE29" i="6" s="1"/>
  <c r="DD70" i="6"/>
  <c r="CD68" i="6"/>
  <c r="I28" i="13" l="1"/>
  <c r="I27" i="13"/>
  <c r="CE25" i="6"/>
  <c r="CD33" i="6"/>
  <c r="CD32" i="6"/>
  <c r="DE27" i="6"/>
  <c r="CE28" i="6"/>
  <c r="CE69" i="6"/>
  <c r="DE30" i="6" l="1"/>
  <c r="DE70" i="6" s="1"/>
  <c r="CD31" i="6"/>
  <c r="CF26" i="6"/>
  <c r="CF25" i="6" s="1"/>
  <c r="CE68" i="6"/>
  <c r="CF29" i="6" l="1"/>
  <c r="DF27" i="6"/>
  <c r="DF30" i="6" s="1"/>
  <c r="DF70" i="6" s="1"/>
  <c r="CE32" i="6"/>
  <c r="CE33" i="6"/>
  <c r="BM50" i="12" l="1"/>
  <c r="DG27" i="6"/>
  <c r="CE31" i="6"/>
  <c r="CF69" i="6"/>
  <c r="CF28" i="6"/>
  <c r="DG30" i="6" l="1"/>
  <c r="DG70" i="6" s="1"/>
  <c r="CG26" i="6"/>
  <c r="CG25" i="6" s="1"/>
  <c r="CF68" i="6"/>
  <c r="DH27" i="6" l="1"/>
  <c r="CG29" i="6"/>
  <c r="CG28" i="6" s="1"/>
  <c r="CF32" i="6"/>
  <c r="CF33" i="6"/>
  <c r="DH30" i="6" l="1"/>
  <c r="DH70" i="6" s="1"/>
  <c r="CG69" i="6"/>
  <c r="CF31" i="6"/>
  <c r="DI27" i="6" l="1"/>
  <c r="DI30" i="6" s="1"/>
  <c r="DI70" i="6" s="1"/>
  <c r="CH26" i="6"/>
  <c r="CH25" i="6" s="1"/>
  <c r="CG68" i="6"/>
  <c r="CG32" i="6" s="1"/>
  <c r="CG33" i="6" l="1"/>
  <c r="CG31" i="6" s="1"/>
  <c r="CH29" i="6"/>
  <c r="CH28" i="6" s="1"/>
  <c r="DJ27" i="6"/>
  <c r="DJ30" i="6" s="1"/>
  <c r="CH69" i="6" l="1"/>
  <c r="BN50" i="12"/>
  <c r="DJ70" i="6"/>
  <c r="CI26" i="6" l="1"/>
  <c r="CI25" i="6" s="1"/>
  <c r="CH68" i="6"/>
  <c r="DK27" i="6"/>
  <c r="DK30" i="6" s="1"/>
  <c r="CI29" i="6" l="1"/>
  <c r="CI69" i="6" s="1"/>
  <c r="CI68" i="6" s="1"/>
  <c r="CH33" i="6"/>
  <c r="CH32" i="6"/>
  <c r="DK70" i="6"/>
  <c r="CI32" i="6" l="1"/>
  <c r="CI33" i="6"/>
  <c r="CI28" i="6"/>
  <c r="CJ26" i="6"/>
  <c r="CJ25" i="6" s="1"/>
  <c r="K17" i="7" s="1"/>
  <c r="CH31" i="6"/>
  <c r="DL27" i="6"/>
  <c r="DL30" i="6" s="1"/>
  <c r="CI31" i="6" l="1"/>
  <c r="CJ29" i="6"/>
  <c r="DL70" i="6"/>
  <c r="CJ69" i="6" l="1"/>
  <c r="CJ28" i="6"/>
  <c r="K18" i="7" s="1"/>
  <c r="DM27" i="6"/>
  <c r="CJ68" i="6" l="1"/>
  <c r="CK26" i="6"/>
  <c r="DM30" i="6"/>
  <c r="DM70" i="6" s="1"/>
  <c r="BO50" i="12"/>
  <c r="CK25" i="6" l="1"/>
  <c r="CK29" i="6"/>
  <c r="K25" i="7"/>
  <c r="CJ33" i="6"/>
  <c r="CJ32" i="6"/>
  <c r="DN27" i="6"/>
  <c r="DN30" i="6" s="1"/>
  <c r="DN70" i="6" s="1"/>
  <c r="CK28" i="6" l="1"/>
  <c r="CK69" i="6"/>
  <c r="CJ31" i="6"/>
  <c r="DO27" i="6"/>
  <c r="DO30" i="6" s="1"/>
  <c r="CK68" i="6" l="1"/>
  <c r="CL26" i="6"/>
  <c r="CL25" i="6" s="1"/>
  <c r="DO70" i="6"/>
  <c r="CK33" i="6" l="1"/>
  <c r="CK32" i="6"/>
  <c r="CL29" i="6"/>
  <c r="DP27" i="6"/>
  <c r="CK31" i="6" l="1"/>
  <c r="CL69" i="6"/>
  <c r="CL28" i="6"/>
  <c r="DP30" i="6"/>
  <c r="DP70" i="6" s="1"/>
  <c r="CM26" i="6" l="1"/>
  <c r="CM25" i="6" s="1"/>
  <c r="CL68" i="6"/>
  <c r="DQ27" i="6"/>
  <c r="DQ30" i="6" s="1"/>
  <c r="DQ70" i="6" s="1"/>
  <c r="BP50" i="12"/>
  <c r="CL32" i="6" l="1"/>
  <c r="CL33" i="6"/>
  <c r="CM29" i="6"/>
  <c r="DR27" i="6"/>
  <c r="DR30" i="6" s="1"/>
  <c r="CL31" i="6" l="1"/>
  <c r="CM69" i="6"/>
  <c r="CM28" i="6"/>
  <c r="DR70" i="6"/>
  <c r="CM68" i="6" l="1"/>
  <c r="CN26" i="6"/>
  <c r="CN25" i="6" s="1"/>
  <c r="DS27" i="6"/>
  <c r="CN29" i="6" l="1"/>
  <c r="CM33" i="6"/>
  <c r="CM32" i="6"/>
  <c r="DS30" i="6"/>
  <c r="DS70" i="6" s="1"/>
  <c r="CM31" i="6" l="1"/>
  <c r="CN28" i="6"/>
  <c r="CN69" i="6"/>
  <c r="DT27" i="6"/>
  <c r="DT30" i="6" s="1"/>
  <c r="DT70" i="6" s="1"/>
  <c r="CN68" i="6" l="1"/>
  <c r="CO26" i="6"/>
  <c r="CO25" i="6" s="1"/>
  <c r="BQ50" i="12"/>
  <c r="DU27" i="6"/>
  <c r="DU30" i="6" s="1"/>
  <c r="CO29" i="6" l="1"/>
  <c r="CN32" i="6"/>
  <c r="CN33" i="6"/>
  <c r="DU70" i="6"/>
  <c r="CN31" i="6" l="1"/>
  <c r="CO28" i="6"/>
  <c r="CO69" i="6"/>
  <c r="CP26" i="6" l="1"/>
  <c r="CP25" i="6" s="1"/>
  <c r="CO68" i="6"/>
  <c r="CP29" i="6" l="1"/>
  <c r="CP28" i="6" s="1"/>
  <c r="CO32" i="6"/>
  <c r="CO33" i="6"/>
  <c r="CP69" i="6" l="1"/>
  <c r="CQ26" i="6" s="1"/>
  <c r="CO31" i="6"/>
  <c r="CP68" i="6" l="1"/>
  <c r="CP32" i="6" s="1"/>
  <c r="CQ29" i="6"/>
  <c r="CQ25" i="6"/>
  <c r="BR50" i="12"/>
  <c r="CP33" i="6" l="1"/>
  <c r="CP31" i="6" s="1"/>
  <c r="CQ28" i="6"/>
  <c r="CQ69" i="6"/>
  <c r="CR26" i="6" l="1"/>
  <c r="CR25" i="6" s="1"/>
  <c r="CQ68" i="6"/>
  <c r="CR29" i="6" l="1"/>
  <c r="CQ33" i="6"/>
  <c r="CQ32" i="6"/>
  <c r="CQ31" i="6" l="1"/>
  <c r="CR28" i="6"/>
  <c r="CR69" i="6"/>
  <c r="CR68" i="6" l="1"/>
  <c r="CS26" i="6"/>
  <c r="CR33" i="6" l="1"/>
  <c r="CR32" i="6"/>
  <c r="CS29" i="6"/>
  <c r="CS25" i="6"/>
  <c r="BS50" i="12"/>
  <c r="CR31" i="6" l="1"/>
  <c r="CS28" i="6"/>
  <c r="CS69" i="6"/>
  <c r="CS68" i="6" l="1"/>
  <c r="CT26" i="6"/>
  <c r="CT29" i="6" l="1"/>
  <c r="CT25" i="6"/>
  <c r="CS33" i="6"/>
  <c r="CS32" i="6"/>
  <c r="CS31" i="6" l="1"/>
  <c r="CT28" i="6"/>
  <c r="CT69" i="6"/>
  <c r="CT68" i="6" l="1"/>
  <c r="CU26" i="6"/>
  <c r="CU25" i="6" s="1"/>
  <c r="CU29" i="6" l="1"/>
  <c r="CU28" i="6" s="1"/>
  <c r="CT32" i="6"/>
  <c r="CT33" i="6"/>
  <c r="BT50" i="12"/>
  <c r="CU69" i="6" l="1"/>
  <c r="CU68" i="6" s="1"/>
  <c r="CT31" i="6"/>
  <c r="CV26" i="6" l="1"/>
  <c r="CV25" i="6" s="1"/>
  <c r="L17" i="7" s="1"/>
  <c r="CU32" i="6"/>
  <c r="CU33" i="6"/>
  <c r="CV29" i="6" l="1"/>
  <c r="CV69" i="6" s="1"/>
  <c r="CU31" i="6"/>
  <c r="CV28" i="6" l="1"/>
  <c r="L18" i="7" s="1"/>
  <c r="CW26" i="6"/>
  <c r="CV68" i="6"/>
  <c r="CW29" i="6" l="1"/>
  <c r="CW25" i="6"/>
  <c r="CV33" i="6"/>
  <c r="CV32" i="6"/>
  <c r="L25" i="7"/>
  <c r="CV31" i="6" l="1"/>
  <c r="CW69" i="6"/>
  <c r="CW28" i="6"/>
  <c r="BU50" i="12"/>
  <c r="CX26" i="6" l="1"/>
  <c r="CW68" i="6"/>
  <c r="CW33" i="6" l="1"/>
  <c r="CW32" i="6"/>
  <c r="CX29" i="6"/>
  <c r="CX25" i="6"/>
  <c r="CW31" i="6" l="1"/>
  <c r="CX28" i="6"/>
  <c r="CX69" i="6"/>
  <c r="CX68" i="6" l="1"/>
  <c r="CY26" i="6"/>
  <c r="CY25" i="6" s="1"/>
  <c r="CX32" i="6" l="1"/>
  <c r="CX33" i="6"/>
  <c r="CY29" i="6"/>
  <c r="CX31" i="6" l="1"/>
  <c r="CY28" i="6"/>
  <c r="CY69" i="6"/>
  <c r="BV50" i="12"/>
  <c r="CY68" i="6" l="1"/>
  <c r="CZ26" i="6"/>
  <c r="CZ29" i="6" l="1"/>
  <c r="CZ25" i="6"/>
  <c r="CY33" i="6"/>
  <c r="CY32" i="6"/>
  <c r="CY31" i="6" l="1"/>
  <c r="CZ28" i="6"/>
  <c r="CZ69" i="6"/>
  <c r="CZ68" i="6" l="1"/>
  <c r="DA26" i="6"/>
  <c r="DA29" i="6" l="1"/>
  <c r="DA25" i="6"/>
  <c r="CZ33" i="6"/>
  <c r="CZ32" i="6"/>
  <c r="CZ31" i="6" l="1"/>
  <c r="DA28" i="6"/>
  <c r="DA69" i="6"/>
  <c r="BW50" i="12"/>
  <c r="DB26" i="6" l="1"/>
  <c r="DA68" i="6"/>
  <c r="DA33" i="6" l="1"/>
  <c r="DA32" i="6"/>
  <c r="DB25" i="6"/>
  <c r="DB29" i="6"/>
  <c r="DA31" i="6" l="1"/>
  <c r="DB69" i="6"/>
  <c r="DB28" i="6"/>
  <c r="DC26" i="6" l="1"/>
  <c r="DB68" i="6"/>
  <c r="DC29" i="6" l="1"/>
  <c r="DC25" i="6"/>
  <c r="DB32" i="6"/>
  <c r="DB33" i="6"/>
  <c r="DB31" i="6" l="1"/>
  <c r="DC69" i="6"/>
  <c r="DC28" i="6"/>
  <c r="J22" i="13"/>
  <c r="BX50" i="12"/>
  <c r="J21" i="13" s="1"/>
  <c r="DD26" i="6" l="1"/>
  <c r="DC68" i="6"/>
  <c r="J40" i="13"/>
  <c r="J41" i="13" s="1"/>
  <c r="J42" i="13" s="1"/>
  <c r="J59" i="13" s="1"/>
  <c r="DC33" i="6" l="1"/>
  <c r="DC32" i="6"/>
  <c r="DD29" i="6"/>
  <c r="DD25" i="6"/>
  <c r="DC31" i="6" l="1"/>
  <c r="DD69" i="6"/>
  <c r="DD28" i="6"/>
  <c r="J27" i="13"/>
  <c r="J28" i="13"/>
  <c r="DD68" i="6" l="1"/>
  <c r="DE26" i="6"/>
  <c r="DE25" i="6" l="1"/>
  <c r="DE29" i="6"/>
  <c r="DD33" i="6"/>
  <c r="DD32" i="6"/>
  <c r="DD31" i="6" l="1"/>
  <c r="DE28" i="6"/>
  <c r="DE69" i="6"/>
  <c r="BY50" i="12"/>
  <c r="DE68" i="6" l="1"/>
  <c r="DF26" i="6"/>
  <c r="DE33" i="6" l="1"/>
  <c r="DE32" i="6"/>
  <c r="DF29" i="6"/>
  <c r="DF25" i="6"/>
  <c r="DE31" i="6" l="1"/>
  <c r="DF69" i="6"/>
  <c r="DF28" i="6"/>
  <c r="DF68" i="6" l="1"/>
  <c r="DG26" i="6"/>
  <c r="DG25" i="6" s="1"/>
  <c r="DG29" i="6" l="1"/>
  <c r="DF33" i="6"/>
  <c r="DF32" i="6"/>
  <c r="DF31" i="6" l="1"/>
  <c r="DG69" i="6"/>
  <c r="DG28" i="6"/>
  <c r="BZ50" i="12"/>
  <c r="DH26" i="6" l="1"/>
  <c r="DG68" i="6"/>
  <c r="DG32" i="6" l="1"/>
  <c r="DG33" i="6"/>
  <c r="DH29" i="6"/>
  <c r="DH25" i="6"/>
  <c r="M17" i="7" s="1"/>
  <c r="DH28" i="6" l="1"/>
  <c r="M18" i="7" s="1"/>
  <c r="DH69" i="6"/>
  <c r="DG31" i="6"/>
  <c r="DI26" i="6" l="1"/>
  <c r="DH68" i="6"/>
  <c r="DH32" i="6" l="1"/>
  <c r="M25" i="7"/>
  <c r="DH33" i="6"/>
  <c r="DI29" i="6"/>
  <c r="DI25" i="6"/>
  <c r="DI69" i="6" l="1"/>
  <c r="DI28" i="6"/>
  <c r="DH31" i="6"/>
  <c r="CA50" i="12"/>
  <c r="DJ26" i="6" l="1"/>
  <c r="DI68" i="6"/>
  <c r="DI33" i="6" l="1"/>
  <c r="DI32" i="6"/>
  <c r="DJ25" i="6"/>
  <c r="DJ29" i="6"/>
  <c r="DI31" i="6" l="1"/>
  <c r="DJ69" i="6"/>
  <c r="DJ28" i="6"/>
  <c r="F18" i="7"/>
  <c r="DJ68" i="6" l="1"/>
  <c r="DK26" i="6"/>
  <c r="DK29" i="6" l="1"/>
  <c r="DK25" i="6"/>
  <c r="DJ33" i="6"/>
  <c r="DJ32" i="6"/>
  <c r="DJ31" i="6" l="1"/>
  <c r="DK28" i="6"/>
  <c r="DK69" i="6"/>
  <c r="CB50" i="12"/>
  <c r="G18" i="7"/>
  <c r="DL26" i="6" l="1"/>
  <c r="DK68" i="6"/>
  <c r="DK33" i="6" l="1"/>
  <c r="DK32" i="6"/>
  <c r="DL29" i="6"/>
  <c r="DL25" i="6"/>
  <c r="DK31" i="6" l="1"/>
  <c r="DL28" i="6"/>
  <c r="DL69" i="6"/>
  <c r="DM26" i="6" l="1"/>
  <c r="DL68" i="6"/>
  <c r="H18" i="7"/>
  <c r="DL33" i="6" l="1"/>
  <c r="DL32" i="6"/>
  <c r="DM29" i="6"/>
  <c r="DM25" i="6"/>
  <c r="DL31" i="6" l="1"/>
  <c r="DM28" i="6"/>
  <c r="DM69" i="6"/>
  <c r="CC50" i="12"/>
  <c r="I18" i="7"/>
  <c r="DN26" i="6" l="1"/>
  <c r="DM68" i="6"/>
  <c r="DM32" i="6" l="1"/>
  <c r="DM33" i="6"/>
  <c r="DN29" i="6"/>
  <c r="DN25" i="6"/>
  <c r="J18" i="7"/>
  <c r="DM31" i="6" l="1"/>
  <c r="DN28" i="6"/>
  <c r="DN69" i="6"/>
  <c r="F39" i="6"/>
  <c r="F42" i="6" s="1"/>
  <c r="F40" i="6"/>
  <c r="F43" i="6" s="1"/>
  <c r="F46" i="6" s="1"/>
  <c r="DN68" i="6" l="1"/>
  <c r="DO26" i="6"/>
  <c r="F41" i="6"/>
  <c r="F48" i="6"/>
  <c r="F56" i="6" s="1"/>
  <c r="F49" i="6"/>
  <c r="F57" i="6" s="1"/>
  <c r="F65" i="6" s="1"/>
  <c r="F45" i="6"/>
  <c r="F44" i="6" s="1"/>
  <c r="F54" i="6"/>
  <c r="F62" i="6" s="1"/>
  <c r="F38" i="6"/>
  <c r="DO29" i="6" l="1"/>
  <c r="DO25" i="6"/>
  <c r="DN32" i="6"/>
  <c r="DN33" i="6"/>
  <c r="F53" i="6"/>
  <c r="F61" i="6" s="1"/>
  <c r="G37" i="6"/>
  <c r="F47" i="6"/>
  <c r="F64" i="6"/>
  <c r="F55" i="6"/>
  <c r="DN31" i="6" l="1"/>
  <c r="DO28" i="6"/>
  <c r="DO69" i="6"/>
  <c r="CD50" i="12"/>
  <c r="F52" i="6"/>
  <c r="F60" i="6"/>
  <c r="G36" i="6"/>
  <c r="G35" i="6" s="1"/>
  <c r="F63" i="6"/>
  <c r="DO68" i="6" l="1"/>
  <c r="DP26" i="6"/>
  <c r="G40" i="6"/>
  <c r="G43" i="6" s="1"/>
  <c r="G49" i="6" s="1"/>
  <c r="G57" i="6" s="1"/>
  <c r="G65" i="6" s="1"/>
  <c r="G39" i="6"/>
  <c r="G42" i="6" s="1"/>
  <c r="DP29" i="6" l="1"/>
  <c r="DP25" i="6"/>
  <c r="DO32" i="6"/>
  <c r="DO33" i="6"/>
  <c r="G41" i="6"/>
  <c r="G46" i="6"/>
  <c r="G54" i="6" s="1"/>
  <c r="G62" i="6" s="1"/>
  <c r="G45" i="6"/>
  <c r="G53" i="6" s="1"/>
  <c r="G61" i="6" s="1"/>
  <c r="G48" i="6"/>
  <c r="G47" i="6" s="1"/>
  <c r="G38" i="6"/>
  <c r="DO31" i="6" l="1"/>
  <c r="DP28" i="6"/>
  <c r="DP69" i="6"/>
  <c r="H36" i="6"/>
  <c r="G60" i="6"/>
  <c r="G56" i="6"/>
  <c r="G64" i="6" s="1"/>
  <c r="G44" i="6"/>
  <c r="H37" i="6"/>
  <c r="G52" i="6"/>
  <c r="DP68" i="6" l="1"/>
  <c r="DQ26" i="6"/>
  <c r="H35" i="6"/>
  <c r="G55" i="6"/>
  <c r="DQ29" i="6" l="1"/>
  <c r="DQ25" i="6"/>
  <c r="DP33" i="6"/>
  <c r="DP32" i="6"/>
  <c r="G63" i="6"/>
  <c r="H39" i="6"/>
  <c r="H42" i="6" s="1"/>
  <c r="H40" i="6"/>
  <c r="H43" i="6" s="1"/>
  <c r="H49" i="6" s="1"/>
  <c r="H57" i="6" s="1"/>
  <c r="H65" i="6" s="1"/>
  <c r="DP31" i="6" l="1"/>
  <c r="DQ28" i="6"/>
  <c r="DQ69" i="6"/>
  <c r="CE50" i="12"/>
  <c r="H41" i="6"/>
  <c r="H45" i="6"/>
  <c r="H46" i="6"/>
  <c r="H54" i="6" s="1"/>
  <c r="H62" i="6" s="1"/>
  <c r="H48" i="6"/>
  <c r="H47" i="6" s="1"/>
  <c r="H38" i="6"/>
  <c r="DR26" i="6" l="1"/>
  <c r="DQ68" i="6"/>
  <c r="I37" i="6"/>
  <c r="H56" i="6"/>
  <c r="H64" i="6" s="1"/>
  <c r="H44" i="6"/>
  <c r="H53" i="6"/>
  <c r="H61" i="6" s="1"/>
  <c r="DQ32" i="6" l="1"/>
  <c r="DQ33" i="6"/>
  <c r="DR29" i="6"/>
  <c r="DR25" i="6"/>
  <c r="H60" i="6"/>
  <c r="H55" i="6"/>
  <c r="H63" i="6" s="1"/>
  <c r="I36" i="6"/>
  <c r="I35" i="6" s="1"/>
  <c r="H52" i="6"/>
  <c r="DQ31" i="6" l="1"/>
  <c r="DR28" i="6"/>
  <c r="DR69" i="6"/>
  <c r="I39" i="6"/>
  <c r="I42" i="6" s="1"/>
  <c r="DR68" i="6" l="1"/>
  <c r="DS26" i="6"/>
  <c r="I40" i="6"/>
  <c r="I43" i="6" s="1"/>
  <c r="I46" i="6" s="1"/>
  <c r="I54" i="6" s="1"/>
  <c r="I62" i="6" s="1"/>
  <c r="I45" i="6"/>
  <c r="I48" i="6"/>
  <c r="DS29" i="6" l="1"/>
  <c r="DS25" i="6"/>
  <c r="DR33" i="6"/>
  <c r="DR32" i="6"/>
  <c r="J37" i="6"/>
  <c r="I49" i="6"/>
  <c r="I57" i="6" s="1"/>
  <c r="I65" i="6" s="1"/>
  <c r="I38" i="6"/>
  <c r="I41" i="6"/>
  <c r="I44" i="6"/>
  <c r="I56" i="6"/>
  <c r="I53" i="6"/>
  <c r="DR31" i="6" l="1"/>
  <c r="DS28" i="6"/>
  <c r="DS69" i="6"/>
  <c r="CF50" i="12"/>
  <c r="I61" i="6"/>
  <c r="I47" i="6"/>
  <c r="I55" i="6"/>
  <c r="I63" i="6" s="1"/>
  <c r="I52" i="6"/>
  <c r="I64" i="6"/>
  <c r="J36" i="6"/>
  <c r="J35" i="6" s="1"/>
  <c r="DT26" i="6" l="1"/>
  <c r="DS68" i="6"/>
  <c r="I60" i="6"/>
  <c r="J40" i="6" s="1"/>
  <c r="J43" i="6" s="1"/>
  <c r="J49" i="6" s="1"/>
  <c r="J57" i="6" s="1"/>
  <c r="J65" i="6" s="1"/>
  <c r="DS33" i="6" l="1"/>
  <c r="DS32" i="6"/>
  <c r="DT29" i="6"/>
  <c r="DT25" i="6"/>
  <c r="N17" i="7" s="1"/>
  <c r="J39" i="6"/>
  <c r="J42" i="6" s="1"/>
  <c r="J41" i="6" s="1"/>
  <c r="J46" i="6"/>
  <c r="J54" i="6" s="1"/>
  <c r="J62" i="6" s="1"/>
  <c r="DS31" i="6" l="1"/>
  <c r="DT28" i="6"/>
  <c r="N18" i="7" s="1"/>
  <c r="DT69" i="6"/>
  <c r="K37" i="6"/>
  <c r="J48" i="6"/>
  <c r="J56" i="6" s="1"/>
  <c r="J64" i="6" s="1"/>
  <c r="J45" i="6"/>
  <c r="J53" i="6" s="1"/>
  <c r="J38" i="6"/>
  <c r="DT68" i="6" l="1"/>
  <c r="DU26" i="6"/>
  <c r="J61" i="6"/>
  <c r="J55" i="6"/>
  <c r="J63" i="6" s="1"/>
  <c r="K36" i="6"/>
  <c r="K35" i="6" s="1"/>
  <c r="J52" i="6"/>
  <c r="J44" i="6"/>
  <c r="J47" i="6"/>
  <c r="DU29" i="6" l="1"/>
  <c r="DU25" i="6"/>
  <c r="O17" i="7" s="1"/>
  <c r="DT32" i="6"/>
  <c r="N25" i="7"/>
  <c r="DT33" i="6"/>
  <c r="J60" i="6"/>
  <c r="K39" i="6" s="1"/>
  <c r="K42" i="6" s="1"/>
  <c r="DT31" i="6" l="1"/>
  <c r="DU28" i="6"/>
  <c r="O18" i="7" s="1"/>
  <c r="DU69" i="6"/>
  <c r="DU68" i="6" s="1"/>
  <c r="K40" i="6"/>
  <c r="K43" i="6" s="1"/>
  <c r="K49" i="6" s="1"/>
  <c r="K57" i="6" s="1"/>
  <c r="K65" i="6" s="1"/>
  <c r="CG50" i="12"/>
  <c r="K45" i="6"/>
  <c r="K48" i="6"/>
  <c r="K56" i="6" s="1"/>
  <c r="K46" i="6" l="1"/>
  <c r="K44" i="6" s="1"/>
  <c r="DU33" i="6"/>
  <c r="DU32" i="6"/>
  <c r="O25" i="7"/>
  <c r="K38" i="6"/>
  <c r="K41" i="6"/>
  <c r="K55" i="6"/>
  <c r="K63" i="6" s="1"/>
  <c r="K53" i="6"/>
  <c r="K64" i="6"/>
  <c r="K47" i="6"/>
  <c r="K54" i="6" l="1"/>
  <c r="K62" i="6" s="1"/>
  <c r="DU31" i="6"/>
  <c r="K61" i="6"/>
  <c r="L36" i="6"/>
  <c r="L37" i="6" l="1"/>
  <c r="L35" i="6" s="1"/>
  <c r="K52" i="6"/>
  <c r="K60" i="6"/>
  <c r="L40" i="6" s="1"/>
  <c r="L43" i="6" s="1"/>
  <c r="L49" i="6" s="1"/>
  <c r="L57" i="6" s="1"/>
  <c r="L65" i="6" s="1"/>
  <c r="L39" i="6" l="1"/>
  <c r="L42" i="6" s="1"/>
  <c r="L48" i="6" s="1"/>
  <c r="L47" i="6" s="1"/>
  <c r="L46" i="6"/>
  <c r="L54" i="6" s="1"/>
  <c r="L62" i="6" s="1"/>
  <c r="L45" i="6" l="1"/>
  <c r="L53" i="6" s="1"/>
  <c r="L61" i="6" s="1"/>
  <c r="L38" i="6"/>
  <c r="L56" i="6"/>
  <c r="L55" i="6" s="1"/>
  <c r="L63" i="6" s="1"/>
  <c r="L41" i="6"/>
  <c r="M37" i="6"/>
  <c r="CH50" i="12" l="1"/>
  <c r="L52" i="6"/>
  <c r="L60" i="6"/>
  <c r="L44" i="6"/>
  <c r="L64" i="6"/>
  <c r="M36" i="6"/>
  <c r="M35" i="6" s="1"/>
  <c r="M40" i="6" l="1"/>
  <c r="M43" i="6" s="1"/>
  <c r="M49" i="6" s="1"/>
  <c r="M57" i="6" s="1"/>
  <c r="M65" i="6" s="1"/>
  <c r="M39" i="6"/>
  <c r="M42" i="6" s="1"/>
  <c r="M41" i="6" l="1"/>
  <c r="M45" i="6"/>
  <c r="M46" i="6"/>
  <c r="M54" i="6" s="1"/>
  <c r="M62" i="6" s="1"/>
  <c r="M48" i="6"/>
  <c r="M47" i="6" s="1"/>
  <c r="M38" i="6"/>
  <c r="N37" i="6" l="1"/>
  <c r="M44" i="6"/>
  <c r="M53" i="6"/>
  <c r="M56" i="6"/>
  <c r="M64" i="6" s="1"/>
  <c r="M61" i="6" l="1"/>
  <c r="M52" i="6"/>
  <c r="N36" i="6"/>
  <c r="N35" i="6" s="1"/>
  <c r="M55" i="6"/>
  <c r="M60" i="6" l="1"/>
  <c r="N40" i="6" s="1"/>
  <c r="N43" i="6" s="1"/>
  <c r="M63" i="6"/>
  <c r="CI50" i="12" l="1"/>
  <c r="N39" i="6"/>
  <c r="N42" i="6" s="1"/>
  <c r="N45" i="6" s="1"/>
  <c r="N49" i="6"/>
  <c r="N57" i="6" s="1"/>
  <c r="N65" i="6" s="1"/>
  <c r="N46" i="6"/>
  <c r="N48" i="6" l="1"/>
  <c r="N56" i="6" s="1"/>
  <c r="N64" i="6" s="1"/>
  <c r="N44" i="6"/>
  <c r="N38" i="6"/>
  <c r="N53" i="6"/>
  <c r="N61" i="6" s="1"/>
  <c r="N41" i="6"/>
  <c r="N54" i="6"/>
  <c r="N62" i="6" s="1"/>
  <c r="O36" i="6" l="1"/>
  <c r="N60" i="6"/>
  <c r="N47" i="6"/>
  <c r="N55" i="6"/>
  <c r="N63" i="6" s="1"/>
  <c r="O37" i="6"/>
  <c r="N52" i="6"/>
  <c r="O35" i="6" l="1"/>
  <c r="O39" i="6"/>
  <c r="O42" i="6" s="1"/>
  <c r="O45" i="6" s="1"/>
  <c r="O40" i="6" l="1"/>
  <c r="O43" i="6" s="1"/>
  <c r="O49" i="6" s="1"/>
  <c r="O57" i="6" s="1"/>
  <c r="O65" i="6" s="1"/>
  <c r="O48" i="6"/>
  <c r="O53" i="6"/>
  <c r="O61" i="6" s="1"/>
  <c r="O46" i="6" l="1"/>
  <c r="O44" i="6" s="1"/>
  <c r="O38" i="6"/>
  <c r="O47" i="6"/>
  <c r="O41" i="6"/>
  <c r="O56" i="6"/>
  <c r="O64" i="6" s="1"/>
  <c r="P36" i="6"/>
  <c r="CJ50" i="12" l="1"/>
  <c r="K21" i="13" s="1"/>
  <c r="O54" i="6"/>
  <c r="O62" i="6" s="1"/>
  <c r="O55" i="6"/>
  <c r="K40" i="13" l="1"/>
  <c r="O52" i="6"/>
  <c r="O60" i="6"/>
  <c r="P40" i="6" s="1"/>
  <c r="P43" i="6" s="1"/>
  <c r="P49" i="6" s="1"/>
  <c r="P57" i="6" s="1"/>
  <c r="P65" i="6" s="1"/>
  <c r="P37" i="6"/>
  <c r="P35" i="6" s="1"/>
  <c r="O63" i="6"/>
  <c r="P39" i="6" l="1"/>
  <c r="P42" i="6" s="1"/>
  <c r="P45" i="6" s="1"/>
  <c r="P53" i="6" s="1"/>
  <c r="P61" i="6" s="1"/>
  <c r="P46" i="6"/>
  <c r="P54" i="6" s="1"/>
  <c r="P62" i="6" s="1"/>
  <c r="P48" i="6" l="1"/>
  <c r="P47" i="6" s="1"/>
  <c r="P38" i="6"/>
  <c r="K27" i="13"/>
  <c r="P41" i="6"/>
  <c r="P60" i="6"/>
  <c r="E27" i="7" s="1"/>
  <c r="P44" i="6"/>
  <c r="Q37" i="6"/>
  <c r="P52" i="6"/>
  <c r="Q36" i="6"/>
  <c r="P56" i="6" l="1"/>
  <c r="P55" i="6" s="1"/>
  <c r="E22" i="7" s="1"/>
  <c r="Q35" i="6"/>
  <c r="E21" i="7"/>
  <c r="E35" i="7" s="1"/>
  <c r="P64" i="6" l="1"/>
  <c r="P63" i="6"/>
  <c r="E28" i="7" s="1"/>
  <c r="E36" i="7"/>
  <c r="Q39" i="6"/>
  <c r="Q42" i="6" s="1"/>
  <c r="Q48" i="6" s="1"/>
  <c r="Q40" i="6"/>
  <c r="Q43" i="6" s="1"/>
  <c r="E50" i="7" l="1"/>
  <c r="CK50" i="12"/>
  <c r="Q41" i="6"/>
  <c r="Q45" i="6"/>
  <c r="Q46" i="6"/>
  <c r="Q54" i="6" s="1"/>
  <c r="Q62" i="6" s="1"/>
  <c r="Q49" i="6"/>
  <c r="Q57" i="6" s="1"/>
  <c r="Q65" i="6" s="1"/>
  <c r="Q56" i="6"/>
  <c r="Q38" i="6"/>
  <c r="Q44" i="6" l="1"/>
  <c r="Q53" i="6"/>
  <c r="Q61" i="6" s="1"/>
  <c r="Q55" i="6"/>
  <c r="R37" i="6"/>
  <c r="Q47" i="6"/>
  <c r="Q64" i="6"/>
  <c r="R36" i="6" l="1"/>
  <c r="R35" i="6" s="1"/>
  <c r="Q60" i="6"/>
  <c r="Q63" i="6"/>
  <c r="Q52" i="6"/>
  <c r="R39" i="6" l="1"/>
  <c r="R42" i="6" s="1"/>
  <c r="R40" i="6" l="1"/>
  <c r="R43" i="6" s="1"/>
  <c r="R46" i="6" s="1"/>
  <c r="R45" i="6"/>
  <c r="R53" i="6" s="1"/>
  <c r="R61" i="6" s="1"/>
  <c r="R48" i="6"/>
  <c r="R56" i="6" s="1"/>
  <c r="R64" i="6" s="1"/>
  <c r="R38" i="6" l="1"/>
  <c r="R41" i="6"/>
  <c r="R49" i="6"/>
  <c r="R57" i="6" s="1"/>
  <c r="R65" i="6" s="1"/>
  <c r="R54" i="6"/>
  <c r="R44" i="6"/>
  <c r="S36" i="6"/>
  <c r="CL50" i="12" l="1"/>
  <c r="R62" i="6"/>
  <c r="R52" i="6"/>
  <c r="S37" i="6"/>
  <c r="S35" i="6" s="1"/>
  <c r="R55" i="6"/>
  <c r="R47" i="6"/>
  <c r="R60" i="6" l="1"/>
  <c r="S40" i="6" s="1"/>
  <c r="S43" i="6" s="1"/>
  <c r="S49" i="6" s="1"/>
  <c r="S57" i="6" s="1"/>
  <c r="S65" i="6" s="1"/>
  <c r="R63" i="6"/>
  <c r="S39" i="6" l="1"/>
  <c r="S42" i="6" s="1"/>
  <c r="S41" i="6" s="1"/>
  <c r="S46" i="6"/>
  <c r="S54" i="6" s="1"/>
  <c r="S62" i="6" s="1"/>
  <c r="S38" i="6" l="1"/>
  <c r="S48" i="6"/>
  <c r="S47" i="6" s="1"/>
  <c r="S45" i="6"/>
  <c r="S53" i="6" s="1"/>
  <c r="S61" i="6" s="1"/>
  <c r="T37" i="6"/>
  <c r="S56" i="6" l="1"/>
  <c r="S64" i="6" s="1"/>
  <c r="S52" i="6"/>
  <c r="S60" i="6"/>
  <c r="T36" i="6"/>
  <c r="T35" i="6" s="1"/>
  <c r="S44" i="6"/>
  <c r="S55" i="6" l="1"/>
  <c r="S63" i="6" s="1"/>
  <c r="T40" i="6"/>
  <c r="T43" i="6" s="1"/>
  <c r="T49" i="6" s="1"/>
  <c r="T57" i="6" s="1"/>
  <c r="T65" i="6" s="1"/>
  <c r="T39" i="6"/>
  <c r="T42" i="6" s="1"/>
  <c r="CM50" i="12" l="1"/>
  <c r="T41" i="6"/>
  <c r="T46" i="6"/>
  <c r="T54" i="6" s="1"/>
  <c r="T62" i="6" s="1"/>
  <c r="T45" i="6"/>
  <c r="T53" i="6" s="1"/>
  <c r="T48" i="6"/>
  <c r="T56" i="6" s="1"/>
  <c r="T64" i="6" s="1"/>
  <c r="T38" i="6"/>
  <c r="T61" i="6" l="1"/>
  <c r="U37" i="6"/>
  <c r="T44" i="6"/>
  <c r="T47" i="6"/>
  <c r="T55" i="6"/>
  <c r="U36" i="6"/>
  <c r="T52" i="6"/>
  <c r="T60" i="6" l="1"/>
  <c r="T63" i="6"/>
  <c r="U35" i="6"/>
  <c r="U40" i="6" l="1"/>
  <c r="U43" i="6" s="1"/>
  <c r="U49" i="6" s="1"/>
  <c r="U57" i="6" s="1"/>
  <c r="U65" i="6" s="1"/>
  <c r="U39" i="6"/>
  <c r="U42" i="6" s="1"/>
  <c r="U41" i="6" l="1"/>
  <c r="U45" i="6"/>
  <c r="U53" i="6" s="1"/>
  <c r="U61" i="6" s="1"/>
  <c r="U46" i="6"/>
  <c r="U54" i="6" s="1"/>
  <c r="U62" i="6" s="1"/>
  <c r="U48" i="6"/>
  <c r="U47" i="6" s="1"/>
  <c r="U38" i="6"/>
  <c r="U60" i="6" l="1"/>
  <c r="U44" i="6"/>
  <c r="V37" i="6"/>
  <c r="U56" i="6"/>
  <c r="U52" i="6"/>
  <c r="V36" i="6"/>
  <c r="CN50" i="12" l="1"/>
  <c r="U64" i="6"/>
  <c r="U55" i="6"/>
  <c r="V35" i="6"/>
  <c r="U63" i="6" l="1"/>
  <c r="V39" i="6"/>
  <c r="V42" i="6" s="1"/>
  <c r="V48" i="6" s="1"/>
  <c r="V40" i="6"/>
  <c r="V43" i="6" s="1"/>
  <c r="V49" i="6" s="1"/>
  <c r="V47" i="6" l="1"/>
  <c r="V45" i="6"/>
  <c r="V46" i="6"/>
  <c r="V38" i="6"/>
  <c r="V44" i="6" l="1"/>
  <c r="V41" i="6"/>
  <c r="V57" i="6"/>
  <c r="V65" i="6" s="1"/>
  <c r="V54" i="6"/>
  <c r="V62" i="6" s="1"/>
  <c r="V53" i="6" l="1"/>
  <c r="W37" i="6"/>
  <c r="V56" i="6"/>
  <c r="V61" i="6" l="1"/>
  <c r="V64" i="6"/>
  <c r="V55" i="6"/>
  <c r="V52" i="6"/>
  <c r="W36" i="6"/>
  <c r="CO50" i="12" l="1"/>
  <c r="V60" i="6"/>
  <c r="V63" i="6"/>
  <c r="W35" i="6"/>
  <c r="W40" i="6" l="1"/>
  <c r="W43" i="6" s="1"/>
  <c r="W49" i="6" s="1"/>
  <c r="W39" i="6"/>
  <c r="W42" i="6" s="1"/>
  <c r="W48" i="6" s="1"/>
  <c r="W47" i="6" l="1"/>
  <c r="W46" i="6"/>
  <c r="W45" i="6"/>
  <c r="W38" i="6"/>
  <c r="W44" i="6" l="1"/>
  <c r="W41" i="6"/>
  <c r="W54" i="6"/>
  <c r="W62" i="6" s="1"/>
  <c r="W57" i="6"/>
  <c r="W65" i="6" s="1"/>
  <c r="X37" i="6" l="1"/>
  <c r="W53" i="6"/>
  <c r="W56" i="6"/>
  <c r="W61" i="6" l="1"/>
  <c r="W52" i="6"/>
  <c r="X36" i="6"/>
  <c r="W64" i="6"/>
  <c r="W55" i="6"/>
  <c r="CP50" i="12" l="1"/>
  <c r="W60" i="6"/>
  <c r="X35" i="6"/>
  <c r="W63" i="6"/>
  <c r="X39" i="6" l="1"/>
  <c r="X42" i="6" s="1"/>
  <c r="X48" i="6" s="1"/>
  <c r="X40" i="6"/>
  <c r="X43" i="6" s="1"/>
  <c r="X49" i="6" s="1"/>
  <c r="X47" i="6" l="1"/>
  <c r="X45" i="6"/>
  <c r="X46" i="6"/>
  <c r="X38" i="6"/>
  <c r="X44" i="6" l="1"/>
  <c r="X54" i="6"/>
  <c r="X62" i="6" s="1"/>
  <c r="X57" i="6"/>
  <c r="X65" i="6" s="1"/>
  <c r="X41" i="6"/>
  <c r="X56" i="6" l="1"/>
  <c r="X53" i="6"/>
  <c r="Y37" i="6"/>
  <c r="X61" i="6" l="1"/>
  <c r="X52" i="6"/>
  <c r="Y36" i="6"/>
  <c r="X64" i="6"/>
  <c r="X55" i="6"/>
  <c r="CQ50" i="12" l="1"/>
  <c r="X60" i="6"/>
  <c r="Y35" i="6"/>
  <c r="X63" i="6"/>
  <c r="Y40" i="6" l="1"/>
  <c r="Y43" i="6" s="1"/>
  <c r="Y49" i="6" s="1"/>
  <c r="Y39" i="6"/>
  <c r="Y42" i="6" s="1"/>
  <c r="Y48" i="6" s="1"/>
  <c r="Y47" i="6" l="1"/>
  <c r="Y45" i="6"/>
  <c r="Y46" i="6"/>
  <c r="Y38" i="6"/>
  <c r="Y44" i="6" l="1"/>
  <c r="Y54" i="6"/>
  <c r="Y62" i="6" s="1"/>
  <c r="Y57" i="6"/>
  <c r="Y65" i="6" s="1"/>
  <c r="Y41" i="6"/>
  <c r="Y56" i="6" l="1"/>
  <c r="Y53" i="6"/>
  <c r="Z37" i="6"/>
  <c r="Y61" i="6" l="1"/>
  <c r="Y52" i="6"/>
  <c r="Z36" i="6"/>
  <c r="Y64" i="6"/>
  <c r="Y55" i="6"/>
  <c r="CR50" i="12" l="1"/>
  <c r="Y60" i="6"/>
  <c r="Z35" i="6"/>
  <c r="Y63" i="6"/>
  <c r="Z40" i="6" l="1"/>
  <c r="Z43" i="6" s="1"/>
  <c r="Z49" i="6" s="1"/>
  <c r="Z39" i="6"/>
  <c r="Z42" i="6" s="1"/>
  <c r="Z45" i="6" s="1"/>
  <c r="Z46" i="6" l="1"/>
  <c r="Z44" i="6" s="1"/>
  <c r="Z48" i="6"/>
  <c r="Z47" i="6" s="1"/>
  <c r="Z38" i="6"/>
  <c r="Z57" i="6" l="1"/>
  <c r="Z65" i="6" s="1"/>
  <c r="Z54" i="6"/>
  <c r="Z62" i="6" s="1"/>
  <c r="Z41" i="6"/>
  <c r="Z56" i="6" l="1"/>
  <c r="AA37" i="6"/>
  <c r="Z53" i="6"/>
  <c r="Z61" i="6" l="1"/>
  <c r="Z52" i="6"/>
  <c r="AA36" i="6"/>
  <c r="Z64" i="6"/>
  <c r="Z55" i="6"/>
  <c r="CS50" i="12" l="1"/>
  <c r="Z60" i="6"/>
  <c r="AA35" i="6"/>
  <c r="Z63" i="6"/>
  <c r="AA39" i="6" l="1"/>
  <c r="AA42" i="6" s="1"/>
  <c r="AA45" i="6" s="1"/>
  <c r="AA40" i="6"/>
  <c r="AA43" i="6" s="1"/>
  <c r="AA46" i="6" s="1"/>
  <c r="AA48" i="6" l="1"/>
  <c r="AA44" i="6"/>
  <c r="AA49" i="6"/>
  <c r="AA38" i="6"/>
  <c r="AA47" i="6" l="1"/>
  <c r="AA41" i="6"/>
  <c r="AA57" i="6"/>
  <c r="AA65" i="6" s="1"/>
  <c r="AA54" i="6"/>
  <c r="AA62" i="6" s="1"/>
  <c r="AA53" i="6" l="1"/>
  <c r="AB37" i="6"/>
  <c r="AA56" i="6"/>
  <c r="AA61" i="6" l="1"/>
  <c r="AA64" i="6"/>
  <c r="AA55" i="6"/>
  <c r="AA52" i="6"/>
  <c r="AB36" i="6"/>
  <c r="AB35" i="6" s="1"/>
  <c r="CT50" i="12" l="1"/>
  <c r="AA60" i="6"/>
  <c r="AA63" i="6"/>
  <c r="AB40" i="6" l="1"/>
  <c r="AB43" i="6" s="1"/>
  <c r="AB49" i="6" s="1"/>
  <c r="AB39" i="6"/>
  <c r="AB42" i="6" s="1"/>
  <c r="AB48" i="6" s="1"/>
  <c r="AB47" i="6" l="1"/>
  <c r="AB45" i="6"/>
  <c r="AB46" i="6"/>
  <c r="AB38" i="6"/>
  <c r="AB44" i="6" l="1"/>
  <c r="AB41" i="6"/>
  <c r="AB54" i="6"/>
  <c r="AB62" i="6" s="1"/>
  <c r="AB57" i="6"/>
  <c r="AB65" i="6" s="1"/>
  <c r="AB53" i="6" l="1"/>
  <c r="AC37" i="6"/>
  <c r="AB56" i="6"/>
  <c r="AB61" i="6" l="1"/>
  <c r="AB64" i="6"/>
  <c r="AB55" i="6"/>
  <c r="AC36" i="6"/>
  <c r="AC35" i="6" s="1"/>
  <c r="AB52" i="6"/>
  <c r="CU50" i="12" l="1"/>
  <c r="AB60" i="6"/>
  <c r="F27" i="7" s="1"/>
  <c r="F21" i="7"/>
  <c r="F35" i="7" s="1"/>
  <c r="F22" i="7"/>
  <c r="AB63" i="6"/>
  <c r="F28" i="7" s="1"/>
  <c r="F36" i="7" l="1"/>
  <c r="F50" i="7" s="1"/>
  <c r="AC40" i="6"/>
  <c r="AC43" i="6" s="1"/>
  <c r="AC39" i="6"/>
  <c r="AC42" i="6" s="1"/>
  <c r="AC48" i="6" s="1"/>
  <c r="AC41" i="6" l="1"/>
  <c r="AC45" i="6"/>
  <c r="AC46" i="6"/>
  <c r="AC54" i="6" s="1"/>
  <c r="AC62" i="6" s="1"/>
  <c r="AC49" i="6"/>
  <c r="AC57" i="6" s="1"/>
  <c r="AC65" i="6" s="1"/>
  <c r="AC56" i="6"/>
  <c r="AC38" i="6"/>
  <c r="AC44" i="6" l="1"/>
  <c r="AD37" i="6"/>
  <c r="AC55" i="6"/>
  <c r="AC47" i="6"/>
  <c r="AC53" i="6"/>
  <c r="AC61" i="6" s="1"/>
  <c r="AC64" i="6"/>
  <c r="AD36" i="6" l="1"/>
  <c r="AD35" i="6" s="1"/>
  <c r="AC60" i="6"/>
  <c r="AC52" i="6"/>
  <c r="AC63" i="6"/>
  <c r="AD39" i="6" l="1"/>
  <c r="AD42" i="6" s="1"/>
  <c r="AD45" i="6" s="1"/>
  <c r="CV50" i="12" l="1"/>
  <c r="L21" i="13" s="1"/>
  <c r="AD40" i="6"/>
  <c r="AD43" i="6" s="1"/>
  <c r="AD46" i="6" s="1"/>
  <c r="AD44" i="6" s="1"/>
  <c r="AD48" i="6"/>
  <c r="AD56" i="6" s="1"/>
  <c r="AD64" i="6" s="1"/>
  <c r="AD53" i="6"/>
  <c r="AD61" i="6" s="1"/>
  <c r="L40" i="13" l="1"/>
  <c r="AD49" i="6"/>
  <c r="AD57" i="6" s="1"/>
  <c r="AD65" i="6" s="1"/>
  <c r="AD41" i="6"/>
  <c r="AD38" i="6"/>
  <c r="AD54" i="6"/>
  <c r="AD62" i="6" s="1"/>
  <c r="AE36" i="6"/>
  <c r="AE37" i="6" l="1"/>
  <c r="AE35" i="6" s="1"/>
  <c r="AD60" i="6"/>
  <c r="AD47" i="6"/>
  <c r="AD55" i="6"/>
  <c r="AD63" i="6" s="1"/>
  <c r="AD52" i="6"/>
  <c r="L27" i="13" l="1"/>
  <c r="AE39" i="6"/>
  <c r="AE42" i="6" s="1"/>
  <c r="AE48" i="6" s="1"/>
  <c r="AE40" i="6" l="1"/>
  <c r="AE43" i="6" s="1"/>
  <c r="AE49" i="6" s="1"/>
  <c r="AE57" i="6" s="1"/>
  <c r="AE65" i="6" s="1"/>
  <c r="AE45" i="6"/>
  <c r="AE53" i="6" s="1"/>
  <c r="AE61" i="6" s="1"/>
  <c r="AE56" i="6"/>
  <c r="AE38" i="6" l="1"/>
  <c r="AE47" i="6"/>
  <c r="AE41" i="6"/>
  <c r="AE46" i="6"/>
  <c r="AE54" i="6" s="1"/>
  <c r="AE55" i="6"/>
  <c r="AE63" i="6" s="1"/>
  <c r="AE64" i="6"/>
  <c r="AF36" i="6"/>
  <c r="CW50" i="12" l="1"/>
  <c r="AE62" i="6"/>
  <c r="AF37" i="6"/>
  <c r="AF35" i="6" s="1"/>
  <c r="AE52" i="6"/>
  <c r="AE44" i="6"/>
  <c r="AE60" i="6" l="1"/>
  <c r="AF40" i="6" s="1"/>
  <c r="AF43" i="6" s="1"/>
  <c r="AF49" i="6" s="1"/>
  <c r="AF39" i="6" l="1"/>
  <c r="AF42" i="6" s="1"/>
  <c r="AF48" i="6" s="1"/>
  <c r="AF47" i="6" s="1"/>
  <c r="AF46" i="6"/>
  <c r="AF38" i="6" l="1"/>
  <c r="AF56" i="6"/>
  <c r="AF64" i="6" s="1"/>
  <c r="AF45" i="6"/>
  <c r="AF53" i="6" s="1"/>
  <c r="AF61" i="6" s="1"/>
  <c r="AF41" i="6"/>
  <c r="AG36" i="6" l="1"/>
  <c r="AF44" i="6"/>
  <c r="AF57" i="6"/>
  <c r="AF54" i="6"/>
  <c r="AF62" i="6" l="1"/>
  <c r="AG37" i="6"/>
  <c r="AF52" i="6"/>
  <c r="AF65" i="6"/>
  <c r="AF55" i="6"/>
  <c r="CX50" i="12" l="1"/>
  <c r="AF60" i="6"/>
  <c r="AF63" i="6"/>
  <c r="AG35" i="6"/>
  <c r="AG40" i="6" l="1"/>
  <c r="AG43" i="6" s="1"/>
  <c r="AG49" i="6" s="1"/>
  <c r="AG39" i="6"/>
  <c r="AG42" i="6" s="1"/>
  <c r="AG48" i="6" s="1"/>
  <c r="AG45" i="6" l="1"/>
  <c r="AG46" i="6"/>
  <c r="AG47" i="6"/>
  <c r="AG56" i="6"/>
  <c r="AG64" i="6" s="1"/>
  <c r="AG38" i="6"/>
  <c r="AG44" i="6" l="1"/>
  <c r="AG53" i="6"/>
  <c r="AG61" i="6" s="1"/>
  <c r="AG41" i="6"/>
  <c r="AH36" i="6" l="1"/>
  <c r="AG54" i="6"/>
  <c r="AG57" i="6"/>
  <c r="AG62" i="6" l="1"/>
  <c r="AG65" i="6"/>
  <c r="AG55" i="6"/>
  <c r="AH37" i="6"/>
  <c r="AG52" i="6"/>
  <c r="CY50" i="12" l="1"/>
  <c r="AG60" i="6"/>
  <c r="AH35" i="6"/>
  <c r="AG63" i="6"/>
  <c r="AH39" i="6" l="1"/>
  <c r="AH42" i="6" s="1"/>
  <c r="AH45" i="6" s="1"/>
  <c r="AH40" i="6"/>
  <c r="AH43" i="6" s="1"/>
  <c r="AH46" i="6" s="1"/>
  <c r="AH44" i="6" l="1"/>
  <c r="AH49" i="6"/>
  <c r="AH48" i="6"/>
  <c r="AH38" i="6"/>
  <c r="AH47" i="6" l="1"/>
  <c r="AH41" i="6"/>
  <c r="AH57" i="6"/>
  <c r="AH65" i="6" s="1"/>
  <c r="AH54" i="6"/>
  <c r="AH62" i="6" s="1"/>
  <c r="AH53" i="6" l="1"/>
  <c r="AI37" i="6"/>
  <c r="AH56" i="6"/>
  <c r="AH61" i="6" l="1"/>
  <c r="AH64" i="6"/>
  <c r="AH55" i="6"/>
  <c r="AH52" i="6"/>
  <c r="AI36" i="6"/>
  <c r="CZ50" i="12" l="1"/>
  <c r="AH60" i="6"/>
  <c r="AI35" i="6"/>
  <c r="AH63" i="6"/>
  <c r="AI40" i="6" l="1"/>
  <c r="AI43" i="6" s="1"/>
  <c r="AI49" i="6" s="1"/>
  <c r="AI39" i="6"/>
  <c r="AI42" i="6" s="1"/>
  <c r="AI48" i="6" s="1"/>
  <c r="AI47" i="6" l="1"/>
  <c r="AI45" i="6"/>
  <c r="AI46" i="6"/>
  <c r="AI38" i="6"/>
  <c r="AI44" i="6" l="1"/>
  <c r="AI54" i="6"/>
  <c r="AI62" i="6" s="1"/>
  <c r="AI57" i="6"/>
  <c r="AI65" i="6" s="1"/>
  <c r="AI41" i="6"/>
  <c r="AI53" i="6" l="1"/>
  <c r="AI56" i="6"/>
  <c r="AJ37" i="6"/>
  <c r="AI61" i="6" l="1"/>
  <c r="AI64" i="6"/>
  <c r="AI55" i="6"/>
  <c r="AI52" i="6"/>
  <c r="AJ36" i="6"/>
  <c r="DA50" i="12" l="1"/>
  <c r="AI60" i="6"/>
  <c r="AJ35" i="6"/>
  <c r="AI63" i="6"/>
  <c r="AJ39" i="6" l="1"/>
  <c r="AJ42" i="6" s="1"/>
  <c r="AJ48" i="6" s="1"/>
  <c r="AJ40" i="6"/>
  <c r="AJ43" i="6" s="1"/>
  <c r="AJ49" i="6" s="1"/>
  <c r="AJ47" i="6" l="1"/>
  <c r="AJ45" i="6"/>
  <c r="AJ46" i="6"/>
  <c r="AJ38" i="6"/>
  <c r="AJ44" i="6" l="1"/>
  <c r="AJ54" i="6"/>
  <c r="AJ62" i="6" s="1"/>
  <c r="AJ57" i="6"/>
  <c r="AJ65" i="6" s="1"/>
  <c r="AJ41" i="6"/>
  <c r="AJ56" i="6" l="1"/>
  <c r="AJ53" i="6"/>
  <c r="AK37" i="6"/>
  <c r="AJ61" i="6" l="1"/>
  <c r="AJ52" i="6"/>
  <c r="AK36" i="6"/>
  <c r="AJ55" i="6"/>
  <c r="AJ64" i="6"/>
  <c r="DB50" i="12" l="1"/>
  <c r="AJ60" i="6"/>
  <c r="AK35" i="6"/>
  <c r="AJ63" i="6"/>
  <c r="AK40" i="6" l="1"/>
  <c r="AK43" i="6" s="1"/>
  <c r="AK46" i="6" s="1"/>
  <c r="AK39" i="6"/>
  <c r="AK42" i="6" s="1"/>
  <c r="AK48" i="6" s="1"/>
  <c r="AK45" i="6" l="1"/>
  <c r="AK44" i="6" s="1"/>
  <c r="AK49" i="6"/>
  <c r="AK47" i="6" s="1"/>
  <c r="AK38" i="6"/>
  <c r="AK41" i="6" l="1"/>
  <c r="AK54" i="6"/>
  <c r="AK62" i="6" s="1"/>
  <c r="AK57" i="6"/>
  <c r="AK65" i="6" s="1"/>
  <c r="AK53" i="6" l="1"/>
  <c r="AL37" i="6"/>
  <c r="AK56" i="6"/>
  <c r="AK61" i="6" l="1"/>
  <c r="AK64" i="6"/>
  <c r="AK55" i="6"/>
  <c r="AK52" i="6"/>
  <c r="AL36" i="6"/>
  <c r="DC50" i="12" l="1"/>
  <c r="AK60" i="6"/>
  <c r="AK63" i="6"/>
  <c r="AL35" i="6"/>
  <c r="AL39" i="6" l="1"/>
  <c r="AL42" i="6" s="1"/>
  <c r="AL45" i="6" s="1"/>
  <c r="AL40" i="6"/>
  <c r="AL43" i="6" s="1"/>
  <c r="AL46" i="6" s="1"/>
  <c r="AL44" i="6" l="1"/>
  <c r="AL48" i="6"/>
  <c r="AL49" i="6"/>
  <c r="AL38" i="6"/>
  <c r="AL47" i="6" l="1"/>
  <c r="AL57" i="6"/>
  <c r="AL65" i="6" s="1"/>
  <c r="AL54" i="6"/>
  <c r="AL62" i="6" s="1"/>
  <c r="AL41" i="6"/>
  <c r="AM37" i="6" l="1"/>
  <c r="AL56" i="6"/>
  <c r="AL53" i="6"/>
  <c r="AL61" i="6" l="1"/>
  <c r="AL64" i="6"/>
  <c r="AL55" i="6"/>
  <c r="AL52" i="6"/>
  <c r="AM36" i="6"/>
  <c r="DD50" i="12" l="1"/>
  <c r="AL60" i="6"/>
  <c r="AM35" i="6"/>
  <c r="AL63" i="6"/>
  <c r="AM40" i="6" l="1"/>
  <c r="AM43" i="6" s="1"/>
  <c r="AM49" i="6" s="1"/>
  <c r="AM39" i="6"/>
  <c r="AM42" i="6" s="1"/>
  <c r="AM48" i="6" s="1"/>
  <c r="AM47" i="6" l="1"/>
  <c r="AM46" i="6"/>
  <c r="AM45" i="6"/>
  <c r="AM38" i="6"/>
  <c r="AM44" i="6" l="1"/>
  <c r="AM41" i="6"/>
  <c r="AM57" i="6"/>
  <c r="AM65" i="6" s="1"/>
  <c r="AM54" i="6"/>
  <c r="AM62" i="6" s="1"/>
  <c r="AM56" i="6" l="1"/>
  <c r="AN37" i="6"/>
  <c r="AM53" i="6"/>
  <c r="AM61" i="6" l="1"/>
  <c r="AM52" i="6"/>
  <c r="AN36" i="6"/>
  <c r="AM64" i="6"/>
  <c r="AM55" i="6"/>
  <c r="DE50" i="12" l="1"/>
  <c r="AM60" i="6"/>
  <c r="AN35" i="6"/>
  <c r="AM63" i="6"/>
  <c r="AN39" i="6" l="1"/>
  <c r="AN42" i="6" s="1"/>
  <c r="AN48" i="6" s="1"/>
  <c r="AN40" i="6"/>
  <c r="AN43" i="6" s="1"/>
  <c r="AN49" i="6" s="1"/>
  <c r="AN47" i="6" l="1"/>
  <c r="AN45" i="6"/>
  <c r="AN46" i="6"/>
  <c r="AN38" i="6"/>
  <c r="AN44" i="6" l="1"/>
  <c r="AN57" i="6"/>
  <c r="AN65" i="6" s="1"/>
  <c r="AN54" i="6"/>
  <c r="AN62" i="6" s="1"/>
  <c r="AN41" i="6"/>
  <c r="AN56" i="6" l="1"/>
  <c r="AO37" i="6"/>
  <c r="AN53" i="6"/>
  <c r="AN61" i="6" l="1"/>
  <c r="AN52" i="6"/>
  <c r="AO36" i="6"/>
  <c r="AN55" i="6"/>
  <c r="AN64" i="6"/>
  <c r="DF50" i="12" l="1"/>
  <c r="AN60" i="6"/>
  <c r="G27" i="7" s="1"/>
  <c r="G22" i="7"/>
  <c r="AN63" i="6"/>
  <c r="G28" i="7" s="1"/>
  <c r="AO35" i="6"/>
  <c r="G21" i="7"/>
  <c r="G35" i="7" s="1"/>
  <c r="G36" i="7" l="1"/>
  <c r="G50" i="7" s="1"/>
  <c r="AO39" i="6"/>
  <c r="AO42" i="6" s="1"/>
  <c r="AO48" i="6" s="1"/>
  <c r="AO40" i="6"/>
  <c r="AO43" i="6" s="1"/>
  <c r="AO45" i="6" l="1"/>
  <c r="AO53" i="6" s="1"/>
  <c r="AO61" i="6" s="1"/>
  <c r="AO41" i="6"/>
  <c r="AO49" i="6"/>
  <c r="AO57" i="6" s="1"/>
  <c r="AO65" i="6" s="1"/>
  <c r="AO46" i="6"/>
  <c r="AO54" i="6" s="1"/>
  <c r="AO62" i="6" s="1"/>
  <c r="AO56" i="6"/>
  <c r="AO64" i="6" s="1"/>
  <c r="AO38" i="6"/>
  <c r="AO60" i="6" l="1"/>
  <c r="AO47" i="6"/>
  <c r="AO44" i="6"/>
  <c r="AO55" i="6"/>
  <c r="AP37" i="6"/>
  <c r="AO52" i="6"/>
  <c r="AP36" i="6"/>
  <c r="AO63" i="6" l="1"/>
  <c r="AP35" i="6"/>
  <c r="AP40" i="6" l="1"/>
  <c r="AP43" i="6" s="1"/>
  <c r="AP49" i="6" s="1"/>
  <c r="AP57" i="6" s="1"/>
  <c r="AP65" i="6" s="1"/>
  <c r="AP39" i="6"/>
  <c r="AP42" i="6" s="1"/>
  <c r="DG50" i="12" l="1"/>
  <c r="AP41" i="6"/>
  <c r="AP48" i="6"/>
  <c r="AP47" i="6" s="1"/>
  <c r="AP45" i="6"/>
  <c r="AP46" i="6"/>
  <c r="AP54" i="6" s="1"/>
  <c r="AP62" i="6" s="1"/>
  <c r="AP38" i="6"/>
  <c r="AP56" i="6" l="1"/>
  <c r="AP55" i="6" s="1"/>
  <c r="AP44" i="6"/>
  <c r="AQ37" i="6"/>
  <c r="AP53" i="6"/>
  <c r="AP61" i="6" l="1"/>
  <c r="AP64" i="6"/>
  <c r="AP63" i="6"/>
  <c r="AP52" i="6"/>
  <c r="AQ36" i="6"/>
  <c r="AQ35" i="6" s="1"/>
  <c r="AP60" i="6" l="1"/>
  <c r="AQ40" i="6" s="1"/>
  <c r="AQ43" i="6" s="1"/>
  <c r="AQ49" i="6" s="1"/>
  <c r="AQ57" i="6" s="1"/>
  <c r="AQ65" i="6" s="1"/>
  <c r="AQ39" i="6" l="1"/>
  <c r="AQ42" i="6" s="1"/>
  <c r="AQ48" i="6" s="1"/>
  <c r="AQ47" i="6" s="1"/>
  <c r="AQ46" i="6"/>
  <c r="AQ54" i="6" s="1"/>
  <c r="AQ62" i="6" s="1"/>
  <c r="AQ38" i="6" l="1"/>
  <c r="AQ41" i="6"/>
  <c r="AQ45" i="6"/>
  <c r="AQ53" i="6" s="1"/>
  <c r="AQ56" i="6"/>
  <c r="AQ55" i="6" s="1"/>
  <c r="AR37" i="6"/>
  <c r="DH50" i="12" l="1"/>
  <c r="M21" i="13" s="1"/>
  <c r="AQ61" i="6"/>
  <c r="AQ52" i="6"/>
  <c r="AR36" i="6"/>
  <c r="AR35" i="6" s="1"/>
  <c r="AQ44" i="6"/>
  <c r="AQ64" i="6"/>
  <c r="AQ63" i="6"/>
  <c r="M40" i="13" l="1"/>
  <c r="AQ60" i="6"/>
  <c r="AR40" i="6" s="1"/>
  <c r="AR43" i="6" s="1"/>
  <c r="AR49" i="6" s="1"/>
  <c r="AR39" i="6" l="1"/>
  <c r="AR42" i="6" s="1"/>
  <c r="AR45" i="6" s="1"/>
  <c r="AR46" i="6"/>
  <c r="M27" i="13" l="1"/>
  <c r="AR48" i="6"/>
  <c r="AR47" i="6" s="1"/>
  <c r="AR38" i="6"/>
  <c r="AR44" i="6"/>
  <c r="AR54" i="6"/>
  <c r="AR62" i="6" s="1"/>
  <c r="AR57" i="6"/>
  <c r="AR65" i="6" s="1"/>
  <c r="AR41" i="6"/>
  <c r="AR56" i="6" l="1"/>
  <c r="AR53" i="6"/>
  <c r="AS37" i="6"/>
  <c r="AR61" i="6" l="1"/>
  <c r="AR52" i="6"/>
  <c r="AS36" i="6"/>
  <c r="AR64" i="6"/>
  <c r="AR55" i="6"/>
  <c r="DI50" i="12" l="1"/>
  <c r="AR60" i="6"/>
  <c r="AS35" i="6"/>
  <c r="AR63" i="6"/>
  <c r="AS40" i="6" l="1"/>
  <c r="AS43" i="6" s="1"/>
  <c r="AS49" i="6" s="1"/>
  <c r="AS39" i="6"/>
  <c r="AS42" i="6" s="1"/>
  <c r="AS48" i="6" s="1"/>
  <c r="AS47" i="6" l="1"/>
  <c r="AS45" i="6"/>
  <c r="AS46" i="6"/>
  <c r="AS38" i="6"/>
  <c r="AS44" i="6" l="1"/>
  <c r="AS41" i="6"/>
  <c r="AS54" i="6"/>
  <c r="AS62" i="6" s="1"/>
  <c r="AS57" i="6"/>
  <c r="AS65" i="6" s="1"/>
  <c r="AS56" i="6" l="1"/>
  <c r="AT37" i="6"/>
  <c r="AS53" i="6"/>
  <c r="AS61" i="6" l="1"/>
  <c r="AS52" i="6"/>
  <c r="AT36" i="6"/>
  <c r="AS64" i="6"/>
  <c r="AS55" i="6"/>
  <c r="DJ50" i="12" l="1"/>
  <c r="AS60" i="6"/>
  <c r="AT35" i="6"/>
  <c r="AS63" i="6"/>
  <c r="AT39" i="6" l="1"/>
  <c r="AT42" i="6" s="1"/>
  <c r="AT48" i="6" s="1"/>
  <c r="AT40" i="6"/>
  <c r="AT43" i="6" s="1"/>
  <c r="AT46" i="6" s="1"/>
  <c r="AT45" i="6" l="1"/>
  <c r="AT44" i="6" s="1"/>
  <c r="AT49" i="6"/>
  <c r="AT47" i="6" s="1"/>
  <c r="AT38" i="6"/>
  <c r="AT41" i="6" l="1"/>
  <c r="AT54" i="6"/>
  <c r="AT62" i="6" s="1"/>
  <c r="AT57" i="6"/>
  <c r="AT65" i="6" s="1"/>
  <c r="AT53" i="6" l="1"/>
  <c r="AU37" i="6"/>
  <c r="AT56" i="6"/>
  <c r="AT61" i="6" l="1"/>
  <c r="AT55" i="6"/>
  <c r="AT64" i="6"/>
  <c r="AT52" i="6"/>
  <c r="AU36" i="6"/>
  <c r="AU35" i="6" s="1"/>
  <c r="DK50" i="12" l="1"/>
  <c r="AT60" i="6"/>
  <c r="AT63" i="6"/>
  <c r="AU39" i="6" l="1"/>
  <c r="AU42" i="6" s="1"/>
  <c r="AU45" i="6" s="1"/>
  <c r="AU40" i="6"/>
  <c r="AU43" i="6" s="1"/>
  <c r="AU49" i="6" s="1"/>
  <c r="AU48" i="6" l="1"/>
  <c r="AU47" i="6" s="1"/>
  <c r="AU46" i="6"/>
  <c r="AU44" i="6" s="1"/>
  <c r="AU38" i="6"/>
  <c r="AU41" i="6" l="1"/>
  <c r="AU54" i="6"/>
  <c r="AU62" i="6" s="1"/>
  <c r="AU57" i="6"/>
  <c r="AU65" i="6" s="1"/>
  <c r="AU53" i="6" l="1"/>
  <c r="AU56" i="6"/>
  <c r="AV37" i="6"/>
  <c r="AU61" i="6" l="1"/>
  <c r="AU64" i="6"/>
  <c r="AU55" i="6"/>
  <c r="AV36" i="6"/>
  <c r="AU52" i="6"/>
  <c r="DL50" i="12" l="1"/>
  <c r="AU60" i="6"/>
  <c r="AV35" i="6"/>
  <c r="AU63" i="6"/>
  <c r="AV40" i="6" l="1"/>
  <c r="AV43" i="6" s="1"/>
  <c r="AV49" i="6" s="1"/>
  <c r="AV39" i="6"/>
  <c r="AV42" i="6" s="1"/>
  <c r="AV48" i="6" s="1"/>
  <c r="AV45" i="6" l="1"/>
  <c r="AV47" i="6"/>
  <c r="AV46" i="6"/>
  <c r="AV38" i="6"/>
  <c r="AV44" i="6" l="1"/>
  <c r="AV41" i="6"/>
  <c r="AV54" i="6"/>
  <c r="AV62" i="6" s="1"/>
  <c r="AV57" i="6"/>
  <c r="AV65" i="6" s="1"/>
  <c r="AW37" i="6" l="1"/>
  <c r="AV56" i="6"/>
  <c r="AV53" i="6"/>
  <c r="AV61" i="6" l="1"/>
  <c r="AV64" i="6"/>
  <c r="AV55" i="6"/>
  <c r="AV52" i="6"/>
  <c r="AW36" i="6"/>
  <c r="DM50" i="12" l="1"/>
  <c r="AV60" i="6"/>
  <c r="AV63" i="6"/>
  <c r="AW35" i="6"/>
  <c r="AW40" i="6" l="1"/>
  <c r="AW43" i="6" s="1"/>
  <c r="AW46" i="6" s="1"/>
  <c r="AW39" i="6"/>
  <c r="AW42" i="6" s="1"/>
  <c r="AW48" i="6" s="1"/>
  <c r="AW49" i="6" l="1"/>
  <c r="AW47" i="6" s="1"/>
  <c r="AW45" i="6"/>
  <c r="AW44" i="6" s="1"/>
  <c r="AW38" i="6"/>
  <c r="AW41" i="6" l="1"/>
  <c r="AW54" i="6"/>
  <c r="AW62" i="6" s="1"/>
  <c r="AW57" i="6"/>
  <c r="AW65" i="6" s="1"/>
  <c r="AW53" i="6" l="1"/>
  <c r="AX37" i="6"/>
  <c r="AW56" i="6"/>
  <c r="AW61" i="6" l="1"/>
  <c r="AW64" i="6"/>
  <c r="AW55" i="6"/>
  <c r="AW52" i="6"/>
  <c r="AX36" i="6"/>
  <c r="DN50" i="12" l="1"/>
  <c r="AW60" i="6"/>
  <c r="AX35" i="6"/>
  <c r="AW63" i="6"/>
  <c r="AX40" i="6" l="1"/>
  <c r="AX43" i="6" s="1"/>
  <c r="AX46" i="6" s="1"/>
  <c r="AX39" i="6"/>
  <c r="AX42" i="6" s="1"/>
  <c r="AX45" i="6" s="1"/>
  <c r="AX44" i="6" l="1"/>
  <c r="AX49" i="6"/>
  <c r="AX48" i="6"/>
  <c r="AX38" i="6"/>
  <c r="AX47" i="6" l="1"/>
  <c r="AX54" i="6"/>
  <c r="AX62" i="6" s="1"/>
  <c r="AX57" i="6"/>
  <c r="AX65" i="6" s="1"/>
  <c r="AX41" i="6"/>
  <c r="AX53" i="6" l="1"/>
  <c r="AX56" i="6"/>
  <c r="AY37" i="6"/>
  <c r="AX61" i="6" l="1"/>
  <c r="AX64" i="6"/>
  <c r="AX55" i="6"/>
  <c r="AX52" i="6"/>
  <c r="AY36" i="6"/>
  <c r="DO50" i="12" l="1"/>
  <c r="AX60" i="6"/>
  <c r="AX63" i="6"/>
  <c r="AY35" i="6"/>
  <c r="AY40" i="6" l="1"/>
  <c r="AY43" i="6" s="1"/>
  <c r="AY49" i="6" s="1"/>
  <c r="AY39" i="6"/>
  <c r="AY42" i="6" s="1"/>
  <c r="AY48" i="6" s="1"/>
  <c r="AY47" i="6" l="1"/>
  <c r="AY45" i="6"/>
  <c r="AY46" i="6"/>
  <c r="AY38" i="6"/>
  <c r="AY44" i="6" l="1"/>
  <c r="AY57" i="6"/>
  <c r="AY65" i="6" s="1"/>
  <c r="AY54" i="6"/>
  <c r="AY62" i="6" s="1"/>
  <c r="AY41" i="6"/>
  <c r="AY53" i="6" l="1"/>
  <c r="AZ37" i="6"/>
  <c r="AY56" i="6"/>
  <c r="AY61" i="6" l="1"/>
  <c r="AY55" i="6"/>
  <c r="AY64" i="6"/>
  <c r="AY52" i="6"/>
  <c r="AZ36" i="6"/>
  <c r="DP50" i="12" l="1"/>
  <c r="AY60" i="6"/>
  <c r="AZ35" i="6"/>
  <c r="AY63" i="6"/>
  <c r="AZ39" i="6" l="1"/>
  <c r="AZ42" i="6" s="1"/>
  <c r="AZ48" i="6" s="1"/>
  <c r="AZ40" i="6"/>
  <c r="AZ43" i="6" s="1"/>
  <c r="AZ49" i="6" s="1"/>
  <c r="AZ47" i="6" l="1"/>
  <c r="AZ45" i="6"/>
  <c r="AZ46" i="6"/>
  <c r="AZ38" i="6"/>
  <c r="AZ44" i="6" l="1"/>
  <c r="AZ54" i="6"/>
  <c r="AZ62" i="6" s="1"/>
  <c r="AZ57" i="6"/>
  <c r="AZ65" i="6" s="1"/>
  <c r="AZ41" i="6"/>
  <c r="AZ53" i="6" l="1"/>
  <c r="AZ56" i="6"/>
  <c r="BA37" i="6"/>
  <c r="AZ61" i="6" l="1"/>
  <c r="AZ64" i="6"/>
  <c r="AZ55" i="6"/>
  <c r="AZ52" i="6"/>
  <c r="BA36" i="6"/>
  <c r="DQ50" i="12" l="1"/>
  <c r="AZ60" i="6"/>
  <c r="H27" i="7" s="1"/>
  <c r="H22" i="7"/>
  <c r="AZ63" i="6"/>
  <c r="H28" i="7" s="1"/>
  <c r="H21" i="7"/>
  <c r="H35" i="7" s="1"/>
  <c r="H36" i="7" s="1"/>
  <c r="H50" i="7" s="1"/>
  <c r="BA35" i="6"/>
  <c r="BA39" i="6" l="1"/>
  <c r="BA42" i="6" s="1"/>
  <c r="BA48" i="6" s="1"/>
  <c r="BA40" i="6"/>
  <c r="BA43" i="6" s="1"/>
  <c r="BA49" i="6" s="1"/>
  <c r="BA45" i="6" l="1"/>
  <c r="BA47" i="6"/>
  <c r="BA46" i="6"/>
  <c r="BA38" i="6"/>
  <c r="BA44" i="6" l="1"/>
  <c r="BA41" i="6"/>
  <c r="BA57" i="6"/>
  <c r="BA65" i="6" s="1"/>
  <c r="BA54" i="6"/>
  <c r="BA62" i="6" s="1"/>
  <c r="BA56" i="6" l="1"/>
  <c r="BB37" i="6"/>
  <c r="BA53" i="6"/>
  <c r="BA61" i="6" l="1"/>
  <c r="BA52" i="6"/>
  <c r="BB36" i="6"/>
  <c r="BA64" i="6"/>
  <c r="BA55" i="6"/>
  <c r="DR50" i="12" l="1"/>
  <c r="BA60" i="6"/>
  <c r="BB35" i="6"/>
  <c r="BA63" i="6"/>
  <c r="BB39" i="6" l="1"/>
  <c r="BB42" i="6" s="1"/>
  <c r="BB48" i="6" s="1"/>
  <c r="BB40" i="6"/>
  <c r="BB43" i="6" s="1"/>
  <c r="BB49" i="6" s="1"/>
  <c r="BB47" i="6" l="1"/>
  <c r="BB45" i="6"/>
  <c r="BB46" i="6"/>
  <c r="BB38" i="6"/>
  <c r="BB44" i="6" l="1"/>
  <c r="BB41" i="6"/>
  <c r="BB57" i="6"/>
  <c r="BB65" i="6" s="1"/>
  <c r="BB54" i="6"/>
  <c r="BB62" i="6" s="1"/>
  <c r="BB53" i="6" l="1"/>
  <c r="BC37" i="6"/>
  <c r="BB56" i="6"/>
  <c r="BB61" i="6" l="1"/>
  <c r="BB64" i="6"/>
  <c r="BB55" i="6"/>
  <c r="BB52" i="6"/>
  <c r="BC36" i="6"/>
  <c r="DS50" i="12" l="1"/>
  <c r="BB60" i="6"/>
  <c r="BB63" i="6"/>
  <c r="BC35" i="6"/>
  <c r="BC40" i="6" l="1"/>
  <c r="BC43" i="6" s="1"/>
  <c r="BC46" i="6" s="1"/>
  <c r="BC39" i="6"/>
  <c r="BC42" i="6" s="1"/>
  <c r="BC45" i="6" s="1"/>
  <c r="BC44" i="6" l="1"/>
  <c r="BC48" i="6"/>
  <c r="BC49" i="6"/>
  <c r="BC38" i="6"/>
  <c r="BC47" i="6" l="1"/>
  <c r="BC54" i="6"/>
  <c r="BC62" i="6" s="1"/>
  <c r="BC57" i="6"/>
  <c r="BC65" i="6" s="1"/>
  <c r="BC41" i="6"/>
  <c r="BC53" i="6" l="1"/>
  <c r="BC56" i="6"/>
  <c r="BD37" i="6"/>
  <c r="BC61" i="6" l="1"/>
  <c r="BC64" i="6"/>
  <c r="BC55" i="6"/>
  <c r="BC52" i="6"/>
  <c r="BD36" i="6"/>
  <c r="DT50" i="12" l="1"/>
  <c r="N21" i="13" s="1"/>
  <c r="BC60" i="6"/>
  <c r="BD35" i="6"/>
  <c r="BC63" i="6"/>
  <c r="N40" i="13" l="1"/>
  <c r="BD39" i="6"/>
  <c r="BD42" i="6" s="1"/>
  <c r="BD48" i="6" s="1"/>
  <c r="BD40" i="6"/>
  <c r="BD43" i="6" s="1"/>
  <c r="BD49" i="6" s="1"/>
  <c r="BD47" i="6" l="1"/>
  <c r="BD45" i="6"/>
  <c r="BD46" i="6"/>
  <c r="BD38" i="6"/>
  <c r="N27" i="13" l="1"/>
  <c r="BD44" i="6"/>
  <c r="BD57" i="6"/>
  <c r="BD65" i="6" s="1"/>
  <c r="BD54" i="6"/>
  <c r="BD62" i="6" s="1"/>
  <c r="BD41" i="6"/>
  <c r="BD53" i="6" l="1"/>
  <c r="BE37" i="6"/>
  <c r="BD56" i="6"/>
  <c r="BD61" i="6" l="1"/>
  <c r="BD64" i="6"/>
  <c r="BD55" i="6"/>
  <c r="BD52" i="6"/>
  <c r="BE36" i="6"/>
  <c r="DU50" i="12" l="1"/>
  <c r="O21" i="13" s="1"/>
  <c r="BD60" i="6"/>
  <c r="BD63" i="6"/>
  <c r="BE35" i="6"/>
  <c r="O40" i="13" l="1"/>
  <c r="DU58" i="12"/>
  <c r="O27" i="13" s="1"/>
  <c r="BE39" i="6"/>
  <c r="BE42" i="6" s="1"/>
  <c r="BE45" i="6" s="1"/>
  <c r="BE40" i="6"/>
  <c r="BE43" i="6" s="1"/>
  <c r="BE46" i="6" s="1"/>
  <c r="D45" i="13" l="1"/>
  <c r="BE44" i="6"/>
  <c r="BE48" i="6"/>
  <c r="BE49" i="6"/>
  <c r="BE38" i="6"/>
  <c r="BE47" i="6" l="1"/>
  <c r="BE41" i="6"/>
  <c r="BE57" i="6"/>
  <c r="BE65" i="6" s="1"/>
  <c r="BE54" i="6"/>
  <c r="BE62" i="6" s="1"/>
  <c r="BE53" i="6" l="1"/>
  <c r="BF37" i="6"/>
  <c r="BE56" i="6"/>
  <c r="BE61" i="6" l="1"/>
  <c r="BE55" i="6"/>
  <c r="BE64" i="6"/>
  <c r="BE52" i="6"/>
  <c r="BF36" i="6"/>
  <c r="BE60" i="6" l="1"/>
  <c r="BE63" i="6"/>
  <c r="BF35" i="6"/>
  <c r="BF39" i="6" l="1"/>
  <c r="BF42" i="6" s="1"/>
  <c r="BF45" i="6" s="1"/>
  <c r="BF40" i="6"/>
  <c r="BF43" i="6" s="1"/>
  <c r="BF49" i="6" s="1"/>
  <c r="BF48" i="6" l="1"/>
  <c r="BF47" i="6" s="1"/>
  <c r="BF46" i="6"/>
  <c r="BF44" i="6" s="1"/>
  <c r="BF38" i="6"/>
  <c r="BF41" i="6" l="1"/>
  <c r="BF54" i="6"/>
  <c r="BF62" i="6" s="1"/>
  <c r="BF57" i="6"/>
  <c r="BF65" i="6" s="1"/>
  <c r="BG37" i="6" l="1"/>
  <c r="BF53" i="6"/>
  <c r="BF56" i="6"/>
  <c r="BF61" i="6" l="1"/>
  <c r="BF64" i="6"/>
  <c r="BF55" i="6"/>
  <c r="BF52" i="6"/>
  <c r="BG36" i="6"/>
  <c r="BF60" i="6" l="1"/>
  <c r="BF63" i="6"/>
  <c r="BG35" i="6"/>
  <c r="BG40" i="6" l="1"/>
  <c r="BG43" i="6" s="1"/>
  <c r="BG49" i="6" s="1"/>
  <c r="BG39" i="6"/>
  <c r="BG42" i="6" s="1"/>
  <c r="BG48" i="6" s="1"/>
  <c r="BG47" i="6" l="1"/>
  <c r="BG46" i="6"/>
  <c r="BG45" i="6"/>
  <c r="BG38" i="6"/>
  <c r="BG44" i="6" l="1"/>
  <c r="BG41" i="6"/>
  <c r="BG54" i="6"/>
  <c r="BG62" i="6" s="1"/>
  <c r="BG57" i="6"/>
  <c r="BG65" i="6" s="1"/>
  <c r="BG53" i="6" l="1"/>
  <c r="BH37" i="6"/>
  <c r="BG56" i="6"/>
  <c r="BG61" i="6" l="1"/>
  <c r="BG64" i="6"/>
  <c r="BG55" i="6"/>
  <c r="BG52" i="6"/>
  <c r="BH36" i="6"/>
  <c r="BG60" i="6" l="1"/>
  <c r="BG63" i="6"/>
  <c r="BH35" i="6"/>
  <c r="BH40" i="6" l="1"/>
  <c r="BH43" i="6" s="1"/>
  <c r="BH49" i="6" s="1"/>
  <c r="BH39" i="6"/>
  <c r="BH42" i="6" s="1"/>
  <c r="BH48" i="6" s="1"/>
  <c r="BH47" i="6" l="1"/>
  <c r="BH45" i="6"/>
  <c r="BH46" i="6"/>
  <c r="BH38" i="6"/>
  <c r="BH44" i="6" l="1"/>
  <c r="BH41" i="6"/>
  <c r="BH54" i="6"/>
  <c r="BH62" i="6" s="1"/>
  <c r="BH57" i="6"/>
  <c r="BH65" i="6" s="1"/>
  <c r="BH53" i="6" l="1"/>
  <c r="BI37" i="6"/>
  <c r="BH56" i="6"/>
  <c r="BH61" i="6" l="1"/>
  <c r="BH64" i="6"/>
  <c r="BH55" i="6"/>
  <c r="BH52" i="6"/>
  <c r="BI36" i="6"/>
  <c r="BI35" i="6" s="1"/>
  <c r="BH60" i="6" l="1"/>
  <c r="BH63" i="6"/>
  <c r="BI39" i="6" l="1"/>
  <c r="BI42" i="6" s="1"/>
  <c r="BI45" i="6" s="1"/>
  <c r="BI40" i="6"/>
  <c r="BI43" i="6" s="1"/>
  <c r="BI46" i="6" s="1"/>
  <c r="BI48" i="6" l="1"/>
  <c r="BI49" i="6"/>
  <c r="BI44" i="6"/>
  <c r="BI38" i="6"/>
  <c r="BI47" i="6" l="1"/>
  <c r="BI41" i="6"/>
  <c r="BI54" i="6"/>
  <c r="BI62" i="6" s="1"/>
  <c r="BI57" i="6"/>
  <c r="BI65" i="6" s="1"/>
  <c r="BI56" i="6" l="1"/>
  <c r="BJ37" i="6"/>
  <c r="BI53" i="6"/>
  <c r="BI61" i="6" l="1"/>
  <c r="BJ36" i="6"/>
  <c r="BI52" i="6"/>
  <c r="BI64" i="6"/>
  <c r="BI55" i="6"/>
  <c r="BI60" i="6" l="1"/>
  <c r="BI63" i="6"/>
  <c r="BJ35" i="6"/>
  <c r="BJ40" i="6" l="1"/>
  <c r="BJ43" i="6" s="1"/>
  <c r="BJ46" i="6" s="1"/>
  <c r="BJ39" i="6"/>
  <c r="BJ42" i="6" s="1"/>
  <c r="BJ45" i="6" s="1"/>
  <c r="BJ44" i="6" l="1"/>
  <c r="BJ49" i="6"/>
  <c r="BJ48" i="6"/>
  <c r="BJ38" i="6"/>
  <c r="BJ47" i="6" l="1"/>
  <c r="BJ41" i="6"/>
  <c r="BJ54" i="6"/>
  <c r="BJ62" i="6" s="1"/>
  <c r="BJ57" i="6"/>
  <c r="BJ65" i="6" s="1"/>
  <c r="BJ56" i="6" l="1"/>
  <c r="BK37" i="6"/>
  <c r="BJ53" i="6"/>
  <c r="BJ61" i="6" l="1"/>
  <c r="BJ52" i="6"/>
  <c r="BK36" i="6"/>
  <c r="BJ64" i="6"/>
  <c r="BJ55" i="6"/>
  <c r="BJ60" i="6" l="1"/>
  <c r="BK35" i="6"/>
  <c r="BJ63" i="6"/>
  <c r="BK40" i="6" l="1"/>
  <c r="BK43" i="6" s="1"/>
  <c r="BK49" i="6" s="1"/>
  <c r="BK39" i="6"/>
  <c r="BK42" i="6" s="1"/>
  <c r="BK48" i="6" s="1"/>
  <c r="BK47" i="6" l="1"/>
  <c r="BK46" i="6"/>
  <c r="BK45" i="6"/>
  <c r="BK38" i="6"/>
  <c r="BK44" i="6" l="1"/>
  <c r="BK57" i="6"/>
  <c r="BK65" i="6" s="1"/>
  <c r="BK54" i="6"/>
  <c r="BK62" i="6" s="1"/>
  <c r="BK41" i="6"/>
  <c r="BL37" i="6" l="1"/>
  <c r="BK53" i="6"/>
  <c r="BK56" i="6"/>
  <c r="BK61" i="6" l="1"/>
  <c r="BK52" i="6"/>
  <c r="BL36" i="6"/>
  <c r="BK64" i="6"/>
  <c r="BK55" i="6"/>
  <c r="BK60" i="6" l="1"/>
  <c r="BK63" i="6"/>
  <c r="BL35" i="6"/>
  <c r="BL40" i="6" l="1"/>
  <c r="BL43" i="6" s="1"/>
  <c r="BL46" i="6" s="1"/>
  <c r="BL39" i="6"/>
  <c r="BL42" i="6" s="1"/>
  <c r="BL45" i="6" s="1"/>
  <c r="BL44" i="6" l="1"/>
  <c r="BL48" i="6"/>
  <c r="BL49" i="6"/>
  <c r="BL38" i="6"/>
  <c r="BL47" i="6" l="1"/>
  <c r="BL54" i="6"/>
  <c r="BL62" i="6" s="1"/>
  <c r="BL57" i="6"/>
  <c r="BL65" i="6" s="1"/>
  <c r="BL41" i="6"/>
  <c r="BL53" i="6" l="1"/>
  <c r="BL56" i="6"/>
  <c r="BM37" i="6"/>
  <c r="BL61" i="6" l="1"/>
  <c r="BL55" i="6"/>
  <c r="BL64" i="6"/>
  <c r="BL52" i="6"/>
  <c r="BM36" i="6"/>
  <c r="BL60" i="6" l="1"/>
  <c r="I27" i="7" s="1"/>
  <c r="I21" i="7"/>
  <c r="I35" i="7" s="1"/>
  <c r="I22" i="7"/>
  <c r="BL63" i="6"/>
  <c r="I28" i="7" s="1"/>
  <c r="BM35" i="6"/>
  <c r="I36" i="7" l="1"/>
  <c r="I50" i="7" s="1"/>
  <c r="BM39" i="6"/>
  <c r="BM42" i="6" s="1"/>
  <c r="BM48" i="6" s="1"/>
  <c r="BM40" i="6"/>
  <c r="BM43" i="6" s="1"/>
  <c r="BM49" i="6" s="1"/>
  <c r="BM45" i="6" l="1"/>
  <c r="BM46" i="6"/>
  <c r="BM47" i="6"/>
  <c r="BM38" i="6"/>
  <c r="BM44" i="6" l="1"/>
  <c r="BM41" i="6"/>
  <c r="BM57" i="6"/>
  <c r="BM65" i="6" s="1"/>
  <c r="BM54" i="6"/>
  <c r="BM62" i="6" s="1"/>
  <c r="BM56" i="6" l="1"/>
  <c r="BN37" i="6"/>
  <c r="BM53" i="6"/>
  <c r="BM61" i="6" l="1"/>
  <c r="BM52" i="6"/>
  <c r="BN36" i="6"/>
  <c r="BM64" i="6"/>
  <c r="BM55" i="6"/>
  <c r="BM60" i="6" l="1"/>
  <c r="BN35" i="6"/>
  <c r="BM63" i="6"/>
  <c r="BN39" i="6" l="1"/>
  <c r="BN42" i="6" s="1"/>
  <c r="BN45" i="6" s="1"/>
  <c r="BN40" i="6"/>
  <c r="BN43" i="6" s="1"/>
  <c r="BN49" i="6" s="1"/>
  <c r="BN46" i="6" l="1"/>
  <c r="BN44" i="6" s="1"/>
  <c r="BN48" i="6"/>
  <c r="BN47" i="6" s="1"/>
  <c r="BN38" i="6"/>
  <c r="BN41" i="6" l="1"/>
  <c r="BN57" i="6"/>
  <c r="BN65" i="6" s="1"/>
  <c r="BN54" i="6"/>
  <c r="BN62" i="6" s="1"/>
  <c r="BN56" i="6" l="1"/>
  <c r="BO37" i="6"/>
  <c r="BN53" i="6"/>
  <c r="BN61" i="6" l="1"/>
  <c r="BN52" i="6"/>
  <c r="BO36" i="6"/>
  <c r="BN64" i="6"/>
  <c r="BN55" i="6"/>
  <c r="BN60" i="6" l="1"/>
  <c r="BO35" i="6"/>
  <c r="BN63" i="6"/>
  <c r="BO39" i="6" l="1"/>
  <c r="BO42" i="6" s="1"/>
  <c r="BO48" i="6" s="1"/>
  <c r="BO40" i="6"/>
  <c r="BO43" i="6" s="1"/>
  <c r="BO46" i="6" s="1"/>
  <c r="BO45" i="6" l="1"/>
  <c r="BO44" i="6" s="1"/>
  <c r="BO49" i="6"/>
  <c r="BO47" i="6" s="1"/>
  <c r="BO38" i="6"/>
  <c r="BO41" i="6" l="1"/>
  <c r="BO54" i="6"/>
  <c r="BO62" i="6" s="1"/>
  <c r="BO57" i="6"/>
  <c r="BO65" i="6" s="1"/>
  <c r="BP37" i="6" l="1"/>
  <c r="BO56" i="6"/>
  <c r="BO53" i="6"/>
  <c r="BO61" i="6" l="1"/>
  <c r="BO64" i="6"/>
  <c r="BO55" i="6"/>
  <c r="BO52" i="6"/>
  <c r="BP36" i="6"/>
  <c r="BO60" i="6" l="1"/>
  <c r="BO63" i="6"/>
  <c r="BP35" i="6"/>
  <c r="BP40" i="6" l="1"/>
  <c r="BP43" i="6" s="1"/>
  <c r="BP49" i="6" s="1"/>
  <c r="BP39" i="6"/>
  <c r="BP42" i="6" s="1"/>
  <c r="BP48" i="6" s="1"/>
  <c r="BP47" i="6" l="1"/>
  <c r="BP45" i="6"/>
  <c r="BP46" i="6"/>
  <c r="BP38" i="6"/>
  <c r="BP44" i="6" l="1"/>
  <c r="BP57" i="6"/>
  <c r="BP65" i="6" s="1"/>
  <c r="BP54" i="6"/>
  <c r="BP62" i="6" s="1"/>
  <c r="BP41" i="6"/>
  <c r="BP56" i="6" l="1"/>
  <c r="BQ37" i="6"/>
  <c r="BP53" i="6"/>
  <c r="BP61" i="6" l="1"/>
  <c r="BP52" i="6"/>
  <c r="BQ36" i="6"/>
  <c r="BP55" i="6"/>
  <c r="BP64" i="6"/>
  <c r="BP60" i="6" l="1"/>
  <c r="BP63" i="6"/>
  <c r="BQ35" i="6"/>
  <c r="BQ40" i="6" l="1"/>
  <c r="BQ43" i="6" s="1"/>
  <c r="BQ49" i="6" s="1"/>
  <c r="BQ39" i="6"/>
  <c r="BQ42" i="6" s="1"/>
  <c r="BQ48" i="6" s="1"/>
  <c r="BQ47" i="6" l="1"/>
  <c r="BQ45" i="6"/>
  <c r="BQ46" i="6"/>
  <c r="BQ38" i="6"/>
  <c r="BQ44" i="6" l="1"/>
  <c r="BQ41" i="6"/>
  <c r="BQ54" i="6"/>
  <c r="BQ62" i="6" s="1"/>
  <c r="BQ57" i="6"/>
  <c r="BQ65" i="6" s="1"/>
  <c r="BQ56" i="6" l="1"/>
  <c r="BR37" i="6"/>
  <c r="BQ53" i="6"/>
  <c r="BQ61" i="6" l="1"/>
  <c r="BQ52" i="6"/>
  <c r="BR36" i="6"/>
  <c r="BQ64" i="6"/>
  <c r="BQ55" i="6"/>
  <c r="BQ60" i="6" l="1"/>
  <c r="BR35" i="6"/>
  <c r="BQ63" i="6"/>
  <c r="BR39" i="6" l="1"/>
  <c r="BR42" i="6" s="1"/>
  <c r="BR45" i="6" s="1"/>
  <c r="BR40" i="6"/>
  <c r="BR43" i="6" s="1"/>
  <c r="BR49" i="6" s="1"/>
  <c r="BR48" i="6" l="1"/>
  <c r="BR47" i="6" s="1"/>
  <c r="BR46" i="6"/>
  <c r="BR44" i="6" s="1"/>
  <c r="BR38" i="6"/>
  <c r="BR57" i="6" l="1"/>
  <c r="BR65" i="6" s="1"/>
  <c r="BR54" i="6"/>
  <c r="BR62" i="6" s="1"/>
  <c r="BR41" i="6"/>
  <c r="BR56" i="6" l="1"/>
  <c r="BS37" i="6"/>
  <c r="BR53" i="6"/>
  <c r="BR61" i="6" l="1"/>
  <c r="BR52" i="6"/>
  <c r="BS36" i="6"/>
  <c r="BR64" i="6"/>
  <c r="BR55" i="6"/>
  <c r="BR60" i="6" l="1"/>
  <c r="BS35" i="6"/>
  <c r="BR63" i="6"/>
  <c r="BS39" i="6" l="1"/>
  <c r="BS42" i="6" s="1"/>
  <c r="BS48" i="6" s="1"/>
  <c r="BS40" i="6"/>
  <c r="BS43" i="6" s="1"/>
  <c r="BS49" i="6" s="1"/>
  <c r="BS47" i="6" l="1"/>
  <c r="BS46" i="6"/>
  <c r="BS45" i="6"/>
  <c r="BS38" i="6"/>
  <c r="BS44" i="6" l="1"/>
  <c r="BS41" i="6"/>
  <c r="BS54" i="6"/>
  <c r="BS62" i="6" s="1"/>
  <c r="BS57" i="6"/>
  <c r="BS65" i="6" s="1"/>
  <c r="BT37" i="6" l="1"/>
  <c r="BS56" i="6"/>
  <c r="BS53" i="6"/>
  <c r="BS61" i="6" l="1"/>
  <c r="BS64" i="6"/>
  <c r="BS55" i="6"/>
  <c r="BS52" i="6"/>
  <c r="BT36" i="6"/>
  <c r="BS60" i="6" l="1"/>
  <c r="BS63" i="6"/>
  <c r="BT35" i="6"/>
  <c r="BT40" i="6" l="1"/>
  <c r="BT43" i="6" s="1"/>
  <c r="BT46" i="6" s="1"/>
  <c r="BT39" i="6"/>
  <c r="BT42" i="6" s="1"/>
  <c r="BT45" i="6" s="1"/>
  <c r="BT44" i="6" l="1"/>
  <c r="BT48" i="6"/>
  <c r="BT49" i="6"/>
  <c r="BT38" i="6"/>
  <c r="BT47" i="6" l="1"/>
  <c r="BT41" i="6"/>
  <c r="BT54" i="6"/>
  <c r="BT62" i="6" s="1"/>
  <c r="BT57" i="6"/>
  <c r="BT65" i="6" s="1"/>
  <c r="BU37" i="6" l="1"/>
  <c r="BT53" i="6"/>
  <c r="BT56" i="6"/>
  <c r="BT61" i="6" l="1"/>
  <c r="BT60" i="6" s="1"/>
  <c r="BT52" i="6"/>
  <c r="BU36" i="6"/>
  <c r="BT64" i="6"/>
  <c r="BT55" i="6"/>
  <c r="BU35" i="6" l="1"/>
  <c r="BT63" i="6"/>
  <c r="BU40" i="6" l="1"/>
  <c r="BU43" i="6" s="1"/>
  <c r="BU49" i="6" s="1"/>
  <c r="BU39" i="6"/>
  <c r="BU42" i="6" s="1"/>
  <c r="BU48" i="6" s="1"/>
  <c r="BU47" i="6" l="1"/>
  <c r="BU45" i="6"/>
  <c r="BU46" i="6"/>
  <c r="BU38" i="6"/>
  <c r="BU44" i="6" l="1"/>
  <c r="BU57" i="6"/>
  <c r="BU65" i="6" s="1"/>
  <c r="BU54" i="6"/>
  <c r="BU62" i="6" s="1"/>
  <c r="BU41" i="6"/>
  <c r="BU53" i="6" l="1"/>
  <c r="BV37" i="6"/>
  <c r="BU56" i="6"/>
  <c r="BU61" i="6" l="1"/>
  <c r="BU64" i="6"/>
  <c r="BU55" i="6"/>
  <c r="BU52" i="6"/>
  <c r="BV36" i="6"/>
  <c r="BU60" i="6" l="1"/>
  <c r="BV35" i="6"/>
  <c r="BU63" i="6"/>
  <c r="BV39" i="6" l="1"/>
  <c r="BV42" i="6" s="1"/>
  <c r="BV45" i="6" s="1"/>
  <c r="BV40" i="6"/>
  <c r="BV43" i="6" s="1"/>
  <c r="BV49" i="6" s="1"/>
  <c r="BV48" i="6" l="1"/>
  <c r="BV47" i="6" s="1"/>
  <c r="BV46" i="6"/>
  <c r="BV44" i="6" s="1"/>
  <c r="BV38" i="6"/>
  <c r="BV41" i="6" l="1"/>
  <c r="BV57" i="6"/>
  <c r="BV65" i="6" s="1"/>
  <c r="BV54" i="6"/>
  <c r="BV62" i="6" s="1"/>
  <c r="BV56" i="6" l="1"/>
  <c r="BW37" i="6"/>
  <c r="BV53" i="6"/>
  <c r="BV61" i="6" l="1"/>
  <c r="BV52" i="6"/>
  <c r="BW36" i="6"/>
  <c r="BV64" i="6"/>
  <c r="BV55" i="6"/>
  <c r="BV60" i="6" l="1"/>
  <c r="BV63" i="6"/>
  <c r="BW35" i="6"/>
  <c r="BW40" i="6" l="1"/>
  <c r="BW43" i="6" s="1"/>
  <c r="BW49" i="6" s="1"/>
  <c r="BW39" i="6"/>
  <c r="BW42" i="6" s="1"/>
  <c r="BW48" i="6" s="1"/>
  <c r="BW47" i="6" l="1"/>
  <c r="BW46" i="6"/>
  <c r="BW45" i="6"/>
  <c r="BW38" i="6"/>
  <c r="BW44" i="6" l="1"/>
  <c r="BW54" i="6"/>
  <c r="BW62" i="6" s="1"/>
  <c r="BW57" i="6"/>
  <c r="BW65" i="6" s="1"/>
  <c r="BW41" i="6"/>
  <c r="BW53" i="6" l="1"/>
  <c r="BW56" i="6"/>
  <c r="BX37" i="6"/>
  <c r="BW61" i="6" l="1"/>
  <c r="BW64" i="6"/>
  <c r="BW55" i="6"/>
  <c r="BW52" i="6"/>
  <c r="BX36" i="6"/>
  <c r="BW60" i="6" l="1"/>
  <c r="BW63" i="6"/>
  <c r="BX35" i="6"/>
  <c r="BX39" i="6" l="1"/>
  <c r="BX42" i="6" s="1"/>
  <c r="BX48" i="6" s="1"/>
  <c r="BX40" i="6"/>
  <c r="BX43" i="6" s="1"/>
  <c r="BX49" i="6" s="1"/>
  <c r="BX47" i="6" l="1"/>
  <c r="BX45" i="6"/>
  <c r="BX46" i="6"/>
  <c r="BX38" i="6"/>
  <c r="BX44" i="6" l="1"/>
  <c r="BX41" i="6"/>
  <c r="BX57" i="6"/>
  <c r="BX65" i="6" s="1"/>
  <c r="BX54" i="6"/>
  <c r="BX62" i="6" s="1"/>
  <c r="BX53" i="6" l="1"/>
  <c r="BY37" i="6"/>
  <c r="BX56" i="6"/>
  <c r="BX61" i="6" l="1"/>
  <c r="BX64" i="6"/>
  <c r="BX55" i="6"/>
  <c r="BX52" i="6"/>
  <c r="BY36" i="6"/>
  <c r="BX60" i="6" l="1"/>
  <c r="J27" i="7" s="1"/>
  <c r="BY35" i="6"/>
  <c r="J21" i="7"/>
  <c r="J35" i="7" s="1"/>
  <c r="J36" i="7" s="1"/>
  <c r="J50" i="7" s="1"/>
  <c r="BX63" i="6"/>
  <c r="J28" i="7" s="1"/>
  <c r="J22" i="7"/>
  <c r="BY39" i="6" l="1"/>
  <c r="BY42" i="6" s="1"/>
  <c r="BY48" i="6" s="1"/>
  <c r="BY40" i="6"/>
  <c r="BY43" i="6" s="1"/>
  <c r="BY49" i="6" s="1"/>
  <c r="BY47" i="6" l="1"/>
  <c r="BY45" i="6"/>
  <c r="BY46" i="6"/>
  <c r="BY38" i="6"/>
  <c r="BY44" i="6" l="1"/>
  <c r="BY41" i="6"/>
  <c r="BY57" i="6"/>
  <c r="BY65" i="6" s="1"/>
  <c r="BY54" i="6"/>
  <c r="BY62" i="6" s="1"/>
  <c r="BZ37" i="6" l="1"/>
  <c r="BY56" i="6"/>
  <c r="BY53" i="6"/>
  <c r="BY61" i="6" l="1"/>
  <c r="BY52" i="6"/>
  <c r="BZ36" i="6"/>
  <c r="BY64" i="6"/>
  <c r="BY55" i="6"/>
  <c r="BY60" i="6" l="1"/>
  <c r="BY63" i="6"/>
  <c r="BZ35" i="6"/>
  <c r="BZ39" i="6" l="1"/>
  <c r="BZ42" i="6" s="1"/>
  <c r="BZ48" i="6" s="1"/>
  <c r="BZ40" i="6"/>
  <c r="BZ43" i="6" s="1"/>
  <c r="BZ46" i="6" s="1"/>
  <c r="BZ45" i="6" l="1"/>
  <c r="BZ44" i="6" s="1"/>
  <c r="BZ49" i="6"/>
  <c r="BZ47" i="6" s="1"/>
  <c r="BZ38" i="6"/>
  <c r="BZ41" i="6" l="1"/>
  <c r="BZ57" i="6"/>
  <c r="BZ65" i="6" s="1"/>
  <c r="BZ54" i="6"/>
  <c r="BZ62" i="6" s="1"/>
  <c r="BZ56" i="6" l="1"/>
  <c r="CA37" i="6"/>
  <c r="BZ53" i="6"/>
  <c r="BZ61" i="6" l="1"/>
  <c r="BZ52" i="6"/>
  <c r="CA36" i="6"/>
  <c r="BZ64" i="6"/>
  <c r="BZ55" i="6"/>
  <c r="BZ60" i="6" l="1"/>
  <c r="CA35" i="6"/>
  <c r="BZ63" i="6"/>
  <c r="CA39" i="6" l="1"/>
  <c r="CA42" i="6" s="1"/>
  <c r="CA45" i="6" s="1"/>
  <c r="CA40" i="6"/>
  <c r="CA43" i="6" s="1"/>
  <c r="CA46" i="6" s="1"/>
  <c r="CA48" i="6" l="1"/>
  <c r="CA44" i="6"/>
  <c r="CA49" i="6"/>
  <c r="CA38" i="6"/>
  <c r="CA47" i="6" l="1"/>
  <c r="CA41" i="6"/>
  <c r="CA57" i="6"/>
  <c r="CA65" i="6" s="1"/>
  <c r="CA54" i="6"/>
  <c r="CA62" i="6" s="1"/>
  <c r="CA53" i="6" l="1"/>
  <c r="CB37" i="6"/>
  <c r="CA56" i="6"/>
  <c r="CA61" i="6" l="1"/>
  <c r="CA64" i="6"/>
  <c r="CA55" i="6"/>
  <c r="CA52" i="6"/>
  <c r="CB36" i="6"/>
  <c r="CB35" i="6" s="1"/>
  <c r="CA60" i="6" l="1"/>
  <c r="CA63" i="6"/>
  <c r="CB39" i="6" l="1"/>
  <c r="CB42" i="6" s="1"/>
  <c r="CB48" i="6" s="1"/>
  <c r="CB40" i="6"/>
  <c r="CB43" i="6" s="1"/>
  <c r="CB49" i="6" s="1"/>
  <c r="CB47" i="6" l="1"/>
  <c r="CB45" i="6"/>
  <c r="CB46" i="6"/>
  <c r="CB38" i="6"/>
  <c r="CB44" i="6" l="1"/>
  <c r="CB41" i="6"/>
  <c r="CB54" i="6"/>
  <c r="CB62" i="6" s="1"/>
  <c r="CB57" i="6"/>
  <c r="CB65" i="6" s="1"/>
  <c r="CC37" i="6" l="1"/>
  <c r="CB53" i="6"/>
  <c r="CB56" i="6"/>
  <c r="CB61" i="6" l="1"/>
  <c r="CC36" i="6"/>
  <c r="CB52" i="6"/>
  <c r="CB64" i="6"/>
  <c r="CB55" i="6"/>
  <c r="CB60" i="6" l="1"/>
  <c r="CB63" i="6"/>
  <c r="CC35" i="6"/>
  <c r="CC40" i="6" l="1"/>
  <c r="CC43" i="6" s="1"/>
  <c r="CC49" i="6" s="1"/>
  <c r="CC39" i="6"/>
  <c r="CC42" i="6" s="1"/>
  <c r="CC48" i="6" s="1"/>
  <c r="CC47" i="6" l="1"/>
  <c r="CC45" i="6"/>
  <c r="CC46" i="6"/>
  <c r="CC38" i="6"/>
  <c r="CC44" i="6" l="1"/>
  <c r="CC57" i="6"/>
  <c r="CC65" i="6" s="1"/>
  <c r="CC54" i="6"/>
  <c r="CC62" i="6" s="1"/>
  <c r="CC41" i="6"/>
  <c r="CC53" i="6" l="1"/>
  <c r="CD37" i="6"/>
  <c r="CC56" i="6"/>
  <c r="CC61" i="6" l="1"/>
  <c r="CC64" i="6"/>
  <c r="CC55" i="6"/>
  <c r="CC52" i="6"/>
  <c r="CD36" i="6"/>
  <c r="CD35" i="6" s="1"/>
  <c r="CC60" i="6" l="1"/>
  <c r="CC63" i="6"/>
  <c r="CD39" i="6" l="1"/>
  <c r="CD42" i="6" s="1"/>
  <c r="CD48" i="6" s="1"/>
  <c r="CD40" i="6"/>
  <c r="CD43" i="6" s="1"/>
  <c r="CD46" i="6" s="1"/>
  <c r="CD49" i="6" l="1"/>
  <c r="CD47" i="6" s="1"/>
  <c r="CD45" i="6"/>
  <c r="CD44" i="6" s="1"/>
  <c r="CD38" i="6"/>
  <c r="CD41" i="6" l="1"/>
  <c r="CD54" i="6"/>
  <c r="CD62" i="6" s="1"/>
  <c r="CD57" i="6"/>
  <c r="CD65" i="6" s="1"/>
  <c r="CD53" i="6" l="1"/>
  <c r="CE37" i="6"/>
  <c r="CD56" i="6"/>
  <c r="CD61" i="6" l="1"/>
  <c r="CD64" i="6"/>
  <c r="CD55" i="6"/>
  <c r="CE36" i="6"/>
  <c r="CD52" i="6"/>
  <c r="CD60" i="6" l="1"/>
  <c r="CE35" i="6"/>
  <c r="CD63" i="6"/>
  <c r="CE40" i="6" l="1"/>
  <c r="CE43" i="6" s="1"/>
  <c r="CE46" i="6" s="1"/>
  <c r="CE39" i="6"/>
  <c r="CE42" i="6" s="1"/>
  <c r="CE45" i="6" s="1"/>
  <c r="CE44" i="6" l="1"/>
  <c r="CE48" i="6"/>
  <c r="CE49" i="6"/>
  <c r="CE38" i="6"/>
  <c r="CE47" i="6" l="1"/>
  <c r="CE41" i="6"/>
  <c r="CE57" i="6"/>
  <c r="CE65" i="6" s="1"/>
  <c r="CE54" i="6"/>
  <c r="CE62" i="6" s="1"/>
  <c r="CE53" i="6" l="1"/>
  <c r="CF37" i="6"/>
  <c r="CE56" i="6"/>
  <c r="CE61" i="6" l="1"/>
  <c r="CE64" i="6"/>
  <c r="CE55" i="6"/>
  <c r="CE52" i="6"/>
  <c r="CF36" i="6"/>
  <c r="CE60" i="6" l="1"/>
  <c r="CE63" i="6"/>
  <c r="CF35" i="6"/>
  <c r="CF39" i="6" l="1"/>
  <c r="CF42" i="6" s="1"/>
  <c r="CF48" i="6" s="1"/>
  <c r="CF40" i="6"/>
  <c r="CF43" i="6" s="1"/>
  <c r="CF49" i="6" s="1"/>
  <c r="CF47" i="6" l="1"/>
  <c r="CF45" i="6"/>
  <c r="CF46" i="6"/>
  <c r="CF38" i="6"/>
  <c r="CF44" i="6" l="1"/>
  <c r="CF41" i="6"/>
  <c r="CF54" i="6"/>
  <c r="CF62" i="6" s="1"/>
  <c r="CF57" i="6"/>
  <c r="CF65" i="6" s="1"/>
  <c r="CG37" i="6" l="1"/>
  <c r="CF53" i="6"/>
  <c r="CF56" i="6"/>
  <c r="CF61" i="6" l="1"/>
  <c r="CF52" i="6"/>
  <c r="CG36" i="6"/>
  <c r="CG35" i="6" s="1"/>
  <c r="CF64" i="6"/>
  <c r="CF55" i="6"/>
  <c r="CF60" i="6" l="1"/>
  <c r="CF63" i="6"/>
  <c r="CG39" i="6" l="1"/>
  <c r="CG42" i="6" s="1"/>
  <c r="CG48" i="6" s="1"/>
  <c r="CG40" i="6"/>
  <c r="CG43" i="6" s="1"/>
  <c r="CG49" i="6" s="1"/>
  <c r="CG47" i="6" l="1"/>
  <c r="CG45" i="6"/>
  <c r="CG46" i="6"/>
  <c r="CG38" i="6"/>
  <c r="CG44" i="6" l="1"/>
  <c r="CG57" i="6"/>
  <c r="CG65" i="6" s="1"/>
  <c r="CG54" i="6"/>
  <c r="CG62" i="6" s="1"/>
  <c r="CG41" i="6"/>
  <c r="CG53" i="6" l="1"/>
  <c r="CH37" i="6"/>
  <c r="CG56" i="6"/>
  <c r="CG61" i="6" l="1"/>
  <c r="CG64" i="6"/>
  <c r="CG55" i="6"/>
  <c r="CH36" i="6"/>
  <c r="CH35" i="6" s="1"/>
  <c r="CG52" i="6"/>
  <c r="CG60" i="6" l="1"/>
  <c r="CG63" i="6"/>
  <c r="CH40" i="6" l="1"/>
  <c r="CH43" i="6" s="1"/>
  <c r="CH46" i="6" s="1"/>
  <c r="CH39" i="6"/>
  <c r="CH42" i="6" s="1"/>
  <c r="CH48" i="6" s="1"/>
  <c r="CH45" i="6" l="1"/>
  <c r="CH44" i="6" s="1"/>
  <c r="CH49" i="6"/>
  <c r="CH47" i="6" s="1"/>
  <c r="CH38" i="6"/>
  <c r="CH41" i="6" l="1"/>
  <c r="CH54" i="6"/>
  <c r="CH62" i="6" s="1"/>
  <c r="CH57" i="6"/>
  <c r="CH65" i="6" s="1"/>
  <c r="CI37" i="6" l="1"/>
  <c r="CH53" i="6"/>
  <c r="CH56" i="6"/>
  <c r="CH61" i="6" l="1"/>
  <c r="CI36" i="6"/>
  <c r="CI35" i="6" s="1"/>
  <c r="CH52" i="6"/>
  <c r="CH64" i="6"/>
  <c r="CH55" i="6"/>
  <c r="CH60" i="6" l="1"/>
  <c r="CH63" i="6"/>
  <c r="CI39" i="6" l="1"/>
  <c r="CI42" i="6" s="1"/>
  <c r="CI48" i="6" s="1"/>
  <c r="CI40" i="6"/>
  <c r="CI43" i="6" s="1"/>
  <c r="CI49" i="6" s="1"/>
  <c r="CI47" i="6" l="1"/>
  <c r="CI46" i="6"/>
  <c r="CI45" i="6"/>
  <c r="CI38" i="6"/>
  <c r="CI44" i="6" l="1"/>
  <c r="CI41" i="6"/>
  <c r="CI54" i="6"/>
  <c r="CI62" i="6" s="1"/>
  <c r="CI57" i="6"/>
  <c r="CI65" i="6" s="1"/>
  <c r="CI53" i="6" l="1"/>
  <c r="CJ37" i="6"/>
  <c r="CI56" i="6"/>
  <c r="CI61" i="6" l="1"/>
  <c r="CI64" i="6"/>
  <c r="CI55" i="6"/>
  <c r="CJ36" i="6"/>
  <c r="CI52" i="6"/>
  <c r="CI60" i="6" l="1"/>
  <c r="CJ35" i="6"/>
  <c r="CI63" i="6"/>
  <c r="CJ39" i="6" l="1"/>
  <c r="CJ42" i="6" s="1"/>
  <c r="CJ48" i="6" s="1"/>
  <c r="CJ40" i="6"/>
  <c r="CJ43" i="6" s="1"/>
  <c r="CJ49" i="6" s="1"/>
  <c r="CJ47" i="6" l="1"/>
  <c r="CJ45" i="6"/>
  <c r="CJ46" i="6"/>
  <c r="CJ38" i="6"/>
  <c r="CJ44" i="6" l="1"/>
  <c r="CJ41" i="6"/>
  <c r="CJ57" i="6"/>
  <c r="CJ65" i="6" s="1"/>
  <c r="CJ54" i="6"/>
  <c r="CJ62" i="6" s="1"/>
  <c r="CJ56" i="6" l="1"/>
  <c r="CK37" i="6"/>
  <c r="CJ53" i="6"/>
  <c r="CJ61" i="6" l="1"/>
  <c r="CJ52" i="6"/>
  <c r="CK36" i="6"/>
  <c r="CJ64" i="6"/>
  <c r="CJ55" i="6"/>
  <c r="CJ60" i="6" l="1"/>
  <c r="K27" i="7" s="1"/>
  <c r="K21" i="7"/>
  <c r="K35" i="7" s="1"/>
  <c r="K36" i="7" s="1"/>
  <c r="K50" i="7" s="1"/>
  <c r="CK35" i="6"/>
  <c r="CJ63" i="6"/>
  <c r="K28" i="7" s="1"/>
  <c r="K22" i="7"/>
  <c r="CK39" i="6" l="1"/>
  <c r="CK42" i="6" s="1"/>
  <c r="CK48" i="6" s="1"/>
  <c r="CK40" i="6"/>
  <c r="CK43" i="6" s="1"/>
  <c r="CK49" i="6" s="1"/>
  <c r="CK47" i="6" l="1"/>
  <c r="CK45" i="6"/>
  <c r="CK46" i="6"/>
  <c r="CK38" i="6"/>
  <c r="CK44" i="6" l="1"/>
  <c r="CK41" i="6"/>
  <c r="CK54" i="6"/>
  <c r="CK62" i="6" s="1"/>
  <c r="CK57" i="6"/>
  <c r="CK65" i="6" s="1"/>
  <c r="CL37" i="6" l="1"/>
  <c r="CK56" i="6"/>
  <c r="CK53" i="6"/>
  <c r="CK61" i="6" l="1"/>
  <c r="CK64" i="6"/>
  <c r="CK55" i="6"/>
  <c r="CK52" i="6"/>
  <c r="CL36" i="6"/>
  <c r="CK60" i="6" l="1"/>
  <c r="CK63" i="6"/>
  <c r="CL35" i="6"/>
  <c r="CL40" i="6" l="1"/>
  <c r="CL43" i="6" s="1"/>
  <c r="CL49" i="6" s="1"/>
  <c r="CL39" i="6"/>
  <c r="CL42" i="6" s="1"/>
  <c r="CL45" i="6" s="1"/>
  <c r="CL46" i="6" l="1"/>
  <c r="CL44" i="6" s="1"/>
  <c r="CL48" i="6"/>
  <c r="CL47" i="6" s="1"/>
  <c r="CL38" i="6"/>
  <c r="CL41" i="6" l="1"/>
  <c r="CL57" i="6"/>
  <c r="CL65" i="6" s="1"/>
  <c r="CL54" i="6"/>
  <c r="CL62" i="6" s="1"/>
  <c r="CL56" i="6" l="1"/>
  <c r="CM37" i="6"/>
  <c r="CL53" i="6"/>
  <c r="CL61" i="6" l="1"/>
  <c r="CL64" i="6"/>
  <c r="CL55" i="6"/>
  <c r="CL52" i="6"/>
  <c r="CM36" i="6"/>
  <c r="CL60" i="6" l="1"/>
  <c r="CM35" i="6"/>
  <c r="CL63" i="6"/>
  <c r="CM39" i="6" l="1"/>
  <c r="CM42" i="6" s="1"/>
  <c r="CM45" i="6" s="1"/>
  <c r="CM40" i="6"/>
  <c r="CM43" i="6" s="1"/>
  <c r="CM49" i="6" s="1"/>
  <c r="CM48" i="6" l="1"/>
  <c r="CM47" i="6" s="1"/>
  <c r="CM46" i="6"/>
  <c r="CM44" i="6" s="1"/>
  <c r="CM38" i="6"/>
  <c r="CM54" i="6" l="1"/>
  <c r="CM62" i="6" s="1"/>
  <c r="CM57" i="6"/>
  <c r="CM65" i="6" s="1"/>
  <c r="CM41" i="6"/>
  <c r="CM56" i="6" l="1"/>
  <c r="CM53" i="6"/>
  <c r="CN37" i="6"/>
  <c r="CM61" i="6" l="1"/>
  <c r="CM52" i="6"/>
  <c r="CN36" i="6"/>
  <c r="CM64" i="6"/>
  <c r="CM55" i="6"/>
  <c r="CM60" i="6" l="1"/>
  <c r="CN35" i="6"/>
  <c r="CM63" i="6"/>
  <c r="CN40" i="6" l="1"/>
  <c r="CN43" i="6" s="1"/>
  <c r="CN46" i="6" s="1"/>
  <c r="CN39" i="6"/>
  <c r="CN42" i="6" s="1"/>
  <c r="CN45" i="6" s="1"/>
  <c r="CN44" i="6" l="1"/>
  <c r="CN48" i="6"/>
  <c r="CN49" i="6"/>
  <c r="CN38" i="6"/>
  <c r="CN47" i="6" l="1"/>
  <c r="CN41" i="6"/>
  <c r="CN57" i="6"/>
  <c r="CN65" i="6" s="1"/>
  <c r="CN54" i="6"/>
  <c r="CN62" i="6" s="1"/>
  <c r="CN53" i="6" l="1"/>
  <c r="CO37" i="6"/>
  <c r="CN56" i="6"/>
  <c r="CN61" i="6" l="1"/>
  <c r="CN64" i="6"/>
  <c r="CN55" i="6"/>
  <c r="CN52" i="6"/>
  <c r="CO36" i="6"/>
  <c r="CN60" i="6" l="1"/>
  <c r="CN63" i="6"/>
  <c r="CO35" i="6"/>
  <c r="CO40" i="6" l="1"/>
  <c r="CO43" i="6" s="1"/>
  <c r="CO49" i="6" s="1"/>
  <c r="CO39" i="6"/>
  <c r="CO42" i="6" s="1"/>
  <c r="CO48" i="6" s="1"/>
  <c r="CO47" i="6" l="1"/>
  <c r="CO45" i="6"/>
  <c r="CO46" i="6"/>
  <c r="CO38" i="6"/>
  <c r="CO44" i="6" l="1"/>
  <c r="CO41" i="6"/>
  <c r="CO57" i="6"/>
  <c r="CO65" i="6" s="1"/>
  <c r="CO54" i="6"/>
  <c r="CO62" i="6" s="1"/>
  <c r="CO53" i="6" l="1"/>
  <c r="CO56" i="6"/>
  <c r="CP37" i="6"/>
  <c r="CO61" i="6" l="1"/>
  <c r="CO64" i="6"/>
  <c r="CO55" i="6"/>
  <c r="CO52" i="6"/>
  <c r="CP36" i="6"/>
  <c r="CO60" i="6" l="1"/>
  <c r="CO63" i="6"/>
  <c r="CP35" i="6"/>
  <c r="CP40" i="6" l="1"/>
  <c r="CP43" i="6" s="1"/>
  <c r="CP46" i="6" s="1"/>
  <c r="CP39" i="6"/>
  <c r="CP42" i="6" s="1"/>
  <c r="CP45" i="6" s="1"/>
  <c r="CP44" i="6" l="1"/>
  <c r="CP49" i="6"/>
  <c r="CP48" i="6"/>
  <c r="CP38" i="6"/>
  <c r="CP47" i="6" l="1"/>
  <c r="CP41" i="6"/>
  <c r="CP54" i="6"/>
  <c r="CP62" i="6" s="1"/>
  <c r="CP57" i="6"/>
  <c r="CP65" i="6" s="1"/>
  <c r="CQ37" i="6" l="1"/>
  <c r="CP53" i="6"/>
  <c r="CP56" i="6"/>
  <c r="CP61" i="6" l="1"/>
  <c r="CP52" i="6"/>
  <c r="CQ36" i="6"/>
  <c r="CP64" i="6"/>
  <c r="CP55" i="6"/>
  <c r="CP60" i="6" l="1"/>
  <c r="CQ35" i="6"/>
  <c r="CP63" i="6"/>
  <c r="CQ40" i="6" l="1"/>
  <c r="CQ43" i="6" s="1"/>
  <c r="CQ49" i="6" s="1"/>
  <c r="CQ39" i="6"/>
  <c r="CQ42" i="6" s="1"/>
  <c r="CQ48" i="6" s="1"/>
  <c r="CQ47" i="6" l="1"/>
  <c r="CQ45" i="6"/>
  <c r="CQ46" i="6"/>
  <c r="CQ38" i="6"/>
  <c r="CQ44" i="6" l="1"/>
  <c r="CQ41" i="6"/>
  <c r="CQ57" i="6"/>
  <c r="CQ65" i="6" s="1"/>
  <c r="CQ54" i="6"/>
  <c r="CQ62" i="6" s="1"/>
  <c r="CQ56" i="6" l="1"/>
  <c r="CQ53" i="6"/>
  <c r="CR37" i="6"/>
  <c r="CQ61" i="6" l="1"/>
  <c r="CQ64" i="6"/>
  <c r="CQ55" i="6"/>
  <c r="CQ52" i="6"/>
  <c r="CR36" i="6"/>
  <c r="CQ60" i="6" l="1"/>
  <c r="CQ63" i="6"/>
  <c r="CR35" i="6"/>
  <c r="CR40" i="6" l="1"/>
  <c r="CR43" i="6" s="1"/>
  <c r="CR49" i="6" s="1"/>
  <c r="CR39" i="6"/>
  <c r="CR42" i="6" s="1"/>
  <c r="CR45" i="6" s="1"/>
  <c r="CR48" i="6" l="1"/>
  <c r="CR47" i="6" s="1"/>
  <c r="CR46" i="6"/>
  <c r="CR44" i="6" s="1"/>
  <c r="CR38" i="6"/>
  <c r="CR41" i="6" l="1"/>
  <c r="CR57" i="6"/>
  <c r="CR65" i="6" s="1"/>
  <c r="CR54" i="6"/>
  <c r="CR62" i="6" s="1"/>
  <c r="CR53" i="6" l="1"/>
  <c r="CS37" i="6"/>
  <c r="CR56" i="6"/>
  <c r="CR61" i="6" l="1"/>
  <c r="CR64" i="6"/>
  <c r="CR55" i="6"/>
  <c r="CR52" i="6"/>
  <c r="CS36" i="6"/>
  <c r="CR60" i="6" l="1"/>
  <c r="CR63" i="6"/>
  <c r="CS35" i="6"/>
  <c r="CS40" i="6" l="1"/>
  <c r="CS43" i="6" s="1"/>
  <c r="CS49" i="6" s="1"/>
  <c r="CS39" i="6"/>
  <c r="CS42" i="6" s="1"/>
  <c r="CS48" i="6" s="1"/>
  <c r="CS47" i="6" l="1"/>
  <c r="CS45" i="6"/>
  <c r="CS46" i="6"/>
  <c r="CS38" i="6"/>
  <c r="CS44" i="6" l="1"/>
  <c r="CS41" i="6"/>
  <c r="CS54" i="6"/>
  <c r="CS62" i="6" s="1"/>
  <c r="CS57" i="6"/>
  <c r="CS65" i="6" s="1"/>
  <c r="CT37" i="6" l="1"/>
  <c r="CS56" i="6"/>
  <c r="CS53" i="6"/>
  <c r="CS61" i="6" l="1"/>
  <c r="CS64" i="6"/>
  <c r="CS55" i="6"/>
  <c r="CS52" i="6"/>
  <c r="CT36" i="6"/>
  <c r="CS60" i="6" l="1"/>
  <c r="CS63" i="6"/>
  <c r="CT35" i="6"/>
  <c r="CT39" i="6" l="1"/>
  <c r="CT42" i="6" s="1"/>
  <c r="CT48" i="6" s="1"/>
  <c r="CT40" i="6"/>
  <c r="CT43" i="6" s="1"/>
  <c r="CT46" i="6" s="1"/>
  <c r="CT49" i="6" l="1"/>
  <c r="CT47" i="6" s="1"/>
  <c r="CT45" i="6"/>
  <c r="CT44" i="6" s="1"/>
  <c r="CT38" i="6"/>
  <c r="CT41" i="6" l="1"/>
  <c r="CT57" i="6"/>
  <c r="CT65" i="6" s="1"/>
  <c r="CT54" i="6"/>
  <c r="CT62" i="6" s="1"/>
  <c r="CT53" i="6" l="1"/>
  <c r="CU37" i="6"/>
  <c r="CT56" i="6"/>
  <c r="CT61" i="6" l="1"/>
  <c r="CT52" i="6"/>
  <c r="CU36" i="6"/>
  <c r="CT55" i="6"/>
  <c r="CT64" i="6"/>
  <c r="CT60" i="6" l="1"/>
  <c r="CU35" i="6"/>
  <c r="CT63" i="6"/>
  <c r="CU39" i="6" l="1"/>
  <c r="CU42" i="6" s="1"/>
  <c r="CU45" i="6" s="1"/>
  <c r="CU40" i="6"/>
  <c r="CU43" i="6" s="1"/>
  <c r="CU49" i="6" s="1"/>
  <c r="CU48" i="6" l="1"/>
  <c r="CU47" i="6" s="1"/>
  <c r="CU46" i="6"/>
  <c r="CU44" i="6" s="1"/>
  <c r="CU38" i="6"/>
  <c r="CU41" i="6" l="1"/>
  <c r="CU57" i="6"/>
  <c r="CU65" i="6" s="1"/>
  <c r="CU54" i="6"/>
  <c r="CU62" i="6" s="1"/>
  <c r="CU56" i="6" l="1"/>
  <c r="CV37" i="6"/>
  <c r="CU53" i="6"/>
  <c r="CU61" i="6" l="1"/>
  <c r="CU52" i="6"/>
  <c r="CV36" i="6"/>
  <c r="CU64" i="6"/>
  <c r="CU55" i="6"/>
  <c r="CU60" i="6" l="1"/>
  <c r="CV35" i="6"/>
  <c r="CU63" i="6"/>
  <c r="CV39" i="6" l="1"/>
  <c r="CV42" i="6" s="1"/>
  <c r="CV45" i="6" s="1"/>
  <c r="CV40" i="6"/>
  <c r="CV43" i="6" s="1"/>
  <c r="CV49" i="6" s="1"/>
  <c r="CV48" i="6" l="1"/>
  <c r="CV47" i="6" s="1"/>
  <c r="CV46" i="6"/>
  <c r="CV44" i="6" s="1"/>
  <c r="CV38" i="6"/>
  <c r="CV57" i="6" l="1"/>
  <c r="CV65" i="6" s="1"/>
  <c r="CV54" i="6"/>
  <c r="CV62" i="6" s="1"/>
  <c r="CV41" i="6"/>
  <c r="CV53" i="6" l="1"/>
  <c r="CW37" i="6"/>
  <c r="CV56" i="6"/>
  <c r="CV61" i="6" l="1"/>
  <c r="CV55" i="6"/>
  <c r="CV64" i="6"/>
  <c r="CV52" i="6"/>
  <c r="CW36" i="6"/>
  <c r="CV60" i="6" l="1"/>
  <c r="L27" i="7" s="1"/>
  <c r="L21" i="7"/>
  <c r="L35" i="7" s="1"/>
  <c r="L36" i="7" s="1"/>
  <c r="L50" i="7" s="1"/>
  <c r="D40" i="7" s="1"/>
  <c r="C8" i="11" s="1"/>
  <c r="CW35" i="6"/>
  <c r="L22" i="7"/>
  <c r="CV63" i="6"/>
  <c r="L28" i="7" s="1"/>
  <c r="CW39" i="6" l="1"/>
  <c r="CW42" i="6" s="1"/>
  <c r="CW48" i="6" s="1"/>
  <c r="CW40" i="6"/>
  <c r="CW43" i="6" s="1"/>
  <c r="CW49" i="6" s="1"/>
  <c r="CW47" i="6" l="1"/>
  <c r="CW45" i="6"/>
  <c r="CW46" i="6"/>
  <c r="CW38" i="6"/>
  <c r="CW44" i="6" l="1"/>
  <c r="CW41" i="6"/>
  <c r="CW57" i="6"/>
  <c r="CW65" i="6" s="1"/>
  <c r="CW54" i="6"/>
  <c r="CW62" i="6" s="1"/>
  <c r="CW56" i="6" l="1"/>
  <c r="CX37" i="6"/>
  <c r="CW53" i="6"/>
  <c r="CW61" i="6" l="1"/>
  <c r="CW64" i="6"/>
  <c r="CW55" i="6"/>
  <c r="CW52" i="6"/>
  <c r="CX36" i="6"/>
  <c r="CW60" i="6" l="1"/>
  <c r="CW63" i="6"/>
  <c r="CX35" i="6"/>
  <c r="CX39" i="6" l="1"/>
  <c r="CX42" i="6" s="1"/>
  <c r="CX48" i="6" s="1"/>
  <c r="CX40" i="6"/>
  <c r="CX43" i="6" s="1"/>
  <c r="CX46" i="6" s="1"/>
  <c r="CX45" i="6" l="1"/>
  <c r="CX44" i="6" s="1"/>
  <c r="CX49" i="6"/>
  <c r="CX47" i="6" s="1"/>
  <c r="CX38" i="6"/>
  <c r="CX54" i="6" l="1"/>
  <c r="CX62" i="6" s="1"/>
  <c r="CX57" i="6"/>
  <c r="CX65" i="6" s="1"/>
  <c r="CX41" i="6"/>
  <c r="CX53" i="6" l="1"/>
  <c r="CX56" i="6"/>
  <c r="CY37" i="6"/>
  <c r="CX61" i="6" l="1"/>
  <c r="CX55" i="6"/>
  <c r="CX64" i="6"/>
  <c r="CX52" i="6"/>
  <c r="CY36" i="6"/>
  <c r="CX60" i="6" l="1"/>
  <c r="CX63" i="6"/>
  <c r="CY35" i="6"/>
  <c r="CY40" i="6" l="1"/>
  <c r="CY43" i="6" s="1"/>
  <c r="CY49" i="6" s="1"/>
  <c r="CY39" i="6"/>
  <c r="CY42" i="6" s="1"/>
  <c r="CY45" i="6" s="1"/>
  <c r="CY46" i="6" l="1"/>
  <c r="CY44" i="6" s="1"/>
  <c r="CY48" i="6"/>
  <c r="CY47" i="6" s="1"/>
  <c r="CY38" i="6"/>
  <c r="CY54" i="6" l="1"/>
  <c r="CY62" i="6" s="1"/>
  <c r="CY57" i="6"/>
  <c r="CY65" i="6" s="1"/>
  <c r="CY41" i="6"/>
  <c r="CY56" i="6" l="1"/>
  <c r="CY53" i="6"/>
  <c r="CZ37" i="6"/>
  <c r="CY61" i="6" l="1"/>
  <c r="CY52" i="6"/>
  <c r="CZ36" i="6"/>
  <c r="CZ35" i="6" s="1"/>
  <c r="CY55" i="6"/>
  <c r="CY64" i="6"/>
  <c r="CY60" i="6" l="1"/>
  <c r="CY63" i="6"/>
  <c r="CZ40" i="6" l="1"/>
  <c r="CZ43" i="6" s="1"/>
  <c r="CZ49" i="6" s="1"/>
  <c r="CZ39" i="6"/>
  <c r="CZ42" i="6" s="1"/>
  <c r="CZ48" i="6" s="1"/>
  <c r="CZ47" i="6" l="1"/>
  <c r="CZ46" i="6"/>
  <c r="CZ45" i="6"/>
  <c r="CZ38" i="6"/>
  <c r="CZ44" i="6" l="1"/>
  <c r="CZ41" i="6"/>
  <c r="CZ57" i="6"/>
  <c r="CZ65" i="6" s="1"/>
  <c r="CZ54" i="6"/>
  <c r="CZ62" i="6" s="1"/>
  <c r="CZ53" i="6" l="1"/>
  <c r="CZ56" i="6"/>
  <c r="DA37" i="6"/>
  <c r="CZ61" i="6" l="1"/>
  <c r="CZ60" i="6" s="1"/>
  <c r="CZ64" i="6"/>
  <c r="CZ55" i="6"/>
  <c r="DA36" i="6"/>
  <c r="DA35" i="6" s="1"/>
  <c r="CZ52" i="6"/>
  <c r="CZ63" i="6" l="1"/>
  <c r="DA39" i="6" l="1"/>
  <c r="DA42" i="6" s="1"/>
  <c r="DA48" i="6" s="1"/>
  <c r="DA40" i="6"/>
  <c r="DA43" i="6" s="1"/>
  <c r="DA49" i="6" s="1"/>
  <c r="DA45" i="6" l="1"/>
  <c r="DA46" i="6"/>
  <c r="DA47" i="6"/>
  <c r="DA38" i="6"/>
  <c r="DA44" i="6" l="1"/>
  <c r="DA41" i="6"/>
  <c r="DA57" i="6"/>
  <c r="DA65" i="6" s="1"/>
  <c r="DA54" i="6"/>
  <c r="DA62" i="6" s="1"/>
  <c r="DA53" i="6" l="1"/>
  <c r="DB37" i="6"/>
  <c r="DA56" i="6"/>
  <c r="DA61" i="6" l="1"/>
  <c r="DA64" i="6"/>
  <c r="DA55" i="6"/>
  <c r="DB36" i="6"/>
  <c r="DA52" i="6"/>
  <c r="DA60" i="6" l="1"/>
  <c r="DB35" i="6"/>
  <c r="DA63" i="6"/>
  <c r="DB40" i="6" l="1"/>
  <c r="DB43" i="6" s="1"/>
  <c r="DB49" i="6" s="1"/>
  <c r="DB39" i="6"/>
  <c r="DB42" i="6" s="1"/>
  <c r="DB45" i="6" s="1"/>
  <c r="DB48" i="6" l="1"/>
  <c r="DB47" i="6" s="1"/>
  <c r="DB46" i="6"/>
  <c r="DB44" i="6" s="1"/>
  <c r="DB38" i="6"/>
  <c r="DB41" i="6" l="1"/>
  <c r="DB57" i="6"/>
  <c r="DB65" i="6" s="1"/>
  <c r="DB54" i="6"/>
  <c r="DB62" i="6" s="1"/>
  <c r="DB56" i="6" l="1"/>
  <c r="DC37" i="6"/>
  <c r="DB53" i="6"/>
  <c r="DB61" i="6" l="1"/>
  <c r="DB52" i="6"/>
  <c r="DC36" i="6"/>
  <c r="DC35" i="6" s="1"/>
  <c r="DB64" i="6"/>
  <c r="DB55" i="6"/>
  <c r="DB60" i="6" l="1"/>
  <c r="DB63" i="6"/>
  <c r="DC40" i="6" l="1"/>
  <c r="DC43" i="6" s="1"/>
  <c r="DC49" i="6" s="1"/>
  <c r="DC39" i="6"/>
  <c r="DC42" i="6" s="1"/>
  <c r="DC48" i="6" s="1"/>
  <c r="DC47" i="6" l="1"/>
  <c r="DC46" i="6"/>
  <c r="DC45" i="6"/>
  <c r="DC38" i="6"/>
  <c r="DC44" i="6" l="1"/>
  <c r="DC41" i="6"/>
  <c r="DC57" i="6"/>
  <c r="DC65" i="6" s="1"/>
  <c r="DC54" i="6"/>
  <c r="DC62" i="6" s="1"/>
  <c r="DC53" i="6" l="1"/>
  <c r="DD37" i="6"/>
  <c r="DC56" i="6"/>
  <c r="DC61" i="6" l="1"/>
  <c r="DD36" i="6"/>
  <c r="DD35" i="6" s="1"/>
  <c r="DC52" i="6"/>
  <c r="DC64" i="6"/>
  <c r="DC55" i="6"/>
  <c r="DC60" i="6" l="1"/>
  <c r="DC63" i="6"/>
  <c r="DD40" i="6" l="1"/>
  <c r="DD43" i="6" s="1"/>
  <c r="DD49" i="6" s="1"/>
  <c r="DD39" i="6"/>
  <c r="DD42" i="6" s="1"/>
  <c r="DD48" i="6" s="1"/>
  <c r="DD47" i="6" l="1"/>
  <c r="DD45" i="6"/>
  <c r="DD46" i="6"/>
  <c r="DD38" i="6"/>
  <c r="DD44" i="6" l="1"/>
  <c r="DD54" i="6"/>
  <c r="DD62" i="6" s="1"/>
  <c r="DD57" i="6"/>
  <c r="DD65" i="6" s="1"/>
  <c r="DD41" i="6"/>
  <c r="DD56" i="6" l="1"/>
  <c r="DD53" i="6"/>
  <c r="DE37" i="6"/>
  <c r="DD61" i="6" l="1"/>
  <c r="DE36" i="6"/>
  <c r="DE35" i="6" s="1"/>
  <c r="DD52" i="6"/>
  <c r="DD64" i="6"/>
  <c r="DD55" i="6"/>
  <c r="DD60" i="6" l="1"/>
  <c r="DD63" i="6"/>
  <c r="DE39" i="6" l="1"/>
  <c r="DE42" i="6" s="1"/>
  <c r="DE48" i="6" s="1"/>
  <c r="DE40" i="6"/>
  <c r="DE43" i="6" s="1"/>
  <c r="DE49" i="6" s="1"/>
  <c r="DE45" i="6" l="1"/>
  <c r="DE46" i="6"/>
  <c r="DE47" i="6"/>
  <c r="DE38" i="6"/>
  <c r="DE44" i="6" l="1"/>
  <c r="DE41" i="6"/>
  <c r="DE57" i="6"/>
  <c r="DE65" i="6" s="1"/>
  <c r="DE54" i="6"/>
  <c r="DE62" i="6" s="1"/>
  <c r="DE56" i="6" l="1"/>
  <c r="DF37" i="6"/>
  <c r="DE53" i="6"/>
  <c r="DE61" i="6" l="1"/>
  <c r="DE64" i="6"/>
  <c r="DE55" i="6"/>
  <c r="DF36" i="6"/>
  <c r="DF35" i="6" s="1"/>
  <c r="DE52" i="6"/>
  <c r="DE60" i="6" l="1"/>
  <c r="DE63" i="6"/>
  <c r="DF40" i="6" l="1"/>
  <c r="DF43" i="6" s="1"/>
  <c r="DF46" i="6" s="1"/>
  <c r="DF39" i="6"/>
  <c r="DF42" i="6" s="1"/>
  <c r="DF45" i="6" s="1"/>
  <c r="DF44" i="6" l="1"/>
  <c r="DF48" i="6"/>
  <c r="DF49" i="6"/>
  <c r="DF38" i="6"/>
  <c r="DF47" i="6" l="1"/>
  <c r="DF41" i="6"/>
  <c r="DF57" i="6"/>
  <c r="DF65" i="6" s="1"/>
  <c r="DF54" i="6"/>
  <c r="DF62" i="6" s="1"/>
  <c r="DF53" i="6" l="1"/>
  <c r="DG37" i="6"/>
  <c r="DF56" i="6"/>
  <c r="DF61" i="6" l="1"/>
  <c r="DF64" i="6"/>
  <c r="DF55" i="6"/>
  <c r="DG36" i="6"/>
  <c r="DF52" i="6"/>
  <c r="DF60" i="6" l="1"/>
  <c r="DG35" i="6"/>
  <c r="DF63" i="6"/>
  <c r="DG40" i="6" l="1"/>
  <c r="DG43" i="6" s="1"/>
  <c r="DG49" i="6" s="1"/>
  <c r="DG39" i="6"/>
  <c r="DG42" i="6" s="1"/>
  <c r="DG48" i="6" s="1"/>
  <c r="DG47" i="6" l="1"/>
  <c r="DG45" i="6"/>
  <c r="DG46" i="6"/>
  <c r="DG38" i="6"/>
  <c r="DG44" i="6" l="1"/>
  <c r="DG41" i="6"/>
  <c r="DG57" i="6"/>
  <c r="DG65" i="6" s="1"/>
  <c r="DG54" i="6"/>
  <c r="DG62" i="6" s="1"/>
  <c r="DG56" i="6" l="1"/>
  <c r="DH37" i="6"/>
  <c r="DG53" i="6"/>
  <c r="DG61" i="6" l="1"/>
  <c r="DG52" i="6"/>
  <c r="DH36" i="6"/>
  <c r="DG64" i="6"/>
  <c r="DG55" i="6"/>
  <c r="DG60" i="6" l="1"/>
  <c r="DH35" i="6"/>
  <c r="DG63" i="6"/>
  <c r="DH39" i="6" l="1"/>
  <c r="DH42" i="6" s="1"/>
  <c r="DH48" i="6" s="1"/>
  <c r="DH40" i="6"/>
  <c r="DH43" i="6" s="1"/>
  <c r="DH49" i="6" s="1"/>
  <c r="DH47" i="6" l="1"/>
  <c r="DH45" i="6"/>
  <c r="DH46" i="6"/>
  <c r="DH38" i="6"/>
  <c r="DH44" i="6" l="1"/>
  <c r="DH54" i="6"/>
  <c r="DH62" i="6" s="1"/>
  <c r="DH57" i="6"/>
  <c r="DH65" i="6" s="1"/>
  <c r="DH41" i="6"/>
  <c r="DH56" i="6" l="1"/>
  <c r="DH53" i="6"/>
  <c r="DI37" i="6"/>
  <c r="DH61" i="6" l="1"/>
  <c r="DH52" i="6"/>
  <c r="DI36" i="6"/>
  <c r="DH64" i="6"/>
  <c r="DH55" i="6"/>
  <c r="DH60" i="6" l="1"/>
  <c r="M27" i="7" s="1"/>
  <c r="DI35" i="6"/>
  <c r="M22" i="7"/>
  <c r="DH63" i="6"/>
  <c r="M28" i="7" s="1"/>
  <c r="M21" i="7"/>
  <c r="M35" i="7" s="1"/>
  <c r="M36" i="7" s="1"/>
  <c r="M50" i="7" s="1"/>
  <c r="DI40" i="6" l="1"/>
  <c r="DI43" i="6" s="1"/>
  <c r="DI49" i="6" s="1"/>
  <c r="DI39" i="6"/>
  <c r="DI42" i="6" s="1"/>
  <c r="DI48" i="6" s="1"/>
  <c r="DI47" i="6" l="1"/>
  <c r="DI46" i="6"/>
  <c r="DI45" i="6"/>
  <c r="DI38" i="6"/>
  <c r="DI44" i="6" l="1"/>
  <c r="DI54" i="6"/>
  <c r="DI62" i="6" s="1"/>
  <c r="DI57" i="6"/>
  <c r="DI65" i="6" s="1"/>
  <c r="DI41" i="6"/>
  <c r="DI56" i="6" l="1"/>
  <c r="DI53" i="6"/>
  <c r="DJ37" i="6"/>
  <c r="DI61" i="6" l="1"/>
  <c r="DI52" i="6"/>
  <c r="DJ36" i="6"/>
  <c r="DI64" i="6"/>
  <c r="DI55" i="6"/>
  <c r="DI60" i="6" l="1"/>
  <c r="DJ35" i="6"/>
  <c r="DI63" i="6"/>
  <c r="DJ40" i="6" l="1"/>
  <c r="DJ43" i="6" s="1"/>
  <c r="DJ46" i="6" s="1"/>
  <c r="DJ39" i="6"/>
  <c r="DJ42" i="6" s="1"/>
  <c r="DJ48" i="6" s="1"/>
  <c r="DJ49" i="6" l="1"/>
  <c r="DJ47" i="6" s="1"/>
  <c r="DJ45" i="6"/>
  <c r="DJ44" i="6" s="1"/>
  <c r="DJ38" i="6"/>
  <c r="DJ41" i="6" l="1"/>
  <c r="DJ54" i="6"/>
  <c r="DJ62" i="6" s="1"/>
  <c r="DJ57" i="6"/>
  <c r="DJ65" i="6" s="1"/>
  <c r="DK37" i="6" l="1"/>
  <c r="DJ53" i="6"/>
  <c r="DJ56" i="6"/>
  <c r="DJ61" i="6" l="1"/>
  <c r="DJ52" i="6"/>
  <c r="DK36" i="6"/>
  <c r="DJ64" i="6"/>
  <c r="DJ55" i="6"/>
  <c r="DJ60" i="6" l="1"/>
  <c r="DK35" i="6"/>
  <c r="DJ63" i="6"/>
  <c r="DK40" i="6" l="1"/>
  <c r="DK43" i="6" s="1"/>
  <c r="DK49" i="6" s="1"/>
  <c r="DK39" i="6"/>
  <c r="DK42" i="6" s="1"/>
  <c r="DK48" i="6" s="1"/>
  <c r="DK47" i="6" l="1"/>
  <c r="DK45" i="6"/>
  <c r="DK46" i="6"/>
  <c r="DK38" i="6"/>
  <c r="DK44" i="6" l="1"/>
  <c r="DK57" i="6"/>
  <c r="DK65" i="6" s="1"/>
  <c r="DK54" i="6"/>
  <c r="DK62" i="6" s="1"/>
  <c r="DK41" i="6"/>
  <c r="DK53" i="6" l="1"/>
  <c r="DK56" i="6"/>
  <c r="DL37" i="6"/>
  <c r="DK61" i="6" l="1"/>
  <c r="DK64" i="6"/>
  <c r="DK55" i="6"/>
  <c r="DK52" i="6"/>
  <c r="DL36" i="6"/>
  <c r="DL35" i="6" s="1"/>
  <c r="DK60" i="6" l="1"/>
  <c r="DK63" i="6"/>
  <c r="DL39" i="6" l="1"/>
  <c r="DL42" i="6" s="1"/>
  <c r="DL48" i="6" s="1"/>
  <c r="DL40" i="6"/>
  <c r="DL43" i="6" s="1"/>
  <c r="DL49" i="6" s="1"/>
  <c r="DL45" i="6" l="1"/>
  <c r="DL47" i="6"/>
  <c r="DL46" i="6"/>
  <c r="DL38" i="6"/>
  <c r="DL44" i="6" l="1"/>
  <c r="DL41" i="6"/>
  <c r="DL54" i="6"/>
  <c r="DL62" i="6" s="1"/>
  <c r="DL57" i="6"/>
  <c r="DL65" i="6" s="1"/>
  <c r="DL53" i="6" l="1"/>
  <c r="DM37" i="6"/>
  <c r="DL56" i="6"/>
  <c r="DL61" i="6" l="1"/>
  <c r="DL64" i="6"/>
  <c r="DL55" i="6"/>
  <c r="DM36" i="6"/>
  <c r="DM35" i="6" s="1"/>
  <c r="DL52" i="6"/>
  <c r="DL60" i="6" l="1"/>
  <c r="DL63" i="6"/>
  <c r="DM40" i="6" l="1"/>
  <c r="DM43" i="6" s="1"/>
  <c r="DM49" i="6" s="1"/>
  <c r="DM39" i="6"/>
  <c r="DM42" i="6" s="1"/>
  <c r="DM48" i="6" s="1"/>
  <c r="DM47" i="6" l="1"/>
  <c r="DM45" i="6"/>
  <c r="DM46" i="6"/>
  <c r="DM38" i="6"/>
  <c r="DM44" i="6" l="1"/>
  <c r="DM41" i="6"/>
  <c r="DM57" i="6"/>
  <c r="DM65" i="6" s="1"/>
  <c r="DM54" i="6"/>
  <c r="DM62" i="6" s="1"/>
  <c r="DM56" i="6" l="1"/>
  <c r="DN37" i="6"/>
  <c r="DM53" i="6"/>
  <c r="DM61" i="6" l="1"/>
  <c r="DN36" i="6"/>
  <c r="DN35" i="6" s="1"/>
  <c r="DM52" i="6"/>
  <c r="DM64" i="6"/>
  <c r="DM55" i="6"/>
  <c r="DM60" i="6" l="1"/>
  <c r="DM63" i="6"/>
  <c r="DN40" i="6" l="1"/>
  <c r="DN43" i="6" s="1"/>
  <c r="DN46" i="6" s="1"/>
  <c r="DN39" i="6"/>
  <c r="DN42" i="6" s="1"/>
  <c r="DN45" i="6" s="1"/>
  <c r="DN44" i="6" l="1"/>
  <c r="DN48" i="6"/>
  <c r="DN49" i="6"/>
  <c r="DN38" i="6"/>
  <c r="DN47" i="6" l="1"/>
  <c r="DN41" i="6"/>
  <c r="DN57" i="6"/>
  <c r="DN65" i="6" s="1"/>
  <c r="DN54" i="6"/>
  <c r="DN62" i="6" s="1"/>
  <c r="DN53" i="6" l="1"/>
  <c r="DO37" i="6"/>
  <c r="DN56" i="6"/>
  <c r="DN61" i="6" l="1"/>
  <c r="DO36" i="6"/>
  <c r="DN52" i="6"/>
  <c r="DN64" i="6"/>
  <c r="DN55" i="6"/>
  <c r="DN60" i="6" l="1"/>
  <c r="DN63" i="6"/>
  <c r="DO35" i="6"/>
  <c r="DO40" i="6" l="1"/>
  <c r="DO43" i="6" s="1"/>
  <c r="DO49" i="6" s="1"/>
  <c r="DO39" i="6"/>
  <c r="DO42" i="6" s="1"/>
  <c r="DO48" i="6" s="1"/>
  <c r="DO47" i="6" l="1"/>
  <c r="DO46" i="6"/>
  <c r="DO45" i="6"/>
  <c r="DO38" i="6"/>
  <c r="DO44" i="6" l="1"/>
  <c r="DO57" i="6"/>
  <c r="DO65" i="6" s="1"/>
  <c r="DO54" i="6"/>
  <c r="DO62" i="6" s="1"/>
  <c r="DO41" i="6"/>
  <c r="DO56" i="6" l="1"/>
  <c r="DP37" i="6"/>
  <c r="DO53" i="6"/>
  <c r="DO61" i="6" l="1"/>
  <c r="DO52" i="6"/>
  <c r="DP36" i="6"/>
  <c r="DO64" i="6"/>
  <c r="DO55" i="6"/>
  <c r="DO60" i="6" l="1"/>
  <c r="DP35" i="6"/>
  <c r="DO63" i="6"/>
  <c r="DP40" i="6" l="1"/>
  <c r="DP43" i="6" s="1"/>
  <c r="DP49" i="6" s="1"/>
  <c r="DP39" i="6"/>
  <c r="DP42" i="6" s="1"/>
  <c r="DP48" i="6" s="1"/>
  <c r="DP47" i="6" l="1"/>
  <c r="DP45" i="6"/>
  <c r="DP46" i="6"/>
  <c r="DP38" i="6"/>
  <c r="DP44" i="6" l="1"/>
  <c r="DP57" i="6"/>
  <c r="DP65" i="6" s="1"/>
  <c r="DP54" i="6"/>
  <c r="DP62" i="6" s="1"/>
  <c r="DP41" i="6"/>
  <c r="DP53" i="6" l="1"/>
  <c r="DQ37" i="6"/>
  <c r="DP56" i="6"/>
  <c r="DP61" i="6" l="1"/>
  <c r="DP64" i="6"/>
  <c r="DP55" i="6"/>
  <c r="DP52" i="6"/>
  <c r="DQ36" i="6"/>
  <c r="DP60" i="6" l="1"/>
  <c r="DP63" i="6"/>
  <c r="DQ35" i="6"/>
  <c r="DQ40" i="6" l="1"/>
  <c r="DQ43" i="6" s="1"/>
  <c r="DQ49" i="6" s="1"/>
  <c r="DQ39" i="6"/>
  <c r="DQ42" i="6" s="1"/>
  <c r="DQ48" i="6" s="1"/>
  <c r="DQ47" i="6" l="1"/>
  <c r="DQ45" i="6"/>
  <c r="DQ46" i="6"/>
  <c r="DQ38" i="6"/>
  <c r="DQ44" i="6" l="1"/>
  <c r="DQ57" i="6"/>
  <c r="DQ65" i="6" s="1"/>
  <c r="DQ54" i="6"/>
  <c r="DQ62" i="6" s="1"/>
  <c r="DQ41" i="6"/>
  <c r="DQ56" i="6" l="1"/>
  <c r="DR37" i="6"/>
  <c r="DQ53" i="6"/>
  <c r="DQ61" i="6" l="1"/>
  <c r="DQ52" i="6"/>
  <c r="DR36" i="6"/>
  <c r="DQ55" i="6"/>
  <c r="DQ64" i="6"/>
  <c r="DQ60" i="6" l="1"/>
  <c r="DR35" i="6"/>
  <c r="DQ63" i="6"/>
  <c r="DR39" i="6" l="1"/>
  <c r="DR42" i="6" s="1"/>
  <c r="DR45" i="6" s="1"/>
  <c r="DR40" i="6"/>
  <c r="DR43" i="6" s="1"/>
  <c r="DR49" i="6" s="1"/>
  <c r="DR48" i="6" l="1"/>
  <c r="DR47" i="6" s="1"/>
  <c r="DR46" i="6"/>
  <c r="DR44" i="6" s="1"/>
  <c r="DR38" i="6"/>
  <c r="DR54" i="6" l="1"/>
  <c r="DR62" i="6" s="1"/>
  <c r="DR57" i="6"/>
  <c r="DR65" i="6" s="1"/>
  <c r="DR41" i="6"/>
  <c r="DR53" i="6" l="1"/>
  <c r="DR56" i="6"/>
  <c r="DS37" i="6"/>
  <c r="DR61" i="6" l="1"/>
  <c r="DR64" i="6"/>
  <c r="DR55" i="6"/>
  <c r="DR52" i="6"/>
  <c r="DS36" i="6"/>
  <c r="DR60" i="6" l="1"/>
  <c r="DS35" i="6"/>
  <c r="DR63" i="6"/>
  <c r="DS40" i="6" l="1"/>
  <c r="DS43" i="6" s="1"/>
  <c r="DS49" i="6" s="1"/>
  <c r="DS39" i="6"/>
  <c r="DS42" i="6" s="1"/>
  <c r="DS48" i="6" s="1"/>
  <c r="DS47" i="6" l="1"/>
  <c r="DS46" i="6"/>
  <c r="DS45" i="6"/>
  <c r="DS38" i="6"/>
  <c r="DS44" i="6" l="1"/>
  <c r="DS54" i="6"/>
  <c r="DS62" i="6" s="1"/>
  <c r="DS57" i="6"/>
  <c r="DS65" i="6" s="1"/>
  <c r="DS41" i="6"/>
  <c r="DS56" i="6" l="1"/>
  <c r="DS53" i="6"/>
  <c r="DT37" i="6"/>
  <c r="DS61" i="6" l="1"/>
  <c r="DS52" i="6"/>
  <c r="DT36" i="6"/>
  <c r="DS64" i="6"/>
  <c r="DS55" i="6"/>
  <c r="DS60" i="6" l="1"/>
  <c r="DT35" i="6"/>
  <c r="DS63" i="6"/>
  <c r="DT40" i="6" l="1"/>
  <c r="DT43" i="6" s="1"/>
  <c r="DT49" i="6" s="1"/>
  <c r="DT39" i="6"/>
  <c r="DT42" i="6" s="1"/>
  <c r="DT48" i="6" s="1"/>
  <c r="DT47" i="6" l="1"/>
  <c r="DT45" i="6"/>
  <c r="DT46" i="6"/>
  <c r="DT38" i="6"/>
  <c r="DT44" i="6" l="1"/>
  <c r="DT57" i="6"/>
  <c r="DT65" i="6" s="1"/>
  <c r="DT54" i="6"/>
  <c r="DT62" i="6" s="1"/>
  <c r="DT41" i="6"/>
  <c r="DU37" i="6" l="1"/>
  <c r="DT53" i="6"/>
  <c r="DT56" i="6"/>
  <c r="DT61" i="6" l="1"/>
  <c r="DT52" i="6"/>
  <c r="DU36" i="6"/>
  <c r="DU35" i="6" s="1"/>
  <c r="DT64" i="6"/>
  <c r="DT55" i="6"/>
  <c r="DT60" i="6" l="1"/>
  <c r="N27" i="7" s="1"/>
  <c r="N22" i="7"/>
  <c r="DT63" i="6"/>
  <c r="N28" i="7" s="1"/>
  <c r="N21" i="7"/>
  <c r="N35" i="7" s="1"/>
  <c r="N36" i="7" s="1"/>
  <c r="N50" i="7" s="1"/>
  <c r="DU40" i="6" l="1"/>
  <c r="DU43" i="6" s="1"/>
  <c r="DU49" i="6" s="1"/>
  <c r="DU39" i="6"/>
  <c r="DU42" i="6" s="1"/>
  <c r="DU48" i="6" s="1"/>
  <c r="DU47" i="6" l="1"/>
  <c r="DU45" i="6"/>
  <c r="DU46" i="6"/>
  <c r="DU38" i="6"/>
  <c r="DU44" i="6" l="1"/>
  <c r="DU54" i="6"/>
  <c r="DU62" i="6" s="1"/>
  <c r="DU57" i="6"/>
  <c r="DU65" i="6" s="1"/>
  <c r="DU41" i="6"/>
  <c r="DU53" i="6" l="1"/>
  <c r="DU56" i="6"/>
  <c r="DU61" i="6" l="1"/>
  <c r="DU60" i="6" s="1"/>
  <c r="O27" i="7" s="1"/>
  <c r="D42" i="7" s="1"/>
  <c r="DU64" i="6"/>
  <c r="DU55" i="6"/>
  <c r="DU52" i="6"/>
  <c r="O21" i="7" l="1"/>
  <c r="O35" i="7" s="1"/>
  <c r="O22" i="7"/>
  <c r="DU63" i="6"/>
  <c r="O36" i="7" l="1"/>
  <c r="O50" i="7" s="1"/>
  <c r="C6" i="11"/>
  <c r="O28" i="7"/>
  <c r="D45" i="7" s="1"/>
  <c r="C9" i="11"/>
  <c r="D39" i="7"/>
  <c r="D41" i="7"/>
  <c r="C7" i="11" s="1"/>
  <c r="C12" i="11" l="1"/>
  <c r="D47" i="7"/>
  <c r="C14" i="11" s="1"/>
  <c r="CC46" i="12" l="1"/>
  <c r="CC67" i="12"/>
  <c r="CD44" i="12" l="1"/>
  <c r="CD43" i="12" s="1"/>
  <c r="CD31" i="12" s="1"/>
  <c r="CD34" i="12" s="1"/>
  <c r="CC35" i="12"/>
  <c r="CC36" i="12" s="1"/>
  <c r="CC66" i="12"/>
  <c r="CD47" i="12" l="1"/>
  <c r="CD46" i="12" s="1"/>
  <c r="CC38" i="12"/>
  <c r="CC37" i="12"/>
  <c r="CD32" i="12"/>
  <c r="CD33" i="12"/>
  <c r="CC40" i="12" l="1"/>
  <c r="CC39" i="12"/>
  <c r="CD67" i="12"/>
  <c r="CD66" i="12" s="1"/>
  <c r="CD35" i="12"/>
  <c r="CC53" i="12" l="1"/>
  <c r="CC54" i="12" s="1"/>
  <c r="CC62" i="12" s="1"/>
  <c r="CE44" i="12"/>
  <c r="CE47" i="12" s="1"/>
  <c r="CE46" i="12" s="1"/>
  <c r="CD38" i="12"/>
  <c r="CD37" i="12"/>
  <c r="CD36" i="12"/>
  <c r="CC55" i="12" l="1"/>
  <c r="CC63" i="12" s="1"/>
  <c r="CE43" i="12"/>
  <c r="CE31" i="12" s="1"/>
  <c r="CE34" i="12" s="1"/>
  <c r="CE35" i="12" s="1"/>
  <c r="CE36" i="12" s="1"/>
  <c r="CE67" i="12"/>
  <c r="CE66" i="12" s="1"/>
  <c r="CD39" i="12"/>
  <c r="CD40" i="12"/>
  <c r="CE32" i="12" l="1"/>
  <c r="CF44" i="12"/>
  <c r="CF47" i="12" s="1"/>
  <c r="CF67" i="12" s="1"/>
  <c r="CE33" i="12"/>
  <c r="CD53" i="12"/>
  <c r="CD54" i="12" s="1"/>
  <c r="CD62" i="12" s="1"/>
  <c r="CE38" i="12"/>
  <c r="CE37" i="12"/>
  <c r="CC61" i="12"/>
  <c r="CF43" i="12" l="1"/>
  <c r="CF31" i="12" s="1"/>
  <c r="CF34" i="12" s="1"/>
  <c r="CF46" i="12"/>
  <c r="CD55" i="12"/>
  <c r="CD63" i="12" s="1"/>
  <c r="CE39" i="12"/>
  <c r="CE40" i="12"/>
  <c r="CF66" i="12"/>
  <c r="CG44" i="12"/>
  <c r="CF35" i="12" l="1"/>
  <c r="CF38" i="12" s="1"/>
  <c r="CF32" i="12"/>
  <c r="CF33" i="12"/>
  <c r="CE53" i="12"/>
  <c r="CE54" i="12" s="1"/>
  <c r="CE62" i="12" s="1"/>
  <c r="CF37" i="12"/>
  <c r="CD61" i="12"/>
  <c r="CG47" i="12"/>
  <c r="CG43" i="12"/>
  <c r="CG31" i="12" s="1"/>
  <c r="CG34" i="12" s="1"/>
  <c r="CF36" i="12" l="1"/>
  <c r="CF39" i="12" s="1"/>
  <c r="CE55" i="12"/>
  <c r="CE63" i="12" s="1"/>
  <c r="CG33" i="12"/>
  <c r="CG32" i="12"/>
  <c r="CG46" i="12"/>
  <c r="CG67" i="12"/>
  <c r="CF40" i="12" l="1"/>
  <c r="CF53" i="12" s="1"/>
  <c r="CF54" i="12" s="1"/>
  <c r="CF62" i="12" s="1"/>
  <c r="CE61" i="12"/>
  <c r="CG35" i="12"/>
  <c r="CH44" i="12"/>
  <c r="CG66" i="12"/>
  <c r="CF55" i="12" l="1"/>
  <c r="CF63" i="12" s="1"/>
  <c r="CG38" i="12"/>
  <c r="CG37" i="12"/>
  <c r="CG36" i="12"/>
  <c r="CH47" i="12"/>
  <c r="CH43" i="12"/>
  <c r="CH31" i="12" s="1"/>
  <c r="CH34" i="12" s="1"/>
  <c r="CG39" i="12" l="1"/>
  <c r="CG40" i="12"/>
  <c r="CF61" i="12"/>
  <c r="CH33" i="12"/>
  <c r="CH32" i="12"/>
  <c r="CH46" i="12"/>
  <c r="CH67" i="12"/>
  <c r="CG53" i="12" l="1"/>
  <c r="CG55" i="12" s="1"/>
  <c r="CH35" i="12"/>
  <c r="CH36" i="12" s="1"/>
  <c r="CI44" i="12"/>
  <c r="CH66" i="12"/>
  <c r="CG54" i="12" l="1"/>
  <c r="CG62" i="12" s="1"/>
  <c r="CH38" i="12"/>
  <c r="CH37" i="12"/>
  <c r="CG63" i="12"/>
  <c r="CI47" i="12"/>
  <c r="CI43" i="12"/>
  <c r="CI31" i="12" s="1"/>
  <c r="CI34" i="12" s="1"/>
  <c r="CH40" i="12" l="1"/>
  <c r="CH39" i="12"/>
  <c r="CG61" i="12"/>
  <c r="CI33" i="12"/>
  <c r="CI32" i="12"/>
  <c r="CI46" i="12"/>
  <c r="CI67" i="12"/>
  <c r="CH53" i="12" l="1"/>
  <c r="CH54" i="12" s="1"/>
  <c r="CH62" i="12" s="1"/>
  <c r="CI35" i="12"/>
  <c r="CI36" i="12" s="1"/>
  <c r="CJ44" i="12"/>
  <c r="CJ47" i="12" s="1"/>
  <c r="CI66" i="12"/>
  <c r="CH55" i="12" l="1"/>
  <c r="CH63" i="12" s="1"/>
  <c r="CH61" i="12" s="1"/>
  <c r="CI38" i="12"/>
  <c r="CI37" i="12"/>
  <c r="CJ46" i="12"/>
  <c r="CJ67" i="12"/>
  <c r="CJ43" i="12"/>
  <c r="CI40" i="12" l="1"/>
  <c r="CI39" i="12"/>
  <c r="K18" i="13"/>
  <c r="K39" i="13" s="1"/>
  <c r="K17" i="13"/>
  <c r="K38" i="13" s="1"/>
  <c r="CJ31" i="12"/>
  <c r="CJ34" i="12" s="1"/>
  <c r="CJ66" i="12"/>
  <c r="K25" i="13" s="1"/>
  <c r="CK44" i="12"/>
  <c r="CI53" i="12" l="1"/>
  <c r="CI55" i="12" s="1"/>
  <c r="K41" i="13"/>
  <c r="K42" i="13" s="1"/>
  <c r="K59" i="13" s="1"/>
  <c r="CJ35" i="12"/>
  <c r="CJ37" i="12" s="1"/>
  <c r="CJ33" i="12"/>
  <c r="CJ32" i="12"/>
  <c r="CK43" i="12"/>
  <c r="CK31" i="12" s="1"/>
  <c r="CK34" i="12" s="1"/>
  <c r="CK47" i="12"/>
  <c r="CI54" i="12" l="1"/>
  <c r="CI62" i="12" s="1"/>
  <c r="CJ38" i="12"/>
  <c r="CJ36" i="12"/>
  <c r="CI63" i="12"/>
  <c r="CK33" i="12"/>
  <c r="CK32" i="12"/>
  <c r="CK46" i="12"/>
  <c r="CK67" i="12"/>
  <c r="CI61" i="12" l="1"/>
  <c r="CJ39" i="12"/>
  <c r="CJ40" i="12"/>
  <c r="CK35" i="12"/>
  <c r="CK36" i="12" s="1"/>
  <c r="CL44" i="12"/>
  <c r="CL43" i="12" s="1"/>
  <c r="CL31" i="12" s="1"/>
  <c r="CL34" i="12" s="1"/>
  <c r="CK66" i="12"/>
  <c r="CJ53" i="12" l="1"/>
  <c r="CJ54" i="12" s="1"/>
  <c r="CJ62" i="12" s="1"/>
  <c r="CK38" i="12"/>
  <c r="CK37" i="12"/>
  <c r="CL33" i="12"/>
  <c r="CL32" i="12"/>
  <c r="CL47" i="12"/>
  <c r="K22" i="13" l="1"/>
  <c r="CJ55" i="12"/>
  <c r="CJ63" i="12" s="1"/>
  <c r="CJ61" i="12" s="1"/>
  <c r="K28" i="13" s="1"/>
  <c r="CK39" i="12"/>
  <c r="CK40" i="12"/>
  <c r="CL67" i="12"/>
  <c r="CL46" i="12"/>
  <c r="CK53" i="12" l="1"/>
  <c r="CK55" i="12" s="1"/>
  <c r="CL66" i="12"/>
  <c r="CL35" i="12"/>
  <c r="CM44" i="12"/>
  <c r="CM43" i="12" s="1"/>
  <c r="CM31" i="12" s="1"/>
  <c r="CM34" i="12" s="1"/>
  <c r="CK54" i="12" l="1"/>
  <c r="CK62" i="12" s="1"/>
  <c r="CL38" i="12"/>
  <c r="CL37" i="12"/>
  <c r="CL36" i="12"/>
  <c r="CK63" i="12"/>
  <c r="CM32" i="12"/>
  <c r="CM33" i="12"/>
  <c r="CM47" i="12"/>
  <c r="CK61" i="12" l="1"/>
  <c r="CL39" i="12"/>
  <c r="CL40" i="12"/>
  <c r="CM67" i="12"/>
  <c r="CN44" i="12" s="1"/>
  <c r="CM46" i="12"/>
  <c r="CL53" i="12" l="1"/>
  <c r="CL54" i="12" s="1"/>
  <c r="CL62" i="12" s="1"/>
  <c r="CM66" i="12"/>
  <c r="CM35" i="12"/>
  <c r="CM36" i="12" s="1"/>
  <c r="CN43" i="12"/>
  <c r="CN31" i="12" s="1"/>
  <c r="CN34" i="12" s="1"/>
  <c r="CN47" i="12"/>
  <c r="CL55" i="12" l="1"/>
  <c r="CL63" i="12" s="1"/>
  <c r="CL61" i="12" s="1"/>
  <c r="CM38" i="12"/>
  <c r="CM37" i="12"/>
  <c r="CN33" i="12"/>
  <c r="CN32" i="12"/>
  <c r="CN46" i="12"/>
  <c r="CN67" i="12"/>
  <c r="CM40" i="12" l="1"/>
  <c r="CM39" i="12"/>
  <c r="CN35" i="12"/>
  <c r="CO44" i="12"/>
  <c r="CN66" i="12"/>
  <c r="CM53" i="12" l="1"/>
  <c r="CM55" i="12" s="1"/>
  <c r="CN38" i="12"/>
  <c r="CN37" i="12"/>
  <c r="CN36" i="12"/>
  <c r="CO43" i="12"/>
  <c r="CO31" i="12" s="1"/>
  <c r="CO34" i="12" s="1"/>
  <c r="CO47" i="12"/>
  <c r="CM54" i="12" l="1"/>
  <c r="CM62" i="12" s="1"/>
  <c r="CN40" i="12"/>
  <c r="CN39" i="12"/>
  <c r="CM63" i="12"/>
  <c r="CO33" i="12"/>
  <c r="CO32" i="12"/>
  <c r="CO46" i="12"/>
  <c r="CO67" i="12"/>
  <c r="CM61" i="12" l="1"/>
  <c r="CN53" i="12"/>
  <c r="CN54" i="12" s="1"/>
  <c r="CN62" i="12" s="1"/>
  <c r="CO35" i="12"/>
  <c r="CO66" i="12"/>
  <c r="CP44" i="12"/>
  <c r="CP47" i="12" s="1"/>
  <c r="CN55" i="12" l="1"/>
  <c r="CN63" i="12" s="1"/>
  <c r="CN61" i="12" s="1"/>
  <c r="CO38" i="12"/>
  <c r="CO37" i="12"/>
  <c r="CO36" i="12"/>
  <c r="CP46" i="12"/>
  <c r="CP67" i="12"/>
  <c r="CP43" i="12"/>
  <c r="CP31" i="12" s="1"/>
  <c r="CP34" i="12" s="1"/>
  <c r="CO40" i="12" l="1"/>
  <c r="CO39" i="12"/>
  <c r="CP35" i="12"/>
  <c r="CP32" i="12"/>
  <c r="CP33" i="12"/>
  <c r="CP66" i="12"/>
  <c r="CQ44" i="12"/>
  <c r="CO53" i="12" l="1"/>
  <c r="CO55" i="12" s="1"/>
  <c r="CP38" i="12"/>
  <c r="CP37" i="12"/>
  <c r="CP36" i="12"/>
  <c r="CQ43" i="12"/>
  <c r="CQ31" i="12" s="1"/>
  <c r="CQ34" i="12" s="1"/>
  <c r="CQ47" i="12"/>
  <c r="CO54" i="12" l="1"/>
  <c r="CO62" i="12" s="1"/>
  <c r="CP39" i="12"/>
  <c r="CP40" i="12"/>
  <c r="CO63" i="12"/>
  <c r="CQ32" i="12"/>
  <c r="CQ33" i="12"/>
  <c r="CQ46" i="12"/>
  <c r="CQ67" i="12"/>
  <c r="CP53" i="12" l="1"/>
  <c r="CP54" i="12" s="1"/>
  <c r="CP62" i="12" s="1"/>
  <c r="CO61" i="12"/>
  <c r="CQ35" i="12"/>
  <c r="CR44" i="12"/>
  <c r="CR47" i="12" s="1"/>
  <c r="CQ66" i="12"/>
  <c r="CP55" i="12" l="1"/>
  <c r="CP63" i="12" s="1"/>
  <c r="CQ38" i="12"/>
  <c r="CQ37" i="12"/>
  <c r="CQ36" i="12"/>
  <c r="CR46" i="12"/>
  <c r="CR67" i="12"/>
  <c r="CR43" i="12"/>
  <c r="CR31" i="12" s="1"/>
  <c r="CR34" i="12" s="1"/>
  <c r="CQ40" i="12" l="1"/>
  <c r="CQ39" i="12"/>
  <c r="CP61" i="12"/>
  <c r="CS44" i="12"/>
  <c r="CS43" i="12" s="1"/>
  <c r="CS31" i="12" s="1"/>
  <c r="CS34" i="12" s="1"/>
  <c r="CR35" i="12"/>
  <c r="CR33" i="12"/>
  <c r="CR32" i="12"/>
  <c r="CR66" i="12"/>
  <c r="CQ53" i="12" l="1"/>
  <c r="CQ55" i="12" s="1"/>
  <c r="CQ63" i="12" s="1"/>
  <c r="CS47" i="12"/>
  <c r="CS46" i="12" s="1"/>
  <c r="CR38" i="12"/>
  <c r="CR37" i="12"/>
  <c r="CR36" i="12"/>
  <c r="CS33" i="12"/>
  <c r="CS32" i="12"/>
  <c r="CQ54" i="12" l="1"/>
  <c r="CQ62" i="12" s="1"/>
  <c r="CQ61" i="12" s="1"/>
  <c r="CR39" i="12"/>
  <c r="CS67" i="12"/>
  <c r="CT44" i="12" s="1"/>
  <c r="CR40" i="12"/>
  <c r="CS35" i="12"/>
  <c r="CS66" i="12" l="1"/>
  <c r="CR53" i="12"/>
  <c r="CR54" i="12" s="1"/>
  <c r="CR62" i="12" s="1"/>
  <c r="CS38" i="12"/>
  <c r="CS37" i="12"/>
  <c r="CS36" i="12"/>
  <c r="CT47" i="12"/>
  <c r="CT43" i="12"/>
  <c r="CT31" i="12" s="1"/>
  <c r="CT34" i="12" s="1"/>
  <c r="CR55" i="12" l="1"/>
  <c r="CR63" i="12" s="1"/>
  <c r="CR61" i="12" s="1"/>
  <c r="CS39" i="12"/>
  <c r="CS40" i="12"/>
  <c r="CT32" i="12"/>
  <c r="CT33" i="12"/>
  <c r="CT46" i="12"/>
  <c r="CT67" i="12"/>
  <c r="CS53" i="12" l="1"/>
  <c r="CS55" i="12" s="1"/>
  <c r="CT35" i="12"/>
  <c r="CT66" i="12"/>
  <c r="CU44" i="12"/>
  <c r="CS54" i="12" l="1"/>
  <c r="CS62" i="12" s="1"/>
  <c r="CT38" i="12"/>
  <c r="CT37" i="12"/>
  <c r="CT36" i="12"/>
  <c r="CS63" i="12"/>
  <c r="CU43" i="12"/>
  <c r="CU31" i="12" s="1"/>
  <c r="CU34" i="12" s="1"/>
  <c r="CU47" i="12"/>
  <c r="CT39" i="12" l="1"/>
  <c r="CT40" i="12"/>
  <c r="CS61" i="12"/>
  <c r="CU32" i="12"/>
  <c r="CU33" i="12"/>
  <c r="CU46" i="12"/>
  <c r="CU67" i="12"/>
  <c r="CT53" i="12" l="1"/>
  <c r="CT55" i="12" s="1"/>
  <c r="CT63" i="12" s="1"/>
  <c r="CU35" i="12"/>
  <c r="CU66" i="12"/>
  <c r="CV44" i="12"/>
  <c r="CT54" i="12" l="1"/>
  <c r="CT62" i="12" s="1"/>
  <c r="CT61" i="12" s="1"/>
  <c r="CU38" i="12"/>
  <c r="CU37" i="12"/>
  <c r="CU36" i="12"/>
  <c r="CV47" i="12"/>
  <c r="CV43" i="12"/>
  <c r="CU39" i="12" l="1"/>
  <c r="CU40" i="12"/>
  <c r="L17" i="13"/>
  <c r="L38" i="13" s="1"/>
  <c r="CV31" i="12"/>
  <c r="CV34" i="12" s="1"/>
  <c r="CV46" i="12"/>
  <c r="CV67" i="12"/>
  <c r="CU53" i="12" l="1"/>
  <c r="CU55" i="12" s="1"/>
  <c r="CU63" i="12" s="1"/>
  <c r="L18" i="13"/>
  <c r="L39" i="13" s="1"/>
  <c r="L41" i="13" s="1"/>
  <c r="CV35" i="12"/>
  <c r="CV33" i="12"/>
  <c r="CV32" i="12"/>
  <c r="CV66" i="12"/>
  <c r="L25" i="13" s="1"/>
  <c r="CW44" i="12"/>
  <c r="CU54" i="12" l="1"/>
  <c r="CU62" i="12" s="1"/>
  <c r="CU61" i="12" s="1"/>
  <c r="L42" i="13"/>
  <c r="L59" i="13" s="1"/>
  <c r="CV38" i="12"/>
  <c r="CV37" i="12"/>
  <c r="CV36" i="12"/>
  <c r="CW47" i="12"/>
  <c r="CW43" i="12"/>
  <c r="CW31" i="12" s="1"/>
  <c r="CW34" i="12" s="1"/>
  <c r="CV39" i="12" l="1"/>
  <c r="CV40" i="12"/>
  <c r="CW33" i="12"/>
  <c r="CW32" i="12"/>
  <c r="CW46" i="12"/>
  <c r="CW67" i="12"/>
  <c r="CV53" i="12" l="1"/>
  <c r="L22" i="13" s="1"/>
  <c r="CW35" i="12"/>
  <c r="CW66" i="12"/>
  <c r="CX44" i="12"/>
  <c r="CV54" i="12" l="1"/>
  <c r="CV62" i="12" s="1"/>
  <c r="CV55" i="12"/>
  <c r="CV63" i="12" s="1"/>
  <c r="CW38" i="12"/>
  <c r="CW37" i="12"/>
  <c r="CW36" i="12"/>
  <c r="CX47" i="12"/>
  <c r="CX43" i="12"/>
  <c r="CX31" i="12" s="1"/>
  <c r="CX34" i="12" s="1"/>
  <c r="CV61" i="12" l="1"/>
  <c r="L28" i="13" s="1"/>
  <c r="CW39" i="12"/>
  <c r="CW40" i="12"/>
  <c r="CX33" i="12"/>
  <c r="CX32" i="12"/>
  <c r="CX46" i="12"/>
  <c r="CX67" i="12"/>
  <c r="CW53" i="12" l="1"/>
  <c r="CW55" i="12" s="1"/>
  <c r="CX35" i="12"/>
  <c r="CX66" i="12"/>
  <c r="CY44" i="12"/>
  <c r="CY47" i="12" s="1"/>
  <c r="CW54" i="12" l="1"/>
  <c r="CW62" i="12" s="1"/>
  <c r="CX38" i="12"/>
  <c r="CX37" i="12"/>
  <c r="CX36" i="12"/>
  <c r="CW63" i="12"/>
  <c r="CW61" i="12" s="1"/>
  <c r="CY46" i="12"/>
  <c r="CY67" i="12"/>
  <c r="CY43" i="12"/>
  <c r="CY31" i="12" s="1"/>
  <c r="CY34" i="12" s="1"/>
  <c r="CX40" i="12" l="1"/>
  <c r="CX39" i="12"/>
  <c r="CY35" i="12"/>
  <c r="CY33" i="12"/>
  <c r="CY32" i="12"/>
  <c r="CY66" i="12"/>
  <c r="CZ44" i="12"/>
  <c r="CZ43" i="12" s="1"/>
  <c r="CZ31" i="12" s="1"/>
  <c r="CZ34" i="12" s="1"/>
  <c r="CX53" i="12" l="1"/>
  <c r="CX54" i="12" s="1"/>
  <c r="CX62" i="12" s="1"/>
  <c r="CY38" i="12"/>
  <c r="CY37" i="12"/>
  <c r="CY36" i="12"/>
  <c r="CZ33" i="12"/>
  <c r="CZ32" i="12"/>
  <c r="CZ47" i="12"/>
  <c r="CX55" i="12" l="1"/>
  <c r="CX63" i="12" s="1"/>
  <c r="CY40" i="12"/>
  <c r="CY39" i="12"/>
  <c r="CZ46" i="12"/>
  <c r="CZ67" i="12"/>
  <c r="CY53" i="12" l="1"/>
  <c r="CY55" i="12" s="1"/>
  <c r="CX61" i="12"/>
  <c r="DA44" i="12"/>
  <c r="DA47" i="12" s="1"/>
  <c r="CZ35" i="12"/>
  <c r="CZ36" i="12" s="1"/>
  <c r="CZ66" i="12"/>
  <c r="CY54" i="12" l="1"/>
  <c r="CY62" i="12" s="1"/>
  <c r="CZ38" i="12"/>
  <c r="CZ37" i="12"/>
  <c r="DA43" i="12"/>
  <c r="DA31" i="12" s="1"/>
  <c r="DA34" i="12" s="1"/>
  <c r="CY63" i="12"/>
  <c r="DA67" i="12"/>
  <c r="DB44" i="12" s="1"/>
  <c r="DA46" i="12"/>
  <c r="CZ39" i="12" l="1"/>
  <c r="CZ40" i="12"/>
  <c r="DA32" i="12"/>
  <c r="DA33" i="12"/>
  <c r="DA66" i="12"/>
  <c r="CY61" i="12"/>
  <c r="DA35" i="12"/>
  <c r="DB47" i="12"/>
  <c r="DB43" i="12"/>
  <c r="DB31" i="12" s="1"/>
  <c r="DB34" i="12" s="1"/>
  <c r="CZ53" i="12" l="1"/>
  <c r="CZ54" i="12" s="1"/>
  <c r="CZ62" i="12" s="1"/>
  <c r="DA38" i="12"/>
  <c r="DA37" i="12"/>
  <c r="DA36" i="12"/>
  <c r="DB33" i="12"/>
  <c r="DB32" i="12"/>
  <c r="DB46" i="12"/>
  <c r="DB67" i="12"/>
  <c r="CZ55" i="12" l="1"/>
  <c r="CZ63" i="12" s="1"/>
  <c r="CZ61" i="12" s="1"/>
  <c r="DA39" i="12"/>
  <c r="DA40" i="12"/>
  <c r="DB35" i="12"/>
  <c r="DB66" i="12"/>
  <c r="DC44" i="12"/>
  <c r="DC47" i="12" s="1"/>
  <c r="DA53" i="12" l="1"/>
  <c r="DA55" i="12" s="1"/>
  <c r="DA63" i="12" s="1"/>
  <c r="DB38" i="12"/>
  <c r="DB37" i="12"/>
  <c r="DB36" i="12"/>
  <c r="DC46" i="12"/>
  <c r="DC67" i="12"/>
  <c r="DC43" i="12"/>
  <c r="DC31" i="12" s="1"/>
  <c r="DC34" i="12" s="1"/>
  <c r="DA54" i="12" l="1"/>
  <c r="DA62" i="12" s="1"/>
  <c r="DA61" i="12" s="1"/>
  <c r="DB40" i="12"/>
  <c r="DB39" i="12"/>
  <c r="DC35" i="12"/>
  <c r="DC33" i="12"/>
  <c r="DC32" i="12"/>
  <c r="DC66" i="12"/>
  <c r="DD44" i="12"/>
  <c r="DD47" i="12" s="1"/>
  <c r="DB53" i="12" l="1"/>
  <c r="DB54" i="12" s="1"/>
  <c r="DB62" i="12" s="1"/>
  <c r="DC38" i="12"/>
  <c r="DC37" i="12"/>
  <c r="DC36" i="12"/>
  <c r="DD46" i="12"/>
  <c r="DD67" i="12"/>
  <c r="DD43" i="12"/>
  <c r="DD31" i="12" s="1"/>
  <c r="DD34" i="12" s="1"/>
  <c r="DB55" i="12" l="1"/>
  <c r="DB63" i="12" s="1"/>
  <c r="DC39" i="12"/>
  <c r="DC40" i="12"/>
  <c r="DD35" i="12"/>
  <c r="DD33" i="12"/>
  <c r="DD32" i="12"/>
  <c r="DE44" i="12"/>
  <c r="DD66" i="12"/>
  <c r="DC53" i="12" l="1"/>
  <c r="DC54" i="12" s="1"/>
  <c r="DC62" i="12" s="1"/>
  <c r="DD38" i="12"/>
  <c r="DD37" i="12"/>
  <c r="DD36" i="12"/>
  <c r="DB61" i="12"/>
  <c r="DE47" i="12"/>
  <c r="DE43" i="12"/>
  <c r="DE31" i="12" s="1"/>
  <c r="DE34" i="12" s="1"/>
  <c r="DC55" i="12" l="1"/>
  <c r="DC63" i="12" s="1"/>
  <c r="DD40" i="12"/>
  <c r="DD39" i="12"/>
  <c r="DE33" i="12"/>
  <c r="DE32" i="12"/>
  <c r="DE46" i="12"/>
  <c r="DE67" i="12"/>
  <c r="DD53" i="12" l="1"/>
  <c r="DD55" i="12" s="1"/>
  <c r="DC61" i="12"/>
  <c r="DE35" i="12"/>
  <c r="DF44" i="12"/>
  <c r="DF47" i="12" s="1"/>
  <c r="DE66" i="12"/>
  <c r="DD54" i="12" l="1"/>
  <c r="DD62" i="12" s="1"/>
  <c r="DE38" i="12"/>
  <c r="DE37" i="12"/>
  <c r="DE36" i="12"/>
  <c r="DD63" i="12"/>
  <c r="DF46" i="12"/>
  <c r="DF43" i="12"/>
  <c r="DF31" i="12" s="1"/>
  <c r="DF34" i="12" s="1"/>
  <c r="DF67" i="12"/>
  <c r="DE39" i="12" l="1"/>
  <c r="DE40" i="12"/>
  <c r="DD61" i="12"/>
  <c r="DF35" i="12"/>
  <c r="DF32" i="12"/>
  <c r="DF33" i="12"/>
  <c r="DG44" i="12"/>
  <c r="DG47" i="12" s="1"/>
  <c r="DF66" i="12"/>
  <c r="DE53" i="12" l="1"/>
  <c r="DE55" i="12" s="1"/>
  <c r="DF38" i="12"/>
  <c r="DF37" i="12"/>
  <c r="DF36" i="12"/>
  <c r="DG46" i="12"/>
  <c r="DG67" i="12"/>
  <c r="DG43" i="12"/>
  <c r="DG31" i="12" s="1"/>
  <c r="DG34" i="12" s="1"/>
  <c r="DF39" i="12" l="1"/>
  <c r="DE54" i="12"/>
  <c r="DE62" i="12" s="1"/>
  <c r="DF40" i="12"/>
  <c r="DE63" i="12"/>
  <c r="DG35" i="12"/>
  <c r="DG33" i="12"/>
  <c r="DG32" i="12"/>
  <c r="DG66" i="12"/>
  <c r="DH44" i="12"/>
  <c r="DF53" i="12" l="1"/>
  <c r="DF55" i="12" s="1"/>
  <c r="DG38" i="12"/>
  <c r="DG37" i="12"/>
  <c r="DG36" i="12"/>
  <c r="DE61" i="12"/>
  <c r="DH47" i="12"/>
  <c r="DH43" i="12"/>
  <c r="DF54" i="12" l="1"/>
  <c r="DF62" i="12" s="1"/>
  <c r="DG40" i="12"/>
  <c r="DG39" i="12"/>
  <c r="DF63" i="12"/>
  <c r="M17" i="13"/>
  <c r="M38" i="13" s="1"/>
  <c r="DH31" i="12"/>
  <c r="DH34" i="12" s="1"/>
  <c r="DH46" i="12"/>
  <c r="DH67" i="12"/>
  <c r="DG53" i="12" l="1"/>
  <c r="DG55" i="12" s="1"/>
  <c r="DF61" i="12"/>
  <c r="M18" i="13"/>
  <c r="M39" i="13" s="1"/>
  <c r="M41" i="13" s="1"/>
  <c r="M42" i="13" s="1"/>
  <c r="M59" i="13" s="1"/>
  <c r="DH35" i="12"/>
  <c r="DH36" i="12" s="1"/>
  <c r="DH33" i="12"/>
  <c r="DH32" i="12"/>
  <c r="DH66" i="12"/>
  <c r="M25" i="13" s="1"/>
  <c r="DI44" i="12"/>
  <c r="DG54" i="12" l="1"/>
  <c r="DG62" i="12" s="1"/>
  <c r="DH38" i="12"/>
  <c r="DH37" i="12"/>
  <c r="DG63" i="12"/>
  <c r="DI47" i="12"/>
  <c r="DI43" i="12"/>
  <c r="DI31" i="12" s="1"/>
  <c r="DI34" i="12" s="1"/>
  <c r="DH39" i="12" l="1"/>
  <c r="DH40" i="12"/>
  <c r="DG61" i="12"/>
  <c r="DI33" i="12"/>
  <c r="DI32" i="12"/>
  <c r="DI46" i="12"/>
  <c r="DI67" i="12"/>
  <c r="DH53" i="12" l="1"/>
  <c r="M22" i="13" s="1"/>
  <c r="DI35" i="12"/>
  <c r="DJ44" i="12"/>
  <c r="DI66" i="12"/>
  <c r="DH55" i="12" l="1"/>
  <c r="DH63" i="12" s="1"/>
  <c r="DH54" i="12"/>
  <c r="DH62" i="12" s="1"/>
  <c r="DI38" i="12"/>
  <c r="DI37" i="12"/>
  <c r="DI36" i="12"/>
  <c r="DJ43" i="12"/>
  <c r="DJ31" i="12" s="1"/>
  <c r="DJ34" i="12" s="1"/>
  <c r="DJ47" i="12"/>
  <c r="DI39" i="12" l="1"/>
  <c r="DH61" i="12"/>
  <c r="M28" i="13" s="1"/>
  <c r="DI40" i="12"/>
  <c r="DJ32" i="12"/>
  <c r="DJ33" i="12"/>
  <c r="DJ46" i="12"/>
  <c r="DJ67" i="12"/>
  <c r="DI53" i="12" l="1"/>
  <c r="DI55" i="12" s="1"/>
  <c r="DJ35" i="12"/>
  <c r="DK44" i="12"/>
  <c r="DJ66" i="12"/>
  <c r="DI54" i="12" l="1"/>
  <c r="DI62" i="12" s="1"/>
  <c r="DJ38" i="12"/>
  <c r="DJ37" i="12"/>
  <c r="DJ36" i="12"/>
  <c r="DI63" i="12"/>
  <c r="DK47" i="12"/>
  <c r="DK43" i="12"/>
  <c r="DK31" i="12" s="1"/>
  <c r="DK34" i="12" s="1"/>
  <c r="DI61" i="12" l="1"/>
  <c r="DJ40" i="12"/>
  <c r="DJ39" i="12"/>
  <c r="DK32" i="12"/>
  <c r="DK33" i="12"/>
  <c r="DK46" i="12"/>
  <c r="DK67" i="12"/>
  <c r="DJ53" i="12" l="1"/>
  <c r="DJ54" i="12" s="1"/>
  <c r="DJ62" i="12" s="1"/>
  <c r="DK35" i="12"/>
  <c r="DL44" i="12"/>
  <c r="DL47" i="12" s="1"/>
  <c r="DK66" i="12"/>
  <c r="DJ55" i="12" l="1"/>
  <c r="DJ63" i="12" s="1"/>
  <c r="DJ61" i="12" s="1"/>
  <c r="DK38" i="12"/>
  <c r="DK37" i="12"/>
  <c r="DK36" i="12"/>
  <c r="DL46" i="12"/>
  <c r="DL67" i="12"/>
  <c r="DL43" i="12"/>
  <c r="DL31" i="12" s="1"/>
  <c r="DL34" i="12" s="1"/>
  <c r="DK40" i="12" l="1"/>
  <c r="DK39" i="12"/>
  <c r="DL35" i="12"/>
  <c r="DL33" i="12"/>
  <c r="DL32" i="12"/>
  <c r="DM44" i="12"/>
  <c r="DL66" i="12"/>
  <c r="DK53" i="12" l="1"/>
  <c r="DK55" i="12" s="1"/>
  <c r="DL38" i="12"/>
  <c r="DL37" i="12"/>
  <c r="DL36" i="12"/>
  <c r="DM43" i="12"/>
  <c r="DM31" i="12" s="1"/>
  <c r="DM34" i="12" s="1"/>
  <c r="DM47" i="12"/>
  <c r="DK54" i="12" l="1"/>
  <c r="DK62" i="12" s="1"/>
  <c r="DL40" i="12"/>
  <c r="DL39" i="12"/>
  <c r="DK63" i="12"/>
  <c r="DM33" i="12"/>
  <c r="DM32" i="12"/>
  <c r="DM46" i="12"/>
  <c r="DM67" i="12"/>
  <c r="DL53" i="12" l="1"/>
  <c r="DL54" i="12" s="1"/>
  <c r="DL62" i="12" s="1"/>
  <c r="DK61" i="12"/>
  <c r="DM35" i="12"/>
  <c r="DM36" i="12" s="1"/>
  <c r="DM66" i="12"/>
  <c r="DN44" i="12"/>
  <c r="DL55" i="12" l="1"/>
  <c r="DL63" i="12" s="1"/>
  <c r="DM38" i="12"/>
  <c r="DM37" i="12"/>
  <c r="DN47" i="12"/>
  <c r="DN43" i="12"/>
  <c r="DN31" i="12" s="1"/>
  <c r="DN34" i="12" s="1"/>
  <c r="DM39" i="12" l="1"/>
  <c r="DM40" i="12"/>
  <c r="DL61" i="12"/>
  <c r="DN33" i="12"/>
  <c r="DN32" i="12"/>
  <c r="DN46" i="12"/>
  <c r="DN67" i="12"/>
  <c r="DM53" i="12" l="1"/>
  <c r="DM55" i="12" s="1"/>
  <c r="DN35" i="12"/>
  <c r="DN36" i="12" s="1"/>
  <c r="DN66" i="12"/>
  <c r="DO44" i="12"/>
  <c r="DO43" i="12" s="1"/>
  <c r="DO31" i="12" s="1"/>
  <c r="DO34" i="12" s="1"/>
  <c r="DM54" i="12" l="1"/>
  <c r="DM62" i="12" s="1"/>
  <c r="DN38" i="12"/>
  <c r="DN37" i="12"/>
  <c r="DM63" i="12"/>
  <c r="DO32" i="12"/>
  <c r="DO33" i="12"/>
  <c r="DO47" i="12"/>
  <c r="DM61" i="12" l="1"/>
  <c r="DN40" i="12"/>
  <c r="DN39" i="12"/>
  <c r="DO46" i="12"/>
  <c r="DO67" i="12"/>
  <c r="DN53" i="12" l="1"/>
  <c r="DN54" i="12" s="1"/>
  <c r="DN62" i="12" s="1"/>
  <c r="DO35" i="12"/>
  <c r="DP44" i="12"/>
  <c r="DO66" i="12"/>
  <c r="DN55" i="12" l="1"/>
  <c r="DN63" i="12" s="1"/>
  <c r="DN61" i="12" s="1"/>
  <c r="DO38" i="12"/>
  <c r="DO37" i="12"/>
  <c r="DO36" i="12"/>
  <c r="DO39" i="12" s="1"/>
  <c r="DP47" i="12"/>
  <c r="DP43" i="12"/>
  <c r="DP31" i="12" s="1"/>
  <c r="DP34" i="12" s="1"/>
  <c r="DO40" i="12" l="1"/>
  <c r="DO53" i="12" s="1"/>
  <c r="DP33" i="12"/>
  <c r="DP32" i="12"/>
  <c r="DP46" i="12"/>
  <c r="DP67" i="12"/>
  <c r="DO55" i="12" l="1"/>
  <c r="DO54" i="12"/>
  <c r="DO62" i="12" s="1"/>
  <c r="DP35" i="12"/>
  <c r="DQ44" i="12"/>
  <c r="DQ43" i="12" s="1"/>
  <c r="DQ31" i="12" s="1"/>
  <c r="DQ34" i="12" s="1"/>
  <c r="DP66" i="12"/>
  <c r="DP38" i="12" l="1"/>
  <c r="DP37" i="12"/>
  <c r="DP36" i="12"/>
  <c r="DO63" i="12"/>
  <c r="DO61" i="12" s="1"/>
  <c r="DQ33" i="12"/>
  <c r="DQ32" i="12"/>
  <c r="DQ47" i="12"/>
  <c r="DP39" i="12" l="1"/>
  <c r="DP40" i="12"/>
  <c r="DQ67" i="12"/>
  <c r="DQ66" i="12" s="1"/>
  <c r="DQ46" i="12"/>
  <c r="DP53" i="12" l="1"/>
  <c r="DP55" i="12" s="1"/>
  <c r="DR44" i="12"/>
  <c r="DQ35" i="12"/>
  <c r="DP54" i="12" l="1"/>
  <c r="DP62" i="12" s="1"/>
  <c r="DQ38" i="12"/>
  <c r="DQ37" i="12"/>
  <c r="DQ36" i="12"/>
  <c r="DP63" i="12"/>
  <c r="DR47" i="12"/>
  <c r="DR43" i="12"/>
  <c r="DR31" i="12" s="1"/>
  <c r="DQ40" i="12" l="1"/>
  <c r="DQ39" i="12"/>
  <c r="DP61" i="12"/>
  <c r="DR34" i="12"/>
  <c r="DR32" i="12"/>
  <c r="DR33" i="12"/>
  <c r="DR46" i="12"/>
  <c r="DR67" i="12"/>
  <c r="DQ53" i="12" l="1"/>
  <c r="DQ55" i="12" s="1"/>
  <c r="DS44" i="12"/>
  <c r="DS47" i="12" s="1"/>
  <c r="DR66" i="12"/>
  <c r="DR35" i="12"/>
  <c r="DQ54" i="12" l="1"/>
  <c r="DQ62" i="12" s="1"/>
  <c r="DR38" i="12"/>
  <c r="DR37" i="12"/>
  <c r="DR36" i="12"/>
  <c r="DQ63" i="12"/>
  <c r="DS46" i="12"/>
  <c r="DS67" i="12"/>
  <c r="DS43" i="12"/>
  <c r="DS31" i="12" s="1"/>
  <c r="DQ61" i="12" l="1"/>
  <c r="DR40" i="12"/>
  <c r="DR39" i="12"/>
  <c r="DS34" i="12"/>
  <c r="DS35" i="12" s="1"/>
  <c r="DS33" i="12"/>
  <c r="DS32" i="12"/>
  <c r="DS66" i="12"/>
  <c r="DT44" i="12"/>
  <c r="DR53" i="12" l="1"/>
  <c r="DR54" i="12" s="1"/>
  <c r="DR62" i="12" s="1"/>
  <c r="DS38" i="12"/>
  <c r="DS37" i="12"/>
  <c r="DS36" i="12"/>
  <c r="DT47" i="12"/>
  <c r="DT43" i="12"/>
  <c r="DS40" i="12" l="1"/>
  <c r="DR55" i="12"/>
  <c r="DR63" i="12" s="1"/>
  <c r="DS39" i="12"/>
  <c r="N17" i="13"/>
  <c r="N38" i="13" s="1"/>
  <c r="DT31" i="12"/>
  <c r="DT46" i="12"/>
  <c r="DT67" i="12"/>
  <c r="DS53" i="12" l="1"/>
  <c r="DS55" i="12" s="1"/>
  <c r="DS63" i="12" s="1"/>
  <c r="DR61" i="12"/>
  <c r="N18" i="13"/>
  <c r="N39" i="13" s="1"/>
  <c r="N41" i="13" s="1"/>
  <c r="N42" i="13" s="1"/>
  <c r="N59" i="13" s="1"/>
  <c r="DT34" i="12"/>
  <c r="DT35" i="12" s="1"/>
  <c r="DT33" i="12"/>
  <c r="DT32" i="12"/>
  <c r="DT66" i="12"/>
  <c r="N25" i="13" s="1"/>
  <c r="DU44" i="12"/>
  <c r="DS54" i="12" l="1"/>
  <c r="DS62" i="12" s="1"/>
  <c r="DS61" i="12" s="1"/>
  <c r="DT38" i="12"/>
  <c r="DT37" i="12"/>
  <c r="DT36" i="12"/>
  <c r="DU43" i="12"/>
  <c r="DU47" i="12"/>
  <c r="DT39" i="12" l="1"/>
  <c r="DT40" i="12"/>
  <c r="DU46" i="12"/>
  <c r="DU67" i="12"/>
  <c r="DU31" i="12"/>
  <c r="O17" i="13"/>
  <c r="O38" i="13" s="1"/>
  <c r="DT53" i="12" l="1"/>
  <c r="N22" i="13" s="1"/>
  <c r="DU34" i="12"/>
  <c r="DU35" i="12" s="1"/>
  <c r="DU33" i="12"/>
  <c r="DU32" i="12"/>
  <c r="DU66" i="12"/>
  <c r="O25" i="13" s="1"/>
  <c r="O18" i="13"/>
  <c r="O39" i="13" s="1"/>
  <c r="D50" i="13" s="1"/>
  <c r="DT55" i="12" l="1"/>
  <c r="DT63" i="12" s="1"/>
  <c r="DT54" i="12"/>
  <c r="DT62" i="12" s="1"/>
  <c r="DU38" i="12"/>
  <c r="DU37" i="12"/>
  <c r="DU36" i="12"/>
  <c r="F9" i="11"/>
  <c r="D46" i="13"/>
  <c r="D47" i="13" s="1"/>
  <c r="O41" i="13"/>
  <c r="DU40" i="12" l="1"/>
  <c r="DU39" i="12"/>
  <c r="O42" i="13"/>
  <c r="F6" i="11"/>
  <c r="DT61" i="12"/>
  <c r="N28" i="13" s="1"/>
  <c r="DU53" i="12" l="1"/>
  <c r="O22" i="13" s="1"/>
  <c r="D48" i="13"/>
  <c r="O59" i="13"/>
  <c r="D49" i="13" s="1"/>
  <c r="F8" i="11" s="1"/>
  <c r="DU54" i="12" l="1"/>
  <c r="DU62" i="12" s="1"/>
  <c r="DU55" i="12"/>
  <c r="DU63" i="12" s="1"/>
  <c r="F7" i="11"/>
  <c r="DU61" i="12" l="1"/>
  <c r="O28" i="13" s="1"/>
  <c r="D53" i="13" s="1"/>
  <c r="F12" i="11" s="1"/>
  <c r="D55" i="13" l="1"/>
  <c r="F14" i="11" s="1"/>
</calcChain>
</file>

<file path=xl/sharedStrings.xml><?xml version="1.0" encoding="utf-8"?>
<sst xmlns="http://schemas.openxmlformats.org/spreadsheetml/2006/main" count="490" uniqueCount="148">
  <si>
    <t>Residuals</t>
  </si>
  <si>
    <t>Residual Payment (Monthly)</t>
  </si>
  <si>
    <t>Note amount</t>
  </si>
  <si>
    <t>Note interest rate</t>
  </si>
  <si>
    <t>Closing Costs</t>
  </si>
  <si>
    <t>Legal and Accounting</t>
  </si>
  <si>
    <t>Expenses</t>
  </si>
  <si>
    <t xml:space="preserve">Management Fee </t>
  </si>
  <si>
    <t>Debt</t>
  </si>
  <si>
    <t>LTV Ratio</t>
  </si>
  <si>
    <t>Uses</t>
  </si>
  <si>
    <t>Revenue</t>
  </si>
  <si>
    <t>Residual Payment</t>
  </si>
  <si>
    <t>Sale of Residuals</t>
  </si>
  <si>
    <t>Interest</t>
  </si>
  <si>
    <t>Investment Balances</t>
  </si>
  <si>
    <t>Initial Purchase Price</t>
  </si>
  <si>
    <t>Deferred Purchase Price</t>
  </si>
  <si>
    <t>Sale of Residuals at end of Term</t>
  </si>
  <si>
    <t>Months 1-12</t>
  </si>
  <si>
    <t>Months 109-120</t>
  </si>
  <si>
    <t>Month 121</t>
  </si>
  <si>
    <t>Waterfall Flow of Funds</t>
  </si>
  <si>
    <t>Months 13-24</t>
  </si>
  <si>
    <t>Months 25-36</t>
  </si>
  <si>
    <t>Months 37-48</t>
  </si>
  <si>
    <t>Months 49-60</t>
  </si>
  <si>
    <t>Months 61-72</t>
  </si>
  <si>
    <t>Months 73-84</t>
  </si>
  <si>
    <t>Months 85-96</t>
  </si>
  <si>
    <t>Months 97-108</t>
  </si>
  <si>
    <t>Initial Capital Investment</t>
  </si>
  <si>
    <t>Sales Multiple</t>
  </si>
  <si>
    <t>Total Uses:</t>
  </si>
  <si>
    <t>Total Revenue:</t>
  </si>
  <si>
    <t>Interest Payment</t>
  </si>
  <si>
    <t>x</t>
  </si>
  <si>
    <t>GP</t>
  </si>
  <si>
    <t>LP</t>
  </si>
  <si>
    <t>Cash Available for Equity Investors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</si>
  <si>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</si>
  <si>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</si>
  <si>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</si>
  <si>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</si>
  <si>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</si>
  <si>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</si>
  <si>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</si>
  <si>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</si>
  <si>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</si>
  <si>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</si>
  <si>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Debt Principal Payment</t>
  </si>
  <si>
    <t>Initial Cash Flow:</t>
  </si>
  <si>
    <t>Cash Flows:</t>
  </si>
  <si>
    <t>Total Cash Flow:</t>
  </si>
  <si>
    <t>IRR:</t>
  </si>
  <si>
    <t>MOIC:</t>
  </si>
  <si>
    <t>Equity Distribution:</t>
  </si>
  <si>
    <t>Sale of Investment</t>
  </si>
  <si>
    <t>All Equity Scenario</t>
  </si>
  <si>
    <t>Initial Multiple</t>
  </si>
  <si>
    <t>P1</t>
  </si>
  <si>
    <t>P2</t>
  </si>
  <si>
    <t>Deferred Purchase Price:</t>
  </si>
  <si>
    <t>12 Months</t>
  </si>
  <si>
    <t>24 Months</t>
  </si>
  <si>
    <t>36 Months</t>
  </si>
  <si>
    <t>Merchant Attrition Threshold (Monthly)</t>
  </si>
  <si>
    <t>Merchant Attrition Actual (Monthly)</t>
  </si>
  <si>
    <t>Equity (Tusten)</t>
  </si>
  <si>
    <t>Distributions</t>
  </si>
  <si>
    <t>Shareholder #1 (Tusten)</t>
  </si>
  <si>
    <t>Shareholder #2 (Processing)</t>
  </si>
  <si>
    <t>Legal and Closing Costs</t>
  </si>
  <si>
    <t>50% Equity Scenario</t>
  </si>
  <si>
    <t>Processing</t>
  </si>
  <si>
    <t>Tusten</t>
  </si>
  <si>
    <t xml:space="preserve"> </t>
  </si>
  <si>
    <t>Hurdle rate (Monthly)</t>
  </si>
  <si>
    <t>Hurdle rate (Annual)</t>
  </si>
  <si>
    <t>Equity Distribution (Monthly)</t>
  </si>
  <si>
    <t>Tusten_Entitlement_ToDate</t>
  </si>
  <si>
    <t>Tusten_CatchUp_Paid</t>
  </si>
  <si>
    <t>Remainder_for_Split</t>
  </si>
  <si>
    <t>LP_Share_75%</t>
  </si>
  <si>
    <t>GP_Share_25%</t>
  </si>
  <si>
    <t>Debt Balance</t>
  </si>
  <si>
    <t>Total:</t>
  </si>
  <si>
    <t>GP Processing</t>
  </si>
  <si>
    <t>Instruction: fill out blue cells only</t>
  </si>
  <si>
    <t>After 36th Month</t>
  </si>
  <si>
    <t>LP Tusten</t>
  </si>
  <si>
    <t>Equity Cash Flow (Cumulative)</t>
  </si>
  <si>
    <t>Management Fee</t>
  </si>
  <si>
    <t>Management Fee:</t>
  </si>
  <si>
    <t>Cash Flow (Cumulative Actual)</t>
  </si>
  <si>
    <t>Debt Service:</t>
  </si>
  <si>
    <t>LP_Share</t>
  </si>
  <si>
    <t>GP_Share</t>
  </si>
  <si>
    <t>Initial Cash Flow (Equity portion):</t>
  </si>
  <si>
    <t xml:space="preserve">Deferred Purchase Price (Equity portion): </t>
  </si>
  <si>
    <t>Amount Lended</t>
  </si>
  <si>
    <t xml:space="preserve">Deferred Purchase Price (Loan portion): </t>
  </si>
  <si>
    <t>Interest Received:</t>
  </si>
  <si>
    <t>Principal received:</t>
  </si>
  <si>
    <t>Total Cash Outflow:</t>
  </si>
  <si>
    <t>Eqity Cash Flows:</t>
  </si>
  <si>
    <t>Total Cash Inflow:</t>
  </si>
  <si>
    <t>Equity Cash Flow  (Cumulative Actual)</t>
  </si>
  <si>
    <t>Cash flow from lending activity</t>
  </si>
  <si>
    <t>Interest Payment Due</t>
  </si>
  <si>
    <t>Interest Paid from GP Pool (cap at pool)</t>
  </si>
  <si>
    <t>Interest Paid to P1 (pro‑rata)</t>
  </si>
  <si>
    <t>Interest Paid to P2 (pro‑rata)</t>
  </si>
  <si>
    <t>Debt Principal Payment Due</t>
  </si>
  <si>
    <t>Pool After Interest</t>
  </si>
  <si>
    <t>Scheduled Principal Paid from Pool</t>
  </si>
  <si>
    <t>P1 Scheduled Principal Paid (pro‑rata)</t>
  </si>
  <si>
    <t>P2 Scheduled Principal Paid (pro‑rata)</t>
  </si>
  <si>
    <t>Pool After Sch. Principal</t>
  </si>
  <si>
    <t xml:space="preserve">Extra Prepayment to P1 </t>
  </si>
  <si>
    <t>Extra Prepayment to P2</t>
  </si>
  <si>
    <t>LP Share (% of total cash)</t>
  </si>
  <si>
    <t>GP Share before Debt Sweep (% of total cash)</t>
  </si>
  <si>
    <t>Total Cash Outlay:</t>
  </si>
  <si>
    <t>Payback:</t>
  </si>
  <si>
    <t>Equity  Cash Flow (Cumulative actual)</t>
  </si>
  <si>
    <t>6 Months</t>
  </si>
  <si>
    <t xml:space="preserve">  </t>
  </si>
  <si>
    <t>Cumulatice cash flows:</t>
  </si>
  <si>
    <t>Payback Years</t>
  </si>
  <si>
    <t>None</t>
  </si>
  <si>
    <t>LTV &gt;0 Scenario (update assumptions as needed)</t>
  </si>
  <si>
    <t>All scenarios based on the following data:</t>
  </si>
  <si>
    <t xml:space="preserve">Max Debt Scenario </t>
  </si>
  <si>
    <t>(LTV 97%)</t>
  </si>
  <si>
    <t>(LTV 73%)</t>
  </si>
  <si>
    <t>(LTV 59%)</t>
  </si>
  <si>
    <t>(LTV 52%)</t>
  </si>
  <si>
    <t>(LTV 49%)</t>
  </si>
  <si>
    <t>60% Equity Scenario (LTV-40%)</t>
  </si>
  <si>
    <t>50% Equity Scenario (LTV-50%)</t>
  </si>
  <si>
    <t>30% Equity Scenario (LTV-70%)</t>
  </si>
  <si>
    <t>20% Equity Scenario (LTV-80%)</t>
  </si>
  <si>
    <t>Distribution:</t>
  </si>
  <si>
    <t>70% Equity Scenario (LTV-30%)</t>
  </si>
  <si>
    <t>80% Equity Scenario (LTV-20%)</t>
  </si>
  <si>
    <t>Best</t>
  </si>
  <si>
    <t>40% Equity Scenario (LTV-60%)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</si>
</sst>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(&quot;$&quot;* #,##0_);_(&quot;$&quot;* \(#,##0\);_(&quot;$&quot;* &quot;-&quot;??_);_(@_)"/>
    <numFmt numFmtId="165" formatCode="[$$-409]#,##0_);[Red]\([$$-409]#,##0\)"/>
    <numFmt numFmtId="166" formatCode="_(* #,##0_);_(* \(#,##0\);_(* &quot;-&quot;??_);_(@_)"/>
    <numFmt numFmtId="167" formatCode="_(* #,##0.0_);_(* \(#,##0.0\);_(* &quot;-&quot;?_);_(@_)"/>
    <numFmt numFmtId="168" formatCode="0&quot;x&quot;"/>
    <numFmt numFmtId="169" formatCode="0.00&quot;x&quot;"/>
    <numFmt numFmtId="170" formatCode="0.0&quot;x&quot;"/>
    <numFmt numFmtId="171" formatCode="0.00\ &quot;years&quot;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0" tint="-0.249977111117893"/>
      <name val="Aptos Narrow"/>
      <family val="2"/>
      <scheme val="minor"/>
    </font>
    <font>
      <sz val="10"/>
      <color theme="0" tint="-0.249977111117893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rgb="FFD9D9D9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6">
    <xf numFmtId="0" fontId="0" fillId="0" borderId="0" xfId="0"/>
    <xf numFmtId="0" fontId="4" fillId="0" borderId="0" xfId="0" applyFont="1"/>
    <xf numFmtId="0" fontId="4" fillId="0" borderId="1" xfId="0" applyFont="1" applyBorder="1"/>
    <xf numFmtId="166" fontId="4" fillId="0" borderId="0" xfId="0" applyNumberFormat="1" applyFont="1"/>
    <xf numFmtId="0" fontId="2" fillId="0" borderId="0" xfId="0" applyFont="1"/>
    <xf numFmtId="166" fontId="4" fillId="0" borderId="0" xfId="1" applyNumberFormat="1" applyFont="1"/>
    <xf numFmtId="0" fontId="5" fillId="4" borderId="2" xfId="0" applyFont="1" applyFill="1" applyBorder="1"/>
    <xf numFmtId="166" fontId="2" fillId="4" borderId="2" xfId="1" applyNumberFormat="1" applyFont="1" applyFill="1" applyBorder="1"/>
    <xf numFmtId="166" fontId="6" fillId="4" borderId="0" xfId="1" applyNumberFormat="1" applyFont="1" applyFill="1" applyBorder="1"/>
    <xf numFmtId="0" fontId="4" fillId="4" borderId="0" xfId="0" applyFont="1" applyFill="1"/>
    <xf numFmtId="166" fontId="6" fillId="4" borderId="2" xfId="1" applyNumberFormat="1" applyFont="1" applyFill="1" applyBorder="1"/>
    <xf numFmtId="0" fontId="4" fillId="0" borderId="4" xfId="0" applyFont="1" applyBorder="1"/>
    <xf numFmtId="0" fontId="4" fillId="0" borderId="2" xfId="0" applyFont="1" applyBorder="1"/>
    <xf numFmtId="0" fontId="7" fillId="0" borderId="0" xfId="0" applyFont="1"/>
    <xf numFmtId="166" fontId="4" fillId="0" borderId="2" xfId="1" applyNumberFormat="1" applyFont="1" applyBorder="1"/>
    <xf numFmtId="166" fontId="2" fillId="0" borderId="2" xfId="1" applyNumberFormat="1" applyFont="1" applyBorder="1"/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0" borderId="4" xfId="0" applyFont="1" applyBorder="1"/>
    <xf numFmtId="166" fontId="2" fillId="0" borderId="4" xfId="1" applyNumberFormat="1" applyFont="1" applyBorder="1"/>
    <xf numFmtId="165" fontId="2" fillId="0" borderId="3" xfId="0" applyNumberFormat="1" applyFont="1" applyBorder="1"/>
    <xf numFmtId="0" fontId="4" fillId="0" borderId="9" xfId="0" applyFont="1" applyBorder="1"/>
    <xf numFmtId="0" fontId="2" fillId="2" borderId="8" xfId="0" applyFont="1" applyFill="1" applyBorder="1"/>
    <xf numFmtId="0" fontId="2" fillId="2" borderId="10" xfId="0" applyFont="1" applyFill="1" applyBorder="1"/>
    <xf numFmtId="169" fontId="2" fillId="2" borderId="11" xfId="0" applyNumberFormat="1" applyFont="1" applyFill="1" applyBorder="1"/>
    <xf numFmtId="166" fontId="4" fillId="0" borderId="12" xfId="1" applyNumberFormat="1" applyFont="1" applyBorder="1"/>
    <xf numFmtId="0" fontId="4" fillId="0" borderId="12" xfId="0" applyFont="1" applyBorder="1"/>
    <xf numFmtId="0" fontId="4" fillId="0" borderId="13" xfId="0" applyFont="1" applyBorder="1" applyAlignment="1">
      <alignment horizontal="left" indent="2"/>
    </xf>
    <xf numFmtId="0" fontId="2" fillId="0" borderId="15" xfId="0" applyFont="1" applyBorder="1"/>
    <xf numFmtId="166" fontId="2" fillId="0" borderId="16" xfId="0" applyNumberFormat="1" applyFont="1" applyBorder="1"/>
    <xf numFmtId="166" fontId="2" fillId="0" borderId="17" xfId="0" applyNumberFormat="1" applyFont="1" applyBorder="1"/>
    <xf numFmtId="0" fontId="4" fillId="4" borderId="13" xfId="0" applyFont="1" applyFill="1" applyBorder="1"/>
    <xf numFmtId="0" fontId="4" fillId="4" borderId="10" xfId="0" applyFont="1" applyFill="1" applyBorder="1"/>
    <xf numFmtId="0" fontId="4" fillId="4" borderId="20" xfId="0" applyFont="1" applyFill="1" applyBorder="1"/>
    <xf numFmtId="0" fontId="2" fillId="2" borderId="13" xfId="0" applyFont="1" applyFill="1" applyBorder="1"/>
    <xf numFmtId="0" fontId="2" fillId="7" borderId="5" xfId="0" applyFont="1" applyFill="1" applyBorder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4" fillId="0" borderId="13" xfId="0" applyFont="1" applyBorder="1"/>
    <xf numFmtId="0" fontId="4" fillId="2" borderId="14" xfId="0" applyFont="1" applyFill="1" applyBorder="1"/>
    <xf numFmtId="164" fontId="4" fillId="6" borderId="14" xfId="0" applyNumberFormat="1" applyFont="1" applyFill="1" applyBorder="1"/>
    <xf numFmtId="0" fontId="4" fillId="0" borderId="14" xfId="0" applyFont="1" applyBorder="1"/>
    <xf numFmtId="164" fontId="4" fillId="0" borderId="13" xfId="0" applyNumberFormat="1" applyFont="1" applyBorder="1"/>
    <xf numFmtId="167" fontId="4" fillId="0" borderId="13" xfId="0" applyNumberFormat="1" applyFont="1" applyBorder="1"/>
    <xf numFmtId="10" fontId="4" fillId="6" borderId="14" xfId="0" applyNumberFormat="1" applyFont="1" applyFill="1" applyBorder="1"/>
    <xf numFmtId="10" fontId="4" fillId="0" borderId="0" xfId="0" applyNumberFormat="1" applyFont="1"/>
    <xf numFmtId="10" fontId="4" fillId="0" borderId="14" xfId="0" applyNumberFormat="1" applyFont="1" applyBorder="1"/>
    <xf numFmtId="170" fontId="4" fillId="6" borderId="14" xfId="0" applyNumberFormat="1" applyFont="1" applyFill="1" applyBorder="1"/>
    <xf numFmtId="170" fontId="4" fillId="6" borderId="20" xfId="0" applyNumberFormat="1" applyFont="1" applyFill="1" applyBorder="1"/>
    <xf numFmtId="170" fontId="4" fillId="6" borderId="11" xfId="0" applyNumberFormat="1" applyFont="1" applyFill="1" applyBorder="1"/>
    <xf numFmtId="0" fontId="4" fillId="0" borderId="5" xfId="0" applyFont="1" applyBorder="1"/>
    <xf numFmtId="0" fontId="4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 applyAlignment="1">
      <alignment horizontal="left" indent="1"/>
    </xf>
    <xf numFmtId="0" fontId="4" fillId="2" borderId="12" xfId="0" applyFont="1" applyFill="1" applyBorder="1"/>
    <xf numFmtId="0" fontId="4" fillId="2" borderId="9" xfId="0" applyFont="1" applyFill="1" applyBorder="1"/>
    <xf numFmtId="166" fontId="4" fillId="4" borderId="0" xfId="1" applyNumberFormat="1" applyFont="1" applyFill="1" applyBorder="1"/>
    <xf numFmtId="166" fontId="4" fillId="0" borderId="0" xfId="1" applyNumberFormat="1" applyFont="1" applyBorder="1"/>
    <xf numFmtId="166" fontId="4" fillId="0" borderId="14" xfId="1" applyNumberFormat="1" applyFont="1" applyBorder="1"/>
    <xf numFmtId="166" fontId="4" fillId="0" borderId="4" xfId="1" applyNumberFormat="1" applyFont="1" applyBorder="1"/>
    <xf numFmtId="165" fontId="4" fillId="0" borderId="0" xfId="0" applyNumberFormat="1" applyFont="1"/>
    <xf numFmtId="0" fontId="5" fillId="0" borderId="1" xfId="0" applyFont="1" applyBorder="1" applyAlignment="1">
      <alignment horizontal="left" indent="1"/>
    </xf>
    <xf numFmtId="165" fontId="4" fillId="0" borderId="1" xfId="0" applyNumberFormat="1" applyFont="1" applyBorder="1"/>
    <xf numFmtId="166" fontId="4" fillId="0" borderId="1" xfId="1" applyNumberFormat="1" applyFont="1" applyBorder="1"/>
    <xf numFmtId="166" fontId="2" fillId="4" borderId="3" xfId="1" applyNumberFormat="1" applyFont="1" applyFill="1" applyBorder="1"/>
    <xf numFmtId="0" fontId="4" fillId="4" borderId="1" xfId="0" applyFont="1" applyFill="1" applyBorder="1"/>
    <xf numFmtId="0" fontId="4" fillId="3" borderId="8" xfId="0" applyFont="1" applyFill="1" applyBorder="1"/>
    <xf numFmtId="0" fontId="4" fillId="3" borderId="12" xfId="0" applyFont="1" applyFill="1" applyBorder="1"/>
    <xf numFmtId="0" fontId="2" fillId="3" borderId="1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3" xfId="0" applyFont="1" applyBorder="1"/>
    <xf numFmtId="0" fontId="9" fillId="0" borderId="0" xfId="0" applyFont="1"/>
    <xf numFmtId="165" fontId="4" fillId="0" borderId="14" xfId="0" applyNumberFormat="1" applyFont="1" applyBorder="1"/>
    <xf numFmtId="0" fontId="5" fillId="0" borderId="0" xfId="0" applyFont="1"/>
    <xf numFmtId="0" fontId="2" fillId="4" borderId="18" xfId="0" applyFont="1" applyFill="1" applyBorder="1"/>
    <xf numFmtId="166" fontId="2" fillId="4" borderId="19" xfId="1" applyNumberFormat="1" applyFont="1" applyFill="1" applyBorder="1"/>
    <xf numFmtId="165" fontId="5" fillId="0" borderId="0" xfId="0" applyNumberFormat="1" applyFont="1"/>
    <xf numFmtId="0" fontId="2" fillId="4" borderId="13" xfId="0" applyFont="1" applyFill="1" applyBorder="1"/>
    <xf numFmtId="0" fontId="5" fillId="4" borderId="0" xfId="0" applyFont="1" applyFill="1"/>
    <xf numFmtId="165" fontId="4" fillId="4" borderId="0" xfId="0" applyNumberFormat="1" applyFont="1" applyFill="1"/>
    <xf numFmtId="43" fontId="4" fillId="4" borderId="0" xfId="1" applyFont="1" applyFill="1" applyBorder="1"/>
    <xf numFmtId="0" fontId="4" fillId="4" borderId="14" xfId="0" applyFont="1" applyFill="1" applyBorder="1"/>
    <xf numFmtId="166" fontId="9" fillId="0" borderId="0" xfId="1" applyNumberFormat="1" applyFont="1" applyBorder="1"/>
    <xf numFmtId="166" fontId="5" fillId="0" borderId="0" xfId="1" applyNumberFormat="1" applyFont="1" applyBorder="1"/>
    <xf numFmtId="166" fontId="2" fillId="0" borderId="14" xfId="1" applyNumberFormat="1" applyFont="1" applyBorder="1"/>
    <xf numFmtId="165" fontId="9" fillId="0" borderId="0" xfId="0" applyNumberFormat="1" applyFont="1"/>
    <xf numFmtId="166" fontId="2" fillId="0" borderId="0" xfId="1" applyNumberFormat="1" applyFont="1" applyBorder="1"/>
    <xf numFmtId="165" fontId="2" fillId="0" borderId="0" xfId="0" applyNumberFormat="1" applyFont="1"/>
    <xf numFmtId="0" fontId="4" fillId="0" borderId="23" xfId="0" applyFont="1" applyBorder="1"/>
    <xf numFmtId="166" fontId="4" fillId="0" borderId="24" xfId="1" applyNumberFormat="1" applyFont="1" applyBorder="1"/>
    <xf numFmtId="0" fontId="2" fillId="0" borderId="21" xfId="0" applyFont="1" applyBorder="1"/>
    <xf numFmtId="166" fontId="2" fillId="0" borderId="22" xfId="1" applyNumberFormat="1" applyFont="1" applyBorder="1"/>
    <xf numFmtId="0" fontId="5" fillId="0" borderId="20" xfId="0" applyFont="1" applyBorder="1" applyAlignment="1">
      <alignment horizontal="left" indent="1"/>
    </xf>
    <xf numFmtId="166" fontId="4" fillId="4" borderId="20" xfId="1" applyNumberFormat="1" applyFont="1" applyFill="1" applyBorder="1"/>
    <xf numFmtId="0" fontId="9" fillId="0" borderId="4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5" fontId="2" fillId="0" borderId="4" xfId="0" applyNumberFormat="1" applyFont="1" applyBorder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5" fontId="10" fillId="0" borderId="4" xfId="0" applyNumberFormat="1" applyFont="1" applyBorder="1"/>
    <xf numFmtId="165" fontId="11" fillId="0" borderId="0" xfId="0" applyNumberFormat="1" applyFont="1"/>
    <xf numFmtId="165" fontId="11" fillId="0" borderId="1" xfId="0" applyNumberFormat="1" applyFont="1" applyBorder="1"/>
    <xf numFmtId="165" fontId="2" fillId="4" borderId="3" xfId="0" applyNumberFormat="1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14" xfId="0" applyFont="1" applyFill="1" applyBorder="1"/>
    <xf numFmtId="40" fontId="4" fillId="0" borderId="0" xfId="0" applyNumberFormat="1" applyFont="1"/>
    <xf numFmtId="40" fontId="4" fillId="0" borderId="14" xfId="0" applyNumberFormat="1" applyFont="1" applyBorder="1"/>
    <xf numFmtId="166" fontId="2" fillId="0" borderId="19" xfId="1" applyNumberFormat="1" applyFont="1" applyBorder="1"/>
    <xf numFmtId="0" fontId="7" fillId="0" borderId="13" xfId="0" applyFont="1" applyBorder="1"/>
    <xf numFmtId="166" fontId="7" fillId="0" borderId="0" xfId="1" applyNumberFormat="1" applyFont="1" applyBorder="1"/>
    <xf numFmtId="166" fontId="7" fillId="0" borderId="14" xfId="1" applyNumberFormat="1" applyFont="1" applyBorder="1"/>
    <xf numFmtId="0" fontId="2" fillId="0" borderId="16" xfId="0" applyFont="1" applyBorder="1"/>
    <xf numFmtId="166" fontId="2" fillId="0" borderId="16" xfId="1" applyNumberFormat="1" applyFont="1" applyBorder="1"/>
    <xf numFmtId="166" fontId="2" fillId="0" borderId="17" xfId="1" applyNumberFormat="1" applyFont="1" applyBorder="1"/>
    <xf numFmtId="166" fontId="4" fillId="0" borderId="14" xfId="0" applyNumberFormat="1" applyFont="1" applyBorder="1"/>
    <xf numFmtId="0" fontId="4" fillId="5" borderId="5" xfId="0" applyFont="1" applyFill="1" applyBorder="1"/>
    <xf numFmtId="164" fontId="4" fillId="6" borderId="0" xfId="0" applyNumberFormat="1" applyFont="1" applyFill="1"/>
    <xf numFmtId="0" fontId="4" fillId="2" borderId="0" xfId="0" applyFont="1" applyFill="1"/>
    <xf numFmtId="164" fontId="4" fillId="0" borderId="0" xfId="0" applyNumberFormat="1" applyFont="1"/>
    <xf numFmtId="170" fontId="4" fillId="6" borderId="0" xfId="0" applyNumberFormat="1" applyFont="1" applyFill="1"/>
    <xf numFmtId="10" fontId="4" fillId="6" borderId="0" xfId="0" applyNumberFormat="1" applyFont="1" applyFill="1"/>
    <xf numFmtId="164" fontId="4" fillId="0" borderId="14" xfId="0" applyNumberFormat="1" applyFont="1" applyBorder="1"/>
    <xf numFmtId="10" fontId="4" fillId="4" borderId="0" xfId="0" applyNumberFormat="1" applyFont="1" applyFill="1"/>
    <xf numFmtId="10" fontId="4" fillId="4" borderId="14" xfId="0" applyNumberFormat="1" applyFont="1" applyFill="1" applyBorder="1"/>
    <xf numFmtId="0" fontId="12" fillId="0" borderId="0" xfId="0" applyFont="1"/>
    <xf numFmtId="0" fontId="2" fillId="2" borderId="21" xfId="0" applyFont="1" applyFill="1" applyBorder="1"/>
    <xf numFmtId="0" fontId="4" fillId="2" borderId="4" xfId="0" applyFont="1" applyFill="1" applyBorder="1"/>
    <xf numFmtId="0" fontId="4" fillId="2" borderId="22" xfId="0" applyFont="1" applyFill="1" applyBorder="1"/>
    <xf numFmtId="0" fontId="4" fillId="4" borderId="23" xfId="0" applyFont="1" applyFill="1" applyBorder="1"/>
    <xf numFmtId="10" fontId="4" fillId="0" borderId="1" xfId="0" applyNumberFormat="1" applyFont="1" applyBorder="1"/>
    <xf numFmtId="10" fontId="4" fillId="0" borderId="24" xfId="0" applyNumberFormat="1" applyFont="1" applyBorder="1"/>
    <xf numFmtId="168" fontId="4" fillId="6" borderId="1" xfId="0" applyNumberFormat="1" applyFont="1" applyFill="1" applyBorder="1"/>
    <xf numFmtId="168" fontId="4" fillId="6" borderId="24" xfId="0" applyNumberFormat="1" applyFont="1" applyFill="1" applyBorder="1"/>
    <xf numFmtId="164" fontId="4" fillId="2" borderId="4" xfId="0" applyNumberFormat="1" applyFont="1" applyFill="1" applyBorder="1"/>
    <xf numFmtId="164" fontId="4" fillId="0" borderId="23" xfId="0" applyNumberFormat="1" applyFont="1" applyBorder="1"/>
    <xf numFmtId="164" fontId="4" fillId="0" borderId="1" xfId="0" applyNumberFormat="1" applyFont="1" applyBorder="1"/>
    <xf numFmtId="170" fontId="4" fillId="6" borderId="1" xfId="0" applyNumberFormat="1" applyFont="1" applyFill="1" applyBorder="1"/>
    <xf numFmtId="170" fontId="4" fillId="6" borderId="24" xfId="0" applyNumberFormat="1" applyFont="1" applyFill="1" applyBorder="1"/>
    <xf numFmtId="10" fontId="4" fillId="6" borderId="4" xfId="0" applyNumberFormat="1" applyFont="1" applyFill="1" applyBorder="1"/>
    <xf numFmtId="10" fontId="4" fillId="6" borderId="22" xfId="0" applyNumberFormat="1" applyFont="1" applyFill="1" applyBorder="1"/>
    <xf numFmtId="10" fontId="4" fillId="6" borderId="1" xfId="0" applyNumberFormat="1" applyFont="1" applyFill="1" applyBorder="1"/>
    <xf numFmtId="10" fontId="4" fillId="6" borderId="24" xfId="0" applyNumberFormat="1" applyFont="1" applyFill="1" applyBorder="1"/>
    <xf numFmtId="166" fontId="4" fillId="6" borderId="1" xfId="1" applyNumberFormat="1" applyFont="1" applyFill="1" applyBorder="1"/>
    <xf numFmtId="166" fontId="4" fillId="6" borderId="24" xfId="1" applyNumberFormat="1" applyFont="1" applyFill="1" applyBorder="1"/>
    <xf numFmtId="10" fontId="4" fillId="2" borderId="4" xfId="0" applyNumberFormat="1" applyFont="1" applyFill="1" applyBorder="1"/>
    <xf numFmtId="9" fontId="13" fillId="0" borderId="13" xfId="0" applyNumberFormat="1" applyFont="1" applyBorder="1"/>
    <xf numFmtId="9" fontId="2" fillId="2" borderId="14" xfId="0" applyNumberFormat="1" applyFont="1" applyFill="1" applyBorder="1"/>
    <xf numFmtId="166" fontId="2" fillId="2" borderId="9" xfId="0" applyNumberFormat="1" applyFont="1" applyFill="1" applyBorder="1"/>
    <xf numFmtId="166" fontId="4" fillId="4" borderId="14" xfId="1" applyNumberFormat="1" applyFont="1" applyFill="1" applyBorder="1"/>
    <xf numFmtId="166" fontId="4" fillId="4" borderId="11" xfId="1" applyNumberFormat="1" applyFont="1" applyFill="1" applyBorder="1"/>
    <xf numFmtId="166" fontId="4" fillId="0" borderId="0" xfId="1" applyNumberFormat="1" applyFont="1" applyBorder="1" applyAlignment="1"/>
    <xf numFmtId="166" fontId="2" fillId="2" borderId="14" xfId="0" applyNumberFormat="1" applyFont="1" applyFill="1" applyBorder="1"/>
    <xf numFmtId="0" fontId="2" fillId="2" borderId="15" xfId="0" applyFont="1" applyFill="1" applyBorder="1"/>
    <xf numFmtId="166" fontId="2" fillId="2" borderId="17" xfId="0" applyNumberFormat="1" applyFont="1" applyFill="1" applyBorder="1"/>
    <xf numFmtId="0" fontId="4" fillId="0" borderId="8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3" xfId="0" applyFont="1" applyBorder="1" applyAlignment="1">
      <alignment horizontal="left" indent="1"/>
    </xf>
    <xf numFmtId="166" fontId="2" fillId="0" borderId="18" xfId="1" applyNumberFormat="1" applyFont="1" applyBorder="1" applyAlignment="1">
      <alignment horizontal="left" indent="1"/>
    </xf>
    <xf numFmtId="166" fontId="2" fillId="0" borderId="21" xfId="1" applyNumberFormat="1" applyFont="1" applyBorder="1" applyAlignment="1">
      <alignment horizontal="left" indent="1"/>
    </xf>
    <xf numFmtId="166" fontId="2" fillId="0" borderId="5" xfId="1" applyNumberFormat="1" applyFont="1" applyBorder="1" applyAlignment="1">
      <alignment horizontal="left" indent="1"/>
    </xf>
    <xf numFmtId="166" fontId="2" fillId="0" borderId="6" xfId="1" applyNumberFormat="1" applyFont="1" applyBorder="1"/>
    <xf numFmtId="166" fontId="2" fillId="0" borderId="7" xfId="1" applyNumberFormat="1" applyFont="1" applyBorder="1"/>
    <xf numFmtId="166" fontId="2" fillId="0" borderId="4" xfId="0" applyNumberFormat="1" applyFont="1" applyBorder="1"/>
    <xf numFmtId="166" fontId="2" fillId="0" borderId="22" xfId="0" applyNumberFormat="1" applyFont="1" applyBorder="1"/>
    <xf numFmtId="0" fontId="2" fillId="2" borderId="18" xfId="0" applyFont="1" applyFill="1" applyBorder="1"/>
    <xf numFmtId="166" fontId="2" fillId="2" borderId="19" xfId="0" applyNumberFormat="1" applyFont="1" applyFill="1" applyBorder="1"/>
    <xf numFmtId="43" fontId="4" fillId="0" borderId="0" xfId="0" applyNumberFormat="1" applyFont="1"/>
    <xf numFmtId="0" fontId="9" fillId="0" borderId="0" xfId="0" applyFont="1" applyAlignment="1">
      <alignment horizontal="left" indent="1"/>
    </xf>
    <xf numFmtId="165" fontId="14" fillId="4" borderId="3" xfId="0" applyNumberFormat="1" applyFont="1" applyFill="1" applyBorder="1"/>
    <xf numFmtId="171" fontId="2" fillId="2" borderId="14" xfId="1" applyNumberFormat="1" applyFont="1" applyFill="1" applyBorder="1"/>
    <xf numFmtId="171" fontId="2" fillId="2" borderId="14" xfId="0" applyNumberFormat="1" applyFont="1" applyFill="1" applyBorder="1"/>
    <xf numFmtId="0" fontId="2" fillId="2" borderId="3" xfId="0" applyFont="1" applyFill="1" applyBorder="1"/>
    <xf numFmtId="0" fontId="2" fillId="7" borderId="3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2" fillId="2" borderId="0" xfId="0" applyFont="1" applyFill="1"/>
    <xf numFmtId="0" fontId="2" fillId="2" borderId="3" xfId="0" applyFont="1" applyFill="1" applyBorder="1" applyAlignment="1">
      <alignment horizontal="center"/>
    </xf>
    <xf numFmtId="166" fontId="4" fillId="2" borderId="3" xfId="1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9" fontId="4" fillId="2" borderId="3" xfId="0" applyNumberFormat="1" applyFont="1" applyFill="1" applyBorder="1"/>
    <xf numFmtId="171" fontId="4" fillId="2" borderId="3" xfId="0" applyNumberFormat="1" applyFont="1" applyFill="1" applyBorder="1"/>
    <xf numFmtId="169" fontId="4" fillId="2" borderId="3" xfId="0" applyNumberFormat="1" applyFont="1" applyFill="1" applyBorder="1"/>
    <xf numFmtId="0" fontId="15" fillId="0" borderId="0" xfId="0" applyFont="1"/>
    <xf numFmtId="10" fontId="4" fillId="0" borderId="3" xfId="0" applyNumberFormat="1" applyFont="1" applyBorder="1" applyAlignment="1">
      <alignment horizontal="center"/>
    </xf>
    <xf numFmtId="10" fontId="4" fillId="6" borderId="3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Assumptions-style" pivot="0" count="2" xr9:uid="{97968321-BF0C-D341-AF6F-5A647E7441B7}">
      <tableStyleElement type="firstRowStripe" dxfId="1"/>
      <tableStyleElement type="secondRowStripe" dxfId="0"/>
    </tableStyle>
  </tableStyles>
  <colors>
    <mruColors>
      <color rgb="FFABC5DD"/>
      <color rgb="FFD9DAF7"/>
      <color rgb="FFC7D3F5"/>
      <color rgb="FFC4D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F876-A68E-4E69-83E2-6C340FCDC43B}">
  <sheetPr>
    <tabColor rgb="FFC00000"/>
  </sheetPr>
  <dimension ref="B1:O15"/>
  <sheetViews>
    <sheetView showGridLines="0" tabSelected="1" zoomScaleNormal="100" workbookViewId="0"/>
  </sheetViews>
  <sheetFormatPr defaultColWidth="0" defaultRowHeight="15.75" zeroHeight="1" x14ac:dyDescent="0.5"/>
  <cols>
    <col min="1" max="1" width="2.8125" customWidth="1"/>
    <col min="2" max="2" width="22.8125" customWidth="1"/>
    <col min="3" max="3" width="15.6875" customWidth="1"/>
    <col min="4" max="4" width="3.5625" customWidth="1"/>
    <col min="5" max="5" width="22.8125" customWidth="1"/>
    <col min="6" max="6" width="15.6875" customWidth="1"/>
    <col min="7" max="7" width="2.375" customWidth="1"/>
    <col min="8" max="9" width="8.8125" hidden="1" customWidth="1"/>
    <col min="10" max="13" width="0" hidden="1" customWidth="1"/>
    <col min="14" max="15" width="8.8125" hidden="1"/>
  </cols>
  <sheetData>
    <row r="1" spans="2:6" ht="16.149999999999999" thickBot="1" x14ac:dyDescent="0.55000000000000004"/>
    <row r="2" spans="2:6" ht="16.149999999999999" thickBot="1" x14ac:dyDescent="0.55000000000000004">
      <c r="B2" s="36" t="s">
        <v>58</v>
      </c>
      <c r="C2" s="38"/>
      <c r="D2" s="1"/>
      <c r="E2" s="36" t="s">
        <v>131</v>
      </c>
      <c r="F2" s="38"/>
    </row>
    <row r="3" spans="2:6" ht="6.95" customHeight="1" x14ac:dyDescent="0.5"/>
    <row r="4" spans="2:6" ht="15" customHeight="1" thickBot="1" x14ac:dyDescent="0.55000000000000004">
      <c r="B4" s="4" t="s">
        <v>90</v>
      </c>
      <c r="E4" s="4" t="s">
        <v>90</v>
      </c>
    </row>
    <row r="5" spans="2:6" x14ac:dyDescent="0.5">
      <c r="B5" s="23" t="s">
        <v>123</v>
      </c>
      <c r="C5" s="153">
        <f>'Summary (All Equity)'!D33+SUM('Summary (All Equity)'!E34:H34)</f>
        <v>-14840000</v>
      </c>
      <c r="E5" s="23" t="s">
        <v>123</v>
      </c>
      <c r="F5" s="153">
        <f>SUM('Summary (50% Equity)'!D37:H37)</f>
        <v>-14840000</v>
      </c>
    </row>
    <row r="6" spans="2:6" x14ac:dyDescent="0.5">
      <c r="B6" s="35" t="s">
        <v>106</v>
      </c>
      <c r="C6" s="157">
        <f>SUM('Summary (All Equity)'!E35:O35)</f>
        <v>39913659.628773756</v>
      </c>
      <c r="E6" s="35" t="s">
        <v>106</v>
      </c>
      <c r="F6" s="157">
        <f>SUM('Summary (50% Equity)'!E41:O41)</f>
        <v>32657835.711928487</v>
      </c>
    </row>
    <row r="7" spans="2:6" x14ac:dyDescent="0.5">
      <c r="B7" s="35" t="s">
        <v>54</v>
      </c>
      <c r="C7" s="152">
        <f>'Summary (All Equity)'!D41</f>
        <v>0.34229386511986637</v>
      </c>
      <c r="E7" s="35" t="s">
        <v>54</v>
      </c>
      <c r="F7" s="152">
        <f>'Summary (50% Equity)'!D48</f>
        <v>0.29221804343211577</v>
      </c>
    </row>
    <row r="8" spans="2:6" x14ac:dyDescent="0.5">
      <c r="B8" s="35" t="s">
        <v>124</v>
      </c>
      <c r="C8" s="176">
        <f>'Summary (All Equity)'!D40</f>
        <v>2.1020959958956951</v>
      </c>
      <c r="E8" s="35" t="s">
        <v>124</v>
      </c>
      <c r="F8" s="176">
        <f>'Summary (50% Equity)'!D49</f>
        <v>2.1100931484755843</v>
      </c>
    </row>
    <row r="9" spans="2:6" ht="16.149999999999999" thickBot="1" x14ac:dyDescent="0.55000000000000004">
      <c r="B9" s="24" t="s">
        <v>55</v>
      </c>
      <c r="C9" s="25">
        <f>'Summary (All Equity)'!D42</f>
        <v>2.6895997054429754</v>
      </c>
      <c r="E9" s="24" t="s">
        <v>55</v>
      </c>
      <c r="F9" s="25">
        <f>'Summary (50% Equity)'!D50</f>
        <v>2.2006627838226742</v>
      </c>
    </row>
    <row r="10" spans="2:6" ht="6.95" customHeight="1" x14ac:dyDescent="0.5">
      <c r="D10" t="s">
        <v>127</v>
      </c>
    </row>
    <row r="11" spans="2:6" ht="16.149999999999999" thickBot="1" x14ac:dyDescent="0.55000000000000004">
      <c r="B11" s="4" t="s">
        <v>87</v>
      </c>
      <c r="C11" s="1"/>
      <c r="E11" s="4" t="s">
        <v>87</v>
      </c>
      <c r="F11" s="1"/>
    </row>
    <row r="12" spans="2:6" x14ac:dyDescent="0.5">
      <c r="B12" s="23" t="str">
        <f>'Summary (All Equity)'!C45</f>
        <v>Equity Distribution:</v>
      </c>
      <c r="C12" s="153">
        <f>'Summary (All Equity)'!D45</f>
        <v>8003511.5668681171</v>
      </c>
      <c r="E12" s="23" t="str">
        <f>'Summary (50% Equity)'!C53</f>
        <v>Equity Distribution:</v>
      </c>
      <c r="F12" s="153">
        <f>'Summary (50% Equity)'!D53</f>
        <v>15259335.4837134</v>
      </c>
    </row>
    <row r="13" spans="2:6" x14ac:dyDescent="0.5">
      <c r="B13" s="35" t="str">
        <f>'Summary (All Equity)'!C46</f>
        <v>Management Fee:</v>
      </c>
      <c r="C13" s="157">
        <f>'Summary (All Equity)'!D46</f>
        <v>0</v>
      </c>
      <c r="E13" s="35" t="str">
        <f>'Summary (50% Equity)'!C54</f>
        <v>Management Fee:</v>
      </c>
      <c r="F13" s="157">
        <f>'Summary (50% Equity)'!D54</f>
        <v>0</v>
      </c>
    </row>
    <row r="14" spans="2:6" ht="16.149999999999999" thickBot="1" x14ac:dyDescent="0.55000000000000004">
      <c r="B14" s="158" t="str">
        <f>'Summary (All Equity)'!C47</f>
        <v>Total Cash Flow:</v>
      </c>
      <c r="C14" s="159">
        <f>'Summary (All Equity)'!D47</f>
        <v>8003511.5668681171</v>
      </c>
      <c r="E14" s="158" t="str">
        <f>'Summary (50% Equity)'!C55</f>
        <v>Total Cash Flow:</v>
      </c>
      <c r="F14" s="159">
        <f>'Summary (50% Equity)'!D55</f>
        <v>15259335.4837134</v>
      </c>
    </row>
    <row r="15" spans="2:6" x14ac:dyDescent="0.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10EC-4784-4884-BC0C-B4432A7BA9AF}">
  <sheetPr>
    <tabColor rgb="FFFFC000"/>
  </sheetPr>
  <dimension ref="A1:K70"/>
  <sheetViews>
    <sheetView showGridLines="0" zoomScaleNormal="100" workbookViewId="0"/>
  </sheetViews>
  <sheetFormatPr defaultColWidth="8.8125" defaultRowHeight="13.15" x14ac:dyDescent="0.4"/>
  <cols>
    <col min="1" max="1" width="21.9375" style="1" bestFit="1" customWidth="1"/>
    <col min="2" max="2" width="1.0625" style="1" customWidth="1"/>
    <col min="3" max="3" width="14.375" style="1" bestFit="1" customWidth="1"/>
    <col min="4" max="7" width="12.1875" style="1" bestFit="1" customWidth="1"/>
    <col min="8" max="8" width="9.1875" style="1" bestFit="1" customWidth="1"/>
    <col min="9" max="10" width="9.9375" style="1" bestFit="1" customWidth="1"/>
    <col min="11" max="16384" width="8.8125" style="1"/>
  </cols>
  <sheetData>
    <row r="1" spans="1:11" x14ac:dyDescent="0.4">
      <c r="C1" s="183" t="s">
        <v>130</v>
      </c>
      <c r="D1" s="183" t="s">
        <v>126</v>
      </c>
      <c r="E1" s="183" t="s">
        <v>63</v>
      </c>
      <c r="F1" s="183" t="s">
        <v>64</v>
      </c>
      <c r="G1" s="183" t="s">
        <v>65</v>
      </c>
      <c r="I1" s="191" t="s">
        <v>132</v>
      </c>
    </row>
    <row r="2" spans="1:11" x14ac:dyDescent="0.4">
      <c r="A2" s="177" t="s">
        <v>62</v>
      </c>
      <c r="C2" s="192"/>
      <c r="D2" s="192"/>
      <c r="E2" s="186"/>
      <c r="F2" s="185"/>
      <c r="G2" s="187"/>
    </row>
    <row r="3" spans="1:11" x14ac:dyDescent="0.4">
      <c r="A3" s="177" t="s">
        <v>126</v>
      </c>
      <c r="C3" s="193">
        <v>1.01E-2</v>
      </c>
      <c r="D3" s="192">
        <v>9.9000000000000008E-3</v>
      </c>
      <c r="E3" s="192">
        <v>9.9000000000000008E-3</v>
      </c>
      <c r="F3" s="192">
        <v>9.9000000000000008E-3</v>
      </c>
      <c r="G3" s="192">
        <v>9.9000000000000008E-3</v>
      </c>
      <c r="I3" s="2" t="s">
        <v>59</v>
      </c>
      <c r="J3" s="137">
        <v>22</v>
      </c>
    </row>
    <row r="4" spans="1:11" x14ac:dyDescent="0.4">
      <c r="A4" s="177" t="s">
        <v>63</v>
      </c>
      <c r="C4" s="193">
        <v>1.01E-2</v>
      </c>
      <c r="D4" s="193">
        <v>1.01E-2</v>
      </c>
      <c r="E4" s="192">
        <v>9.9000000000000008E-3</v>
      </c>
      <c r="F4" s="192">
        <v>9.9000000000000008E-3</v>
      </c>
      <c r="G4" s="192">
        <v>9.9000000000000008E-3</v>
      </c>
      <c r="I4" s="124" t="s">
        <v>126</v>
      </c>
      <c r="J4" s="125">
        <v>8</v>
      </c>
    </row>
    <row r="5" spans="1:11" x14ac:dyDescent="0.4">
      <c r="A5" s="177" t="s">
        <v>64</v>
      </c>
      <c r="C5" s="193">
        <v>1.01E-2</v>
      </c>
      <c r="D5" s="193">
        <v>1.01E-2</v>
      </c>
      <c r="E5" s="193">
        <v>1.01E-2</v>
      </c>
      <c r="F5" s="192">
        <v>9.9000000000000008E-3</v>
      </c>
      <c r="G5" s="192">
        <v>9.9000000000000008E-3</v>
      </c>
      <c r="I5" s="124" t="s">
        <v>63</v>
      </c>
      <c r="J5" s="125">
        <v>8</v>
      </c>
    </row>
    <row r="6" spans="1:11" x14ac:dyDescent="0.4">
      <c r="A6" s="177" t="s">
        <v>65</v>
      </c>
      <c r="C6" s="193">
        <v>1.01E-2</v>
      </c>
      <c r="D6" s="193">
        <v>1.01E-2</v>
      </c>
      <c r="E6" s="193">
        <v>1.01E-2</v>
      </c>
      <c r="F6" s="193">
        <v>1.01E-2</v>
      </c>
      <c r="G6" s="192">
        <v>9.9000000000000008E-3</v>
      </c>
      <c r="I6" s="124" t="s">
        <v>64</v>
      </c>
      <c r="J6" s="125">
        <v>6</v>
      </c>
    </row>
    <row r="7" spans="1:11" x14ac:dyDescent="0.4">
      <c r="A7" s="182" t="s">
        <v>89</v>
      </c>
      <c r="C7" s="193">
        <v>1.01E-2</v>
      </c>
      <c r="D7" s="193">
        <v>1.01E-2</v>
      </c>
      <c r="E7" s="193">
        <v>1.01E-2</v>
      </c>
      <c r="F7" s="193">
        <v>1.01E-2</v>
      </c>
      <c r="G7" s="193">
        <v>1.01E-2</v>
      </c>
      <c r="I7" s="2" t="s">
        <v>32</v>
      </c>
      <c r="J7" s="137">
        <v>6</v>
      </c>
    </row>
    <row r="9" spans="1:11" ht="13.5" thickBot="1" x14ac:dyDescent="0.45">
      <c r="A9" s="178" t="s">
        <v>58</v>
      </c>
      <c r="C9" s="194" t="s">
        <v>146</v>
      </c>
    </row>
    <row r="10" spans="1:11" x14ac:dyDescent="0.4">
      <c r="A10" s="179" t="s">
        <v>123</v>
      </c>
      <c r="C10" s="184">
        <v>-14840000</v>
      </c>
      <c r="D10" s="184">
        <v>-20200000</v>
      </c>
      <c r="E10" s="184">
        <v>-25560000</v>
      </c>
      <c r="F10" s="184">
        <v>-29580000</v>
      </c>
      <c r="G10" s="184">
        <v>-32260000</v>
      </c>
      <c r="I10" s="4" t="s">
        <v>143</v>
      </c>
    </row>
    <row r="11" spans="1:11" x14ac:dyDescent="0.4">
      <c r="A11" s="180" t="s">
        <v>106</v>
      </c>
      <c r="C11" s="184">
        <v>39913659.628773756</v>
      </c>
      <c r="D11" s="184">
        <v>41359701.011554435</v>
      </c>
      <c r="E11" s="184">
        <v>43023180.581327803</v>
      </c>
      <c r="F11" s="184">
        <v>44205938.025033981</v>
      </c>
      <c r="G11" s="184">
        <v>45017753.107138798</v>
      </c>
      <c r="I11" s="1" t="s">
        <v>70</v>
      </c>
      <c r="K11" s="46">
        <f>100%-K12</f>
        <v>0.75</v>
      </c>
    </row>
    <row r="12" spans="1:11" x14ac:dyDescent="0.4">
      <c r="A12" s="180" t="s">
        <v>54</v>
      </c>
      <c r="C12" s="188">
        <v>0.34229386511986637</v>
      </c>
      <c r="D12" s="188">
        <v>0.24030307015959296</v>
      </c>
      <c r="E12" s="188">
        <v>0.17810774248348693</v>
      </c>
      <c r="F12" s="188">
        <v>0.14234714104340318</v>
      </c>
      <c r="G12" s="188">
        <v>0.12252098516943977</v>
      </c>
      <c r="I12" s="2" t="s">
        <v>71</v>
      </c>
      <c r="J12" s="2"/>
      <c r="K12" s="146">
        <v>0.25</v>
      </c>
    </row>
    <row r="13" spans="1:11" x14ac:dyDescent="0.4">
      <c r="A13" s="180" t="s">
        <v>124</v>
      </c>
      <c r="C13" s="189">
        <v>2.1020959958956951</v>
      </c>
      <c r="D13" s="189">
        <v>2.9821197857986861</v>
      </c>
      <c r="E13" s="189">
        <v>3.9860094627049634</v>
      </c>
      <c r="F13" s="189">
        <v>4.8327062485007444</v>
      </c>
      <c r="G13" s="189">
        <v>5.4469590006602999</v>
      </c>
    </row>
    <row r="14" spans="1:11" ht="13.5" thickBot="1" x14ac:dyDescent="0.45">
      <c r="A14" s="181" t="s">
        <v>55</v>
      </c>
      <c r="C14" s="190">
        <v>2.6895997054429754</v>
      </c>
      <c r="D14" s="190">
        <v>2.4258558633122935</v>
      </c>
      <c r="E14" s="190">
        <v>2.1767641901164287</v>
      </c>
      <c r="F14" s="190">
        <v>1.9855753386141501</v>
      </c>
      <c r="G14" s="190">
        <v>1.8596868670578699</v>
      </c>
    </row>
    <row r="16" spans="1:11" ht="13.5" thickBot="1" x14ac:dyDescent="0.45">
      <c r="A16" s="178" t="s">
        <v>145</v>
      </c>
    </row>
    <row r="17" spans="1:11" x14ac:dyDescent="0.4">
      <c r="A17" s="179" t="s">
        <v>123</v>
      </c>
      <c r="C17" s="184">
        <v>-14840000</v>
      </c>
      <c r="D17" s="184">
        <v>-19128000</v>
      </c>
      <c r="E17" s="184">
        <v>-24488000</v>
      </c>
      <c r="F17" s="184">
        <v>-28508000</v>
      </c>
      <c r="G17" s="184">
        <v>-31188000</v>
      </c>
    </row>
    <row r="18" spans="1:11" x14ac:dyDescent="0.4">
      <c r="A18" s="180" t="s">
        <v>106</v>
      </c>
      <c r="C18" s="184">
        <v>27092439.947865743</v>
      </c>
      <c r="D18" s="184">
        <v>28230676.753684755</v>
      </c>
      <c r="E18" s="184">
        <v>29388902.060775436</v>
      </c>
      <c r="F18" s="184">
        <v>30257949.927653257</v>
      </c>
      <c r="G18" s="184">
        <v>30842332.176559988</v>
      </c>
      <c r="I18" s="4" t="s">
        <v>143</v>
      </c>
    </row>
    <row r="19" spans="1:11" x14ac:dyDescent="0.4">
      <c r="A19" s="180" t="s">
        <v>54</v>
      </c>
      <c r="C19" s="188">
        <v>0.18242236718066396</v>
      </c>
      <c r="D19" s="188">
        <v>0.1187994707060287</v>
      </c>
      <c r="E19" s="188">
        <v>5.8068196516142701E-2</v>
      </c>
      <c r="F19" s="188">
        <v>1.9952922850486665E-2</v>
      </c>
      <c r="G19" s="188">
        <v>-3.9189082958613897E-3</v>
      </c>
      <c r="I19" s="1" t="s">
        <v>70</v>
      </c>
      <c r="K19" s="46">
        <f>100%-K20</f>
        <v>0.5</v>
      </c>
    </row>
    <row r="20" spans="1:11" x14ac:dyDescent="0.4">
      <c r="A20" s="180" t="s">
        <v>124</v>
      </c>
      <c r="C20" s="189">
        <v>3.5882918482367363</v>
      </c>
      <c r="D20" s="189">
        <v>4.8828307554780865</v>
      </c>
      <c r="E20" s="189">
        <v>7.0237209145331638</v>
      </c>
      <c r="F20" s="189">
        <v>9.1019933710576577</v>
      </c>
      <c r="G20" s="189"/>
      <c r="I20" s="2" t="s">
        <v>71</v>
      </c>
      <c r="J20" s="2"/>
      <c r="K20" s="146">
        <v>0.5</v>
      </c>
    </row>
    <row r="21" spans="1:11" ht="13.5" thickBot="1" x14ac:dyDescent="0.45">
      <c r="A21" s="181" t="s">
        <v>55</v>
      </c>
      <c r="C21" s="190">
        <v>1.8256361150852927</v>
      </c>
      <c r="D21" s="190">
        <v>1.6133879214073281</v>
      </c>
      <c r="E21" s="190">
        <v>1.4024866617773208</v>
      </c>
      <c r="F21" s="190">
        <v>1.2443362484941545</v>
      </c>
      <c r="G21" s="190">
        <v>1.1392407127061988</v>
      </c>
    </row>
    <row r="23" spans="1:11" ht="13.5" thickBot="1" x14ac:dyDescent="0.45">
      <c r="A23" s="178" t="s">
        <v>144</v>
      </c>
    </row>
    <row r="24" spans="1:11" x14ac:dyDescent="0.4">
      <c r="A24" s="179" t="s">
        <v>123</v>
      </c>
      <c r="C24" s="184">
        <v>-14840000</v>
      </c>
      <c r="D24" s="184">
        <v>-18592000</v>
      </c>
      <c r="E24" s="184">
        <v>-23952000</v>
      </c>
      <c r="F24" s="184">
        <v>-27972000</v>
      </c>
      <c r="G24" s="184">
        <v>-30652000</v>
      </c>
    </row>
    <row r="25" spans="1:11" x14ac:dyDescent="0.4">
      <c r="A25" s="180" t="s">
        <v>106</v>
      </c>
      <c r="C25" s="184">
        <v>28809045.895950053</v>
      </c>
      <c r="D25" s="184">
        <v>30664666.268329009</v>
      </c>
      <c r="E25" s="184">
        <v>32587653.508675799</v>
      </c>
      <c r="F25" s="184">
        <v>33948470.027645275</v>
      </c>
      <c r="G25" s="184">
        <v>34811805.969519123</v>
      </c>
      <c r="I25" s="4" t="s">
        <v>143</v>
      </c>
    </row>
    <row r="26" spans="1:11" x14ac:dyDescent="0.4">
      <c r="A26" s="180" t="s">
        <v>54</v>
      </c>
      <c r="C26" s="188">
        <v>0.21862132459124095</v>
      </c>
      <c r="D26" s="188">
        <v>0.16930892148425936</v>
      </c>
      <c r="E26" s="188">
        <v>0.11015830958519146</v>
      </c>
      <c r="F26" s="188">
        <v>7.4260297592782409E-2</v>
      </c>
      <c r="G26" s="188">
        <v>5.1732127857726073E-2</v>
      </c>
      <c r="I26" s="1" t="s">
        <v>70</v>
      </c>
      <c r="K26" s="46">
        <f>100%-K27</f>
        <v>0.5</v>
      </c>
    </row>
    <row r="27" spans="1:11" x14ac:dyDescent="0.4">
      <c r="A27" s="180" t="s">
        <v>124</v>
      </c>
      <c r="C27" s="189">
        <v>2.9450713849958543</v>
      </c>
      <c r="D27" s="189">
        <v>3.6563991181322888</v>
      </c>
      <c r="E27" s="189">
        <v>5.1026604293125111</v>
      </c>
      <c r="F27" s="189">
        <v>6.4429446442834086</v>
      </c>
      <c r="G27" s="189">
        <v>7.4921314212981471</v>
      </c>
      <c r="I27" s="2" t="s">
        <v>71</v>
      </c>
      <c r="J27" s="2"/>
      <c r="K27" s="146">
        <v>0.5</v>
      </c>
    </row>
    <row r="28" spans="1:11" ht="13.5" thickBot="1" x14ac:dyDescent="0.45">
      <c r="A28" s="181" t="s">
        <v>55</v>
      </c>
      <c r="C28" s="190">
        <v>1.9413103703470389</v>
      </c>
      <c r="D28" s="190">
        <v>1.813521985736456</v>
      </c>
      <c r="E28" s="190">
        <v>1.690273147484892</v>
      </c>
      <c r="F28" s="190">
        <v>1.5923497323211107</v>
      </c>
      <c r="G28" s="190">
        <v>1.5241109143880811</v>
      </c>
    </row>
    <row r="30" spans="1:11" ht="13.5" thickBot="1" x14ac:dyDescent="0.45">
      <c r="A30" s="178" t="s">
        <v>139</v>
      </c>
    </row>
    <row r="31" spans="1:11" x14ac:dyDescent="0.4">
      <c r="A31" s="179" t="s">
        <v>123</v>
      </c>
      <c r="C31" s="184">
        <v>-14840000</v>
      </c>
      <c r="D31" s="184">
        <v>-18056000</v>
      </c>
      <c r="E31" s="184">
        <v>-23416000</v>
      </c>
      <c r="F31" s="184">
        <v>-27436000</v>
      </c>
      <c r="G31" s="184">
        <v>-30116000</v>
      </c>
    </row>
    <row r="32" spans="1:11" x14ac:dyDescent="0.4">
      <c r="A32" s="180" t="s">
        <v>106</v>
      </c>
      <c r="C32" s="184">
        <v>30653436.951280423</v>
      </c>
      <c r="D32" s="184">
        <v>33386153.751467131</v>
      </c>
      <c r="E32" s="184">
        <v>36350427.789834626</v>
      </c>
      <c r="F32" s="184">
        <v>38576633.056225151</v>
      </c>
      <c r="G32" s="184">
        <v>40021549.235297427</v>
      </c>
      <c r="I32" s="4" t="s">
        <v>143</v>
      </c>
    </row>
    <row r="33" spans="1:11" x14ac:dyDescent="0.4">
      <c r="A33" s="180" t="s">
        <v>54</v>
      </c>
      <c r="C33" s="188">
        <v>0.25671563992994328</v>
      </c>
      <c r="D33" s="188">
        <v>0.22330500932505837</v>
      </c>
      <c r="E33" s="188">
        <v>0.16804121985343667</v>
      </c>
      <c r="F33" s="188">
        <v>0.13700112990449576</v>
      </c>
      <c r="G33" s="188">
        <v>0.11975919020622872</v>
      </c>
      <c r="I33" s="1" t="s">
        <v>70</v>
      </c>
      <c r="K33" s="46">
        <f>100%-K34</f>
        <v>0.5</v>
      </c>
    </row>
    <row r="34" spans="1:11" x14ac:dyDescent="0.4">
      <c r="A34" s="180" t="s">
        <v>124</v>
      </c>
      <c r="C34" s="189">
        <v>2.3264623443506034</v>
      </c>
      <c r="D34" s="189">
        <v>2.708841818961564</v>
      </c>
      <c r="E34" s="189">
        <v>3.6379541426366009</v>
      </c>
      <c r="F34" s="189">
        <v>4.4374815742226392</v>
      </c>
      <c r="G34" s="189">
        <v>4.9401902923870935</v>
      </c>
      <c r="I34" s="2" t="s">
        <v>71</v>
      </c>
      <c r="J34" s="2"/>
      <c r="K34" s="146">
        <v>0.5</v>
      </c>
    </row>
    <row r="35" spans="1:11" ht="13.5" thickBot="1" x14ac:dyDescent="0.45">
      <c r="A35" s="181" t="s">
        <v>55</v>
      </c>
      <c r="C35" s="190">
        <v>2.065595481892212</v>
      </c>
      <c r="D35" s="190">
        <v>2.0330292285355203</v>
      </c>
      <c r="E35" s="190">
        <v>2.0160665626573198</v>
      </c>
      <c r="F35" s="190">
        <v>2.0035467019019637</v>
      </c>
      <c r="G35" s="190">
        <v>1.9925572260982087</v>
      </c>
    </row>
    <row r="37" spans="1:11" ht="13.5" thickBot="1" x14ac:dyDescent="0.45">
      <c r="A37" s="178" t="s">
        <v>140</v>
      </c>
    </row>
    <row r="38" spans="1:11" x14ac:dyDescent="0.4">
      <c r="A38" s="179" t="s">
        <v>123</v>
      </c>
      <c r="C38" s="184">
        <v>-14840000</v>
      </c>
      <c r="D38" s="184">
        <v>-17520000</v>
      </c>
      <c r="E38" s="184">
        <v>-22880000</v>
      </c>
      <c r="F38" s="184"/>
      <c r="G38" s="184"/>
    </row>
    <row r="39" spans="1:11" x14ac:dyDescent="0.4">
      <c r="A39" s="180" t="s">
        <v>106</v>
      </c>
      <c r="C39" s="184">
        <v>32657835.711928487</v>
      </c>
      <c r="D39" s="184">
        <v>36522239.433525495</v>
      </c>
      <c r="E39" s="184">
        <v>41117972.067487203</v>
      </c>
      <c r="F39" s="184"/>
      <c r="G39" s="184"/>
      <c r="I39" s="4" t="s">
        <v>143</v>
      </c>
    </row>
    <row r="40" spans="1:11" x14ac:dyDescent="0.4">
      <c r="A40" s="180" t="s">
        <v>54</v>
      </c>
      <c r="C40" s="188">
        <v>0.29221804343211577</v>
      </c>
      <c r="D40" s="188">
        <v>0.27538723209344185</v>
      </c>
      <c r="E40" s="188">
        <v>0.22102155422875658</v>
      </c>
      <c r="F40" s="188"/>
      <c r="G40" s="188"/>
      <c r="I40" s="1" t="s">
        <v>70</v>
      </c>
      <c r="K40" s="46">
        <f>100%-K41</f>
        <v>0.5</v>
      </c>
    </row>
    <row r="41" spans="1:11" x14ac:dyDescent="0.4">
      <c r="A41" s="180" t="s">
        <v>124</v>
      </c>
      <c r="C41" s="189">
        <v>2.1100931484755843</v>
      </c>
      <c r="D41" s="189">
        <v>2.5326835818716642</v>
      </c>
      <c r="E41" s="189">
        <v>3.479477256461224</v>
      </c>
      <c r="F41" s="189"/>
      <c r="G41" s="189"/>
      <c r="I41" s="2" t="s">
        <v>71</v>
      </c>
      <c r="J41" s="2"/>
      <c r="K41" s="146">
        <v>0.5</v>
      </c>
    </row>
    <row r="42" spans="1:11" ht="13.5" thickBot="1" x14ac:dyDescent="0.45">
      <c r="A42" s="181" t="s">
        <v>55</v>
      </c>
      <c r="C42" s="190">
        <v>2.2006627838226742</v>
      </c>
      <c r="D42" s="190">
        <v>2.2804743553588609</v>
      </c>
      <c r="E42" s="190">
        <v>2.409566850908841</v>
      </c>
      <c r="F42" s="190"/>
      <c r="G42" s="190"/>
    </row>
    <row r="44" spans="1:11" ht="13.5" thickBot="1" x14ac:dyDescent="0.45">
      <c r="A44" s="178" t="s">
        <v>147</v>
      </c>
    </row>
    <row r="45" spans="1:11" x14ac:dyDescent="0.4">
      <c r="A45" s="179" t="s">
        <v>123</v>
      </c>
      <c r="C45" s="184">
        <v>-14840000</v>
      </c>
      <c r="D45" s="184">
        <v>-16984000</v>
      </c>
      <c r="E45" s="184"/>
      <c r="F45" s="184"/>
      <c r="G45" s="184"/>
    </row>
    <row r="46" spans="1:11" x14ac:dyDescent="0.4">
      <c r="A46" s="180" t="s">
        <v>106</v>
      </c>
      <c r="C46" s="184">
        <v>34870653.420831069</v>
      </c>
      <c r="D46" s="184">
        <v>40331470.570582896</v>
      </c>
      <c r="E46" s="184"/>
      <c r="F46" s="184"/>
      <c r="G46" s="184"/>
      <c r="I46" s="4" t="s">
        <v>143</v>
      </c>
    </row>
    <row r="47" spans="1:11" x14ac:dyDescent="0.4">
      <c r="A47" s="180" t="s">
        <v>54</v>
      </c>
      <c r="C47" s="188">
        <v>0.32509337143450634</v>
      </c>
      <c r="D47" s="188">
        <v>0.31850221078265917</v>
      </c>
      <c r="E47" s="188"/>
      <c r="F47" s="188"/>
      <c r="G47" s="188"/>
      <c r="I47" s="1" t="s">
        <v>70</v>
      </c>
      <c r="K47" s="46">
        <f>100%-K48</f>
        <v>0.5</v>
      </c>
    </row>
    <row r="48" spans="1:11" x14ac:dyDescent="0.4">
      <c r="A48" s="180" t="s">
        <v>124</v>
      </c>
      <c r="C48" s="189">
        <v>2.0832473779446419</v>
      </c>
      <c r="D48" s="189">
        <v>2.4427963410862596</v>
      </c>
      <c r="E48" s="189"/>
      <c r="F48" s="189"/>
      <c r="G48" s="189"/>
      <c r="I48" s="2" t="s">
        <v>71</v>
      </c>
      <c r="J48" s="2"/>
      <c r="K48" s="146">
        <v>0.5</v>
      </c>
    </row>
    <row r="49" spans="1:11" ht="13.5" thickBot="1" x14ac:dyDescent="0.45">
      <c r="A49" s="181" t="s">
        <v>55</v>
      </c>
      <c r="C49" s="190">
        <v>2.3497744892743309</v>
      </c>
      <c r="D49" s="190">
        <v>2.5732796880446696</v>
      </c>
      <c r="E49" s="190"/>
      <c r="F49" s="190"/>
      <c r="G49" s="190"/>
    </row>
    <row r="51" spans="1:11" ht="13.5" thickBot="1" x14ac:dyDescent="0.45">
      <c r="A51" s="178" t="s">
        <v>141</v>
      </c>
    </row>
    <row r="52" spans="1:11" x14ac:dyDescent="0.4">
      <c r="A52" s="179" t="s">
        <v>123</v>
      </c>
      <c r="C52" s="184">
        <v>-14840000</v>
      </c>
      <c r="D52" s="184">
        <v>-16448000</v>
      </c>
      <c r="E52" s="184"/>
      <c r="F52" s="184"/>
      <c r="G52" s="184"/>
    </row>
    <row r="53" spans="1:11" x14ac:dyDescent="0.4">
      <c r="A53" s="180" t="s">
        <v>106</v>
      </c>
      <c r="C53" s="184">
        <v>37368569.851275995</v>
      </c>
      <c r="D53" s="184">
        <v>45551783.875131138</v>
      </c>
      <c r="E53" s="184"/>
      <c r="F53" s="184"/>
      <c r="G53" s="184"/>
      <c r="I53" s="4" t="s">
        <v>143</v>
      </c>
    </row>
    <row r="54" spans="1:11" x14ac:dyDescent="0.4">
      <c r="A54" s="180" t="s">
        <v>54</v>
      </c>
      <c r="C54" s="188">
        <v>0.35214346736927937</v>
      </c>
      <c r="D54" s="188">
        <v>0.35083238654527116</v>
      </c>
      <c r="E54" s="188"/>
      <c r="F54" s="188"/>
      <c r="G54" s="188"/>
      <c r="I54" s="1" t="s">
        <v>70</v>
      </c>
      <c r="K54" s="46">
        <f>100%-K55</f>
        <v>0.5</v>
      </c>
    </row>
    <row r="55" spans="1:11" x14ac:dyDescent="0.4">
      <c r="A55" s="180" t="s">
        <v>124</v>
      </c>
      <c r="C55" s="189">
        <v>2.0832473779446419</v>
      </c>
      <c r="D55" s="189">
        <v>2.3529091003008551</v>
      </c>
      <c r="E55" s="189"/>
      <c r="F55" s="189"/>
      <c r="G55" s="189"/>
      <c r="I55" s="2" t="s">
        <v>71</v>
      </c>
      <c r="J55" s="2"/>
      <c r="K55" s="146">
        <v>0.5</v>
      </c>
    </row>
    <row r="56" spans="1:11" ht="13.5" thickBot="1" x14ac:dyDescent="0.45">
      <c r="A56" s="181" t="s">
        <v>55</v>
      </c>
      <c r="C56" s="190">
        <v>2.5180976988730457</v>
      </c>
      <c r="D56" s="190">
        <v>2.9611714201570849</v>
      </c>
      <c r="E56" s="190"/>
      <c r="F56" s="190"/>
      <c r="G56" s="190"/>
    </row>
    <row r="58" spans="1:11" ht="13.5" thickBot="1" x14ac:dyDescent="0.45">
      <c r="A58" s="178" t="s">
        <v>142</v>
      </c>
    </row>
    <row r="59" spans="1:11" x14ac:dyDescent="0.4">
      <c r="A59" s="179" t="s">
        <v>123</v>
      </c>
      <c r="C59" s="184">
        <v>-14840000</v>
      </c>
      <c r="D59" s="184">
        <v>-15912000</v>
      </c>
      <c r="E59" s="184"/>
      <c r="F59" s="184"/>
      <c r="G59" s="184"/>
    </row>
    <row r="60" spans="1:11" x14ac:dyDescent="0.4">
      <c r="A60" s="180" t="s">
        <v>106</v>
      </c>
      <c r="C60" s="184">
        <v>40293989.517337158</v>
      </c>
      <c r="D60" s="184">
        <v>47917171.195641883</v>
      </c>
      <c r="E60" s="184"/>
      <c r="F60" s="184"/>
      <c r="G60" s="184"/>
      <c r="I60" s="4" t="s">
        <v>143</v>
      </c>
    </row>
    <row r="61" spans="1:11" x14ac:dyDescent="0.4">
      <c r="A61" s="180" t="s">
        <v>54</v>
      </c>
      <c r="C61" s="188">
        <v>0.37271533096393217</v>
      </c>
      <c r="D61" s="188">
        <v>0.36712863425000708</v>
      </c>
      <c r="E61" s="188"/>
      <c r="F61" s="188"/>
      <c r="G61" s="188"/>
      <c r="I61" s="1" t="s">
        <v>70</v>
      </c>
      <c r="K61" s="46">
        <f>100%-K62</f>
        <v>0.5</v>
      </c>
    </row>
    <row r="62" spans="1:11" x14ac:dyDescent="0.4">
      <c r="A62" s="180" t="s">
        <v>124</v>
      </c>
      <c r="C62" s="189">
        <v>2.0832473779446419</v>
      </c>
      <c r="D62" s="189">
        <v>2.2630218595154505</v>
      </c>
      <c r="E62" s="189"/>
      <c r="F62" s="189"/>
      <c r="G62" s="189"/>
      <c r="I62" s="2" t="s">
        <v>71</v>
      </c>
      <c r="J62" s="2"/>
      <c r="K62" s="146">
        <v>0.5</v>
      </c>
    </row>
    <row r="63" spans="1:11" ht="13.5" thickBot="1" x14ac:dyDescent="0.45">
      <c r="A63" s="181" t="s">
        <v>55</v>
      </c>
      <c r="C63" s="190">
        <v>2.7152284041332311</v>
      </c>
      <c r="D63" s="190">
        <v>3.1566826951241156</v>
      </c>
      <c r="E63" s="190"/>
      <c r="F63" s="190"/>
      <c r="G63" s="190"/>
    </row>
    <row r="65" spans="1:11" ht="13.5" thickBot="1" x14ac:dyDescent="0.45">
      <c r="A65" s="178" t="s">
        <v>133</v>
      </c>
      <c r="C65" s="195" t="s">
        <v>134</v>
      </c>
      <c r="D65" s="195" t="s">
        <v>135</v>
      </c>
      <c r="E65" s="195" t="s">
        <v>136</v>
      </c>
      <c r="F65" s="195" t="s">
        <v>137</v>
      </c>
      <c r="G65" s="195" t="s">
        <v>138</v>
      </c>
    </row>
    <row r="66" spans="1:11" x14ac:dyDescent="0.4">
      <c r="A66" s="179" t="s">
        <v>123</v>
      </c>
      <c r="C66" s="184">
        <v>-14840000</v>
      </c>
      <c r="D66" s="184">
        <v>-16287200</v>
      </c>
      <c r="E66" s="184">
        <v>-22397600</v>
      </c>
      <c r="F66" s="184">
        <v>-26792800</v>
      </c>
      <c r="G66" s="184">
        <v>-29633600</v>
      </c>
    </row>
    <row r="67" spans="1:11" x14ac:dyDescent="0.4">
      <c r="A67" s="180" t="s">
        <v>106</v>
      </c>
      <c r="C67" s="184">
        <v>47475154.374535531</v>
      </c>
      <c r="D67" s="184">
        <v>47760255.276866987</v>
      </c>
      <c r="E67" s="184">
        <v>47599171.855673917</v>
      </c>
      <c r="F67" s="184">
        <v>47054976.419758394</v>
      </c>
      <c r="G67" s="184">
        <v>47201571.597664647</v>
      </c>
      <c r="I67" s="4" t="s">
        <v>143</v>
      </c>
    </row>
    <row r="68" spans="1:11" x14ac:dyDescent="0.4">
      <c r="A68" s="180" t="s">
        <v>54</v>
      </c>
      <c r="C68" s="188">
        <v>0.39315625794564113</v>
      </c>
      <c r="D68" s="188">
        <v>0.35807946191785889</v>
      </c>
      <c r="E68" s="188">
        <v>0.25640004864427723</v>
      </c>
      <c r="F68" s="188">
        <v>0.20154736777353377</v>
      </c>
      <c r="G68" s="188">
        <v>0.17358469661884168</v>
      </c>
      <c r="I68" s="1" t="s">
        <v>70</v>
      </c>
      <c r="K68" s="46">
        <f>100%-K69</f>
        <v>0.5</v>
      </c>
    </row>
    <row r="69" spans="1:11" x14ac:dyDescent="0.4">
      <c r="A69" s="180" t="s">
        <v>124</v>
      </c>
      <c r="C69" s="189">
        <v>2.0832473779446419</v>
      </c>
      <c r="D69" s="189">
        <v>2.3259429280652335</v>
      </c>
      <c r="E69" s="189">
        <v>3.3883014593373506</v>
      </c>
      <c r="F69" s="189">
        <v>4.2391092763976355</v>
      </c>
      <c r="G69" s="189">
        <v>4.8377011149260474</v>
      </c>
      <c r="I69" s="2" t="s">
        <v>71</v>
      </c>
      <c r="J69" s="2"/>
      <c r="K69" s="146">
        <v>0.5</v>
      </c>
    </row>
    <row r="70" spans="1:11" ht="13.5" thickBot="1" x14ac:dyDescent="0.45">
      <c r="A70" s="181" t="s">
        <v>55</v>
      </c>
      <c r="C70" s="190">
        <v>3.1991343918150617</v>
      </c>
      <c r="D70" s="190">
        <v>3.1208258272821414</v>
      </c>
      <c r="E70" s="190">
        <v>2.9113188581990515</v>
      </c>
      <c r="F70" s="190">
        <v>2.6940550148085172</v>
      </c>
      <c r="G70" s="190">
        <v>2.5820331265272669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B50B-30BD-9043-BFAE-16081F0F72A6}">
  <sheetPr>
    <tabColor theme="3" tint="9.9978637043366805E-2"/>
  </sheetPr>
  <dimension ref="A1:R36"/>
  <sheetViews>
    <sheetView showGridLines="0" zoomScaleNormal="100" workbookViewId="0"/>
  </sheetViews>
  <sheetFormatPr defaultColWidth="0" defaultRowHeight="13.15" zeroHeight="1" x14ac:dyDescent="0.4"/>
  <cols>
    <col min="1" max="3" width="3" style="1" customWidth="1"/>
    <col min="4" max="4" width="24.875" style="1" customWidth="1"/>
    <col min="5" max="5" width="10.75" style="1" customWidth="1"/>
    <col min="6" max="6" width="11.5" style="1" bestFit="1" customWidth="1"/>
    <col min="7" max="7" width="3.375" style="1" customWidth="1"/>
    <col min="8" max="9" width="3" style="1" customWidth="1"/>
    <col min="10" max="10" width="24.875" style="1" customWidth="1"/>
    <col min="11" max="11" width="10.75" style="1" customWidth="1"/>
    <col min="12" max="12" width="11.5" style="1" bestFit="1" customWidth="1"/>
    <col min="13" max="13" width="12.75" style="1" customWidth="1"/>
    <col min="14" max="17" width="10.875" style="1" hidden="1" customWidth="1"/>
    <col min="18" max="18" width="3.625" style="1" hidden="1" customWidth="1"/>
    <col min="19" max="16384" width="10.875" style="1" hidden="1"/>
  </cols>
  <sheetData>
    <row r="1" spans="2:12" ht="15.75" x14ac:dyDescent="0.5">
      <c r="D1" s="130" t="s">
        <v>88</v>
      </c>
      <c r="J1" s="130"/>
    </row>
    <row r="2" spans="2:12" ht="3.3" customHeight="1" thickBot="1" x14ac:dyDescent="0.45"/>
    <row r="3" spans="2:12" ht="13.5" thickBot="1" x14ac:dyDescent="0.45">
      <c r="B3" s="36" t="s">
        <v>58</v>
      </c>
      <c r="C3" s="37"/>
      <c r="D3" s="37"/>
      <c r="E3" s="37"/>
      <c r="F3" s="38"/>
      <c r="H3" s="36" t="s">
        <v>73</v>
      </c>
      <c r="I3" s="37"/>
      <c r="J3" s="37"/>
      <c r="K3" s="37"/>
      <c r="L3" s="38"/>
    </row>
    <row r="4" spans="2:12" ht="13.5" thickBot="1" x14ac:dyDescent="0.45">
      <c r="B4" s="51"/>
      <c r="C4" s="52"/>
      <c r="D4" s="52"/>
      <c r="E4" s="53" t="s">
        <v>60</v>
      </c>
      <c r="F4" s="54" t="s">
        <v>61</v>
      </c>
      <c r="H4" s="51"/>
      <c r="I4" s="52"/>
      <c r="J4" s="52"/>
      <c r="K4" s="53" t="s">
        <v>60</v>
      </c>
      <c r="L4" s="54" t="s">
        <v>61</v>
      </c>
    </row>
    <row r="5" spans="2:12" x14ac:dyDescent="0.4">
      <c r="B5" s="23" t="s">
        <v>0</v>
      </c>
      <c r="C5" s="56"/>
      <c r="D5" s="56"/>
      <c r="E5" s="56"/>
      <c r="F5" s="57"/>
      <c r="H5" s="23" t="s">
        <v>0</v>
      </c>
      <c r="I5" s="56"/>
      <c r="J5" s="56"/>
      <c r="K5" s="56"/>
      <c r="L5" s="57"/>
    </row>
    <row r="6" spans="2:12" x14ac:dyDescent="0.4">
      <c r="B6" s="32"/>
      <c r="C6" s="9" t="s">
        <v>1</v>
      </c>
      <c r="D6" s="9"/>
      <c r="E6" s="122">
        <v>600000</v>
      </c>
      <c r="F6" s="41">
        <v>70000</v>
      </c>
      <c r="H6" s="32"/>
      <c r="I6" s="9" t="s">
        <v>1</v>
      </c>
      <c r="J6" s="9"/>
      <c r="K6" s="122">
        <v>600000</v>
      </c>
      <c r="L6" s="41">
        <v>70000</v>
      </c>
    </row>
    <row r="7" spans="2:12" x14ac:dyDescent="0.4">
      <c r="B7" s="92"/>
      <c r="C7" s="2" t="s">
        <v>59</v>
      </c>
      <c r="D7" s="2"/>
      <c r="E7" s="137">
        <v>22</v>
      </c>
      <c r="F7" s="138">
        <v>22</v>
      </c>
      <c r="H7" s="92"/>
      <c r="I7" s="2" t="s">
        <v>59</v>
      </c>
      <c r="J7" s="2"/>
      <c r="K7" s="137">
        <v>22</v>
      </c>
      <c r="L7" s="138">
        <v>22</v>
      </c>
    </row>
    <row r="8" spans="2:12" x14ac:dyDescent="0.4">
      <c r="B8" s="131" t="s">
        <v>62</v>
      </c>
      <c r="C8" s="139"/>
      <c r="D8" s="132"/>
      <c r="E8" s="132"/>
      <c r="F8" s="133"/>
      <c r="H8" s="131" t="s">
        <v>62</v>
      </c>
      <c r="I8" s="139"/>
      <c r="J8" s="132"/>
      <c r="K8" s="132"/>
      <c r="L8" s="133"/>
    </row>
    <row r="9" spans="2:12" x14ac:dyDescent="0.4">
      <c r="B9" s="43"/>
      <c r="C9" s="124" t="s">
        <v>126</v>
      </c>
      <c r="E9" s="125">
        <v>8</v>
      </c>
      <c r="F9" s="48">
        <v>8</v>
      </c>
      <c r="H9" s="43"/>
      <c r="I9" s="124" t="s">
        <v>126</v>
      </c>
      <c r="K9" s="125">
        <v>8</v>
      </c>
      <c r="L9" s="48">
        <v>8</v>
      </c>
    </row>
    <row r="10" spans="2:12" x14ac:dyDescent="0.4">
      <c r="B10" s="43"/>
      <c r="C10" s="124" t="s">
        <v>63</v>
      </c>
      <c r="E10" s="125">
        <v>8</v>
      </c>
      <c r="F10" s="48">
        <v>8</v>
      </c>
      <c r="H10" s="43"/>
      <c r="I10" s="124" t="s">
        <v>63</v>
      </c>
      <c r="K10" s="125">
        <v>8</v>
      </c>
      <c r="L10" s="48">
        <v>8</v>
      </c>
    </row>
    <row r="11" spans="2:12" x14ac:dyDescent="0.4">
      <c r="B11" s="44"/>
      <c r="C11" s="124" t="s">
        <v>64</v>
      </c>
      <c r="E11" s="125">
        <v>6</v>
      </c>
      <c r="F11" s="48">
        <v>6</v>
      </c>
      <c r="H11" s="44"/>
      <c r="I11" s="124" t="s">
        <v>64</v>
      </c>
      <c r="K11" s="125">
        <v>6</v>
      </c>
      <c r="L11" s="48">
        <v>6</v>
      </c>
    </row>
    <row r="12" spans="2:12" x14ac:dyDescent="0.4">
      <c r="B12" s="140"/>
      <c r="C12" s="141" t="s">
        <v>65</v>
      </c>
      <c r="D12" s="2"/>
      <c r="E12" s="142">
        <v>4</v>
      </c>
      <c r="F12" s="143">
        <v>4</v>
      </c>
      <c r="H12" s="140"/>
      <c r="I12" s="141" t="s">
        <v>65</v>
      </c>
      <c r="J12" s="2"/>
      <c r="K12" s="142">
        <v>4</v>
      </c>
      <c r="L12" s="143">
        <v>4</v>
      </c>
    </row>
    <row r="13" spans="2:12" x14ac:dyDescent="0.4">
      <c r="B13" s="131" t="s">
        <v>66</v>
      </c>
      <c r="C13" s="11"/>
      <c r="D13" s="11"/>
      <c r="E13" s="144">
        <f>12%/12</f>
        <v>0.01</v>
      </c>
      <c r="F13" s="145">
        <f>12%/12</f>
        <v>0.01</v>
      </c>
      <c r="H13" s="131" t="s">
        <v>66</v>
      </c>
      <c r="I13" s="11"/>
      <c r="J13" s="11"/>
      <c r="K13" s="144">
        <f>12%/12</f>
        <v>0.01</v>
      </c>
      <c r="L13" s="145">
        <f>12%/12</f>
        <v>0.01</v>
      </c>
    </row>
    <row r="14" spans="2:12" x14ac:dyDescent="0.4">
      <c r="B14" s="35" t="s">
        <v>67</v>
      </c>
      <c r="C14" s="123"/>
      <c r="D14" s="123"/>
      <c r="E14" s="123"/>
      <c r="F14" s="40"/>
      <c r="H14" s="35" t="s">
        <v>67</v>
      </c>
      <c r="I14" s="123"/>
      <c r="J14" s="123"/>
      <c r="K14" s="123"/>
      <c r="L14" s="40"/>
    </row>
    <row r="15" spans="2:12" x14ac:dyDescent="0.4">
      <c r="B15" s="43"/>
      <c r="C15" s="124" t="s">
        <v>126</v>
      </c>
      <c r="E15" s="126">
        <v>1.01E-2</v>
      </c>
      <c r="F15" s="45">
        <v>1.01E-2</v>
      </c>
      <c r="H15" s="43"/>
      <c r="I15" s="124" t="s">
        <v>126</v>
      </c>
      <c r="K15" s="126">
        <v>1.01E-2</v>
      </c>
      <c r="L15" s="45">
        <v>1.01E-2</v>
      </c>
    </row>
    <row r="16" spans="2:12" x14ac:dyDescent="0.4">
      <c r="B16" s="39"/>
      <c r="C16" s="124" t="s">
        <v>63</v>
      </c>
      <c r="E16" s="126">
        <v>1.01E-2</v>
      </c>
      <c r="F16" s="45">
        <v>1.01E-2</v>
      </c>
      <c r="H16" s="39"/>
      <c r="I16" s="124" t="s">
        <v>63</v>
      </c>
      <c r="K16" s="126">
        <v>1.01E-2</v>
      </c>
      <c r="L16" s="45">
        <v>1.01E-2</v>
      </c>
    </row>
    <row r="17" spans="2:12" x14ac:dyDescent="0.4">
      <c r="B17" s="39"/>
      <c r="C17" s="124" t="s">
        <v>64</v>
      </c>
      <c r="E17" s="126">
        <v>1.01E-2</v>
      </c>
      <c r="F17" s="45">
        <v>1.01E-2</v>
      </c>
      <c r="H17" s="39"/>
      <c r="I17" s="124" t="s">
        <v>64</v>
      </c>
      <c r="K17" s="126">
        <v>1.01E-2</v>
      </c>
      <c r="L17" s="45">
        <v>1.01E-2</v>
      </c>
    </row>
    <row r="18" spans="2:12" x14ac:dyDescent="0.4">
      <c r="B18" s="39"/>
      <c r="C18" s="124" t="s">
        <v>65</v>
      </c>
      <c r="E18" s="126">
        <v>1.01E-2</v>
      </c>
      <c r="F18" s="45">
        <v>1.01E-2</v>
      </c>
      <c r="H18" s="39"/>
      <c r="I18" s="124" t="s">
        <v>65</v>
      </c>
      <c r="K18" s="126">
        <v>1.01E-2</v>
      </c>
      <c r="L18" s="45">
        <v>1.01E-2</v>
      </c>
    </row>
    <row r="19" spans="2:12" x14ac:dyDescent="0.4">
      <c r="B19" s="39"/>
      <c r="C19" s="124" t="s">
        <v>89</v>
      </c>
      <c r="E19" s="126">
        <v>1.01E-2</v>
      </c>
      <c r="F19" s="45">
        <v>1.01E-2</v>
      </c>
      <c r="H19" s="39"/>
      <c r="I19" s="124" t="s">
        <v>89</v>
      </c>
      <c r="K19" s="126">
        <v>1.01E-2</v>
      </c>
      <c r="L19" s="45">
        <v>1.01E-2</v>
      </c>
    </row>
    <row r="20" spans="2:12" x14ac:dyDescent="0.4">
      <c r="B20" s="131" t="s">
        <v>31</v>
      </c>
      <c r="C20" s="132"/>
      <c r="D20" s="132"/>
      <c r="E20" s="132"/>
      <c r="F20" s="133"/>
      <c r="H20" s="131" t="s">
        <v>31</v>
      </c>
      <c r="I20" s="132"/>
      <c r="J20" s="132"/>
      <c r="K20" s="132"/>
      <c r="L20" s="133"/>
    </row>
    <row r="21" spans="2:12" x14ac:dyDescent="0.4">
      <c r="B21" s="39"/>
      <c r="C21" s="9" t="s">
        <v>2</v>
      </c>
      <c r="E21" s="124">
        <f>E23*(E6*E7)</f>
        <v>0</v>
      </c>
      <c r="F21" s="127">
        <f>F23*(F6*F7)</f>
        <v>0</v>
      </c>
      <c r="H21" s="39"/>
      <c r="I21" s="9" t="s">
        <v>2</v>
      </c>
      <c r="K21" s="124">
        <f>K23*(K6*K7)</f>
        <v>6600000</v>
      </c>
      <c r="L21" s="127">
        <f>L23*(L6*L7)</f>
        <v>770000</v>
      </c>
    </row>
    <row r="22" spans="2:12" x14ac:dyDescent="0.4">
      <c r="B22" s="39"/>
      <c r="C22" s="9" t="s">
        <v>3</v>
      </c>
      <c r="E22" s="128">
        <v>0.14000000000000001</v>
      </c>
      <c r="F22" s="129">
        <v>0.14000000000000001</v>
      </c>
      <c r="H22" s="39"/>
      <c r="I22" s="9" t="s">
        <v>3</v>
      </c>
      <c r="K22" s="128">
        <v>0.14000000000000001</v>
      </c>
      <c r="L22" s="129">
        <v>0.14000000000000001</v>
      </c>
    </row>
    <row r="23" spans="2:12" x14ac:dyDescent="0.4">
      <c r="B23" s="39"/>
      <c r="C23" s="9" t="s">
        <v>9</v>
      </c>
      <c r="E23" s="126">
        <v>0</v>
      </c>
      <c r="F23" s="45">
        <v>0</v>
      </c>
      <c r="H23" s="39"/>
      <c r="I23" s="9" t="s">
        <v>9</v>
      </c>
      <c r="K23" s="126">
        <v>0.5</v>
      </c>
      <c r="L23" s="45">
        <v>0.5</v>
      </c>
    </row>
    <row r="24" spans="2:12" x14ac:dyDescent="0.4">
      <c r="B24" s="32"/>
      <c r="C24" s="9" t="s">
        <v>68</v>
      </c>
      <c r="D24" s="9"/>
      <c r="E24" s="124">
        <f>E6*(1-$E$23)*E7</f>
        <v>13200000</v>
      </c>
      <c r="F24" s="127">
        <f>F6*(1-$F$23)*F7</f>
        <v>1540000</v>
      </c>
      <c r="H24" s="32"/>
      <c r="I24" s="9" t="s">
        <v>68</v>
      </c>
      <c r="J24" s="9"/>
      <c r="K24" s="124">
        <f>K6*(1-$K$23)*K7</f>
        <v>6600000</v>
      </c>
      <c r="L24" s="127">
        <f>L6*(1-$L$23)*L7</f>
        <v>770000</v>
      </c>
    </row>
    <row r="25" spans="2:12" x14ac:dyDescent="0.4">
      <c r="B25" s="32"/>
      <c r="C25" s="9"/>
      <c r="D25" s="9" t="s">
        <v>78</v>
      </c>
      <c r="E25" s="126">
        <v>0.08</v>
      </c>
      <c r="F25" s="45">
        <v>0.08</v>
      </c>
      <c r="H25" s="32"/>
      <c r="I25" s="9"/>
      <c r="J25" s="9"/>
      <c r="K25" s="128"/>
      <c r="L25" s="129"/>
    </row>
    <row r="26" spans="2:12" x14ac:dyDescent="0.4">
      <c r="B26" s="134"/>
      <c r="C26" s="67"/>
      <c r="D26" s="67" t="s">
        <v>77</v>
      </c>
      <c r="E26" s="135">
        <f>POWER(1+E25,1/12)-1</f>
        <v>6.4340301100034303E-3</v>
      </c>
      <c r="F26" s="136">
        <f>POWER(1+F25,1/12)-1</f>
        <v>6.4340301100034303E-3</v>
      </c>
      <c r="H26" s="134"/>
      <c r="I26" s="67"/>
      <c r="J26" s="67"/>
      <c r="K26" s="135">
        <f>POWER(1+K25,1/12)-1</f>
        <v>0</v>
      </c>
      <c r="L26" s="136">
        <f>POWER(1+L25,1/12)-1</f>
        <v>0</v>
      </c>
    </row>
    <row r="27" spans="2:12" x14ac:dyDescent="0.4">
      <c r="B27" s="131" t="s">
        <v>4</v>
      </c>
      <c r="C27" s="132"/>
      <c r="D27" s="132"/>
      <c r="E27" s="132"/>
      <c r="F27" s="133"/>
      <c r="H27" s="131" t="s">
        <v>4</v>
      </c>
      <c r="I27" s="132"/>
      <c r="J27" s="132"/>
      <c r="K27" s="132"/>
      <c r="L27" s="133"/>
    </row>
    <row r="28" spans="2:12" x14ac:dyDescent="0.4">
      <c r="B28" s="134"/>
      <c r="C28" s="67" t="s">
        <v>72</v>
      </c>
      <c r="D28" s="67"/>
      <c r="E28" s="148">
        <v>50000</v>
      </c>
      <c r="F28" s="149">
        <v>50000</v>
      </c>
      <c r="H28" s="134"/>
      <c r="I28" s="67" t="s">
        <v>72</v>
      </c>
      <c r="J28" s="67"/>
      <c r="K28" s="148">
        <v>50000</v>
      </c>
      <c r="L28" s="149">
        <v>50000</v>
      </c>
    </row>
    <row r="29" spans="2:12" x14ac:dyDescent="0.4">
      <c r="B29" s="131" t="s">
        <v>6</v>
      </c>
      <c r="C29" s="132"/>
      <c r="D29" s="132"/>
      <c r="E29" s="132"/>
      <c r="F29" s="133"/>
      <c r="H29" s="131" t="s">
        <v>6</v>
      </c>
      <c r="I29" s="132"/>
      <c r="J29" s="132"/>
      <c r="K29" s="132"/>
      <c r="L29" s="133"/>
    </row>
    <row r="30" spans="2:12" x14ac:dyDescent="0.4">
      <c r="B30" s="134"/>
      <c r="C30" s="67" t="s">
        <v>7</v>
      </c>
      <c r="D30" s="2"/>
      <c r="E30" s="146">
        <v>0</v>
      </c>
      <c r="F30" s="147">
        <v>0</v>
      </c>
      <c r="H30" s="134"/>
      <c r="I30" s="67" t="s">
        <v>7</v>
      </c>
      <c r="J30" s="2"/>
      <c r="K30" s="146">
        <v>0</v>
      </c>
      <c r="L30" s="147">
        <v>0</v>
      </c>
    </row>
    <row r="31" spans="2:12" x14ac:dyDescent="0.4">
      <c r="B31" s="131" t="s">
        <v>69</v>
      </c>
      <c r="C31" s="132"/>
      <c r="D31" s="132"/>
      <c r="E31" s="150"/>
      <c r="F31" s="133"/>
      <c r="H31" s="131" t="s">
        <v>69</v>
      </c>
      <c r="I31" s="132"/>
      <c r="J31" s="132"/>
      <c r="K31" s="150"/>
      <c r="L31" s="133"/>
    </row>
    <row r="32" spans="2:12" x14ac:dyDescent="0.4">
      <c r="B32" s="39"/>
      <c r="C32" s="1" t="s">
        <v>70</v>
      </c>
      <c r="E32" s="46">
        <f>100%-E33</f>
        <v>0.75</v>
      </c>
      <c r="F32" s="47">
        <f>100%-F33</f>
        <v>0.75</v>
      </c>
      <c r="H32" s="39"/>
      <c r="I32" s="1" t="s">
        <v>70</v>
      </c>
      <c r="K32" s="46">
        <f>100%-K33</f>
        <v>0.5</v>
      </c>
      <c r="L32" s="47">
        <f>100%-L33</f>
        <v>0.5</v>
      </c>
    </row>
    <row r="33" spans="2:12" x14ac:dyDescent="0.4">
      <c r="B33" s="92"/>
      <c r="C33" s="2" t="s">
        <v>71</v>
      </c>
      <c r="D33" s="2"/>
      <c r="E33" s="146">
        <v>0.25</v>
      </c>
      <c r="F33" s="147">
        <v>0.25</v>
      </c>
      <c r="H33" s="92"/>
      <c r="I33" s="2" t="s">
        <v>71</v>
      </c>
      <c r="J33" s="2"/>
      <c r="K33" s="146">
        <v>0.5</v>
      </c>
      <c r="L33" s="147">
        <v>0.5</v>
      </c>
    </row>
    <row r="34" spans="2:12" x14ac:dyDescent="0.4">
      <c r="B34" s="131" t="s">
        <v>18</v>
      </c>
      <c r="C34" s="132"/>
      <c r="D34" s="132"/>
      <c r="E34" s="150"/>
      <c r="F34" s="133"/>
      <c r="H34" s="131" t="s">
        <v>18</v>
      </c>
      <c r="I34" s="132"/>
      <c r="J34" s="132"/>
      <c r="K34" s="150"/>
      <c r="L34" s="133"/>
    </row>
    <row r="35" spans="2:12" ht="13.5" thickBot="1" x14ac:dyDescent="0.45">
      <c r="B35" s="33"/>
      <c r="C35" s="34" t="s">
        <v>32</v>
      </c>
      <c r="D35" s="34"/>
      <c r="E35" s="49">
        <v>6</v>
      </c>
      <c r="F35" s="50">
        <v>6</v>
      </c>
      <c r="H35" s="33"/>
      <c r="I35" s="34" t="s">
        <v>32</v>
      </c>
      <c r="J35" s="34"/>
      <c r="K35" s="49">
        <v>6</v>
      </c>
      <c r="L35" s="50">
        <v>6</v>
      </c>
    </row>
    <row r="36" spans="2:12" x14ac:dyDescent="0.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5412-A6EE-5249-B3B1-85C97F4D2E65}">
  <sheetPr>
    <tabColor rgb="FFC4D2F2"/>
  </sheetPr>
  <dimension ref="A1:DV71"/>
  <sheetViews>
    <sheetView showGridLines="0" zoomScaleNormal="100" workbookViewId="0">
      <pane xSplit="3" topLeftCell="D1" activePane="topRight" state="frozen"/>
      <selection activeCell="D37" sqref="D37"/>
      <selection pane="topRight"/>
    </sheetView>
  </sheetViews>
  <sheetFormatPr defaultColWidth="0" defaultRowHeight="13.15" zeroHeight="1" x14ac:dyDescent="0.4"/>
  <cols>
    <col min="1" max="1" width="2.625" style="1" customWidth="1"/>
    <col min="2" max="2" width="3.9375" style="1" bestFit="1" customWidth="1"/>
    <col min="3" max="3" width="36.125" style="1" bestFit="1" customWidth="1"/>
    <col min="4" max="4" width="11.125" style="1" bestFit="1" customWidth="1"/>
    <col min="5" max="5" width="10.875" style="1" bestFit="1" customWidth="1"/>
    <col min="6" max="6" width="11.625" style="1" bestFit="1" customWidth="1"/>
    <col min="7" max="16" width="10.875" style="1" bestFit="1" customWidth="1"/>
    <col min="17" max="17" width="12.3125" style="1" bestFit="1" customWidth="1"/>
    <col min="18" max="72" width="10.875" style="1" bestFit="1" customWidth="1"/>
    <col min="73" max="116" width="11.375" style="1" bestFit="1" customWidth="1"/>
    <col min="117" max="125" width="12.125" style="1" bestFit="1" customWidth="1"/>
    <col min="126" max="126" width="4" style="1" customWidth="1"/>
    <col min="127" max="16384" width="0" style="1" hidden="1"/>
  </cols>
  <sheetData>
    <row r="1" spans="1:125" ht="13.5" thickBot="1" x14ac:dyDescent="0.45"/>
    <row r="2" spans="1:125" x14ac:dyDescent="0.4">
      <c r="B2" s="68"/>
      <c r="C2" s="69"/>
      <c r="D2" s="70">
        <v>0</v>
      </c>
      <c r="E2" s="70">
        <v>1</v>
      </c>
      <c r="F2" s="70">
        <v>2</v>
      </c>
      <c r="G2" s="70">
        <v>3</v>
      </c>
      <c r="H2" s="70">
        <v>4</v>
      </c>
      <c r="I2" s="70">
        <v>5</v>
      </c>
      <c r="J2" s="70">
        <v>6</v>
      </c>
      <c r="K2" s="70">
        <v>7</v>
      </c>
      <c r="L2" s="70">
        <v>8</v>
      </c>
      <c r="M2" s="70">
        <v>9</v>
      </c>
      <c r="N2" s="70">
        <v>10</v>
      </c>
      <c r="O2" s="70">
        <v>11</v>
      </c>
      <c r="P2" s="70">
        <v>12</v>
      </c>
      <c r="Q2" s="70">
        <v>13</v>
      </c>
      <c r="R2" s="70">
        <v>14</v>
      </c>
      <c r="S2" s="70">
        <v>15</v>
      </c>
      <c r="T2" s="70">
        <v>16</v>
      </c>
      <c r="U2" s="70">
        <v>17</v>
      </c>
      <c r="V2" s="70">
        <v>18</v>
      </c>
      <c r="W2" s="70">
        <v>19</v>
      </c>
      <c r="X2" s="70">
        <v>20</v>
      </c>
      <c r="Y2" s="70">
        <v>21</v>
      </c>
      <c r="Z2" s="70">
        <v>22</v>
      </c>
      <c r="AA2" s="70">
        <v>23</v>
      </c>
      <c r="AB2" s="70">
        <v>24</v>
      </c>
      <c r="AC2" s="70">
        <v>25</v>
      </c>
      <c r="AD2" s="70">
        <v>26</v>
      </c>
      <c r="AE2" s="70">
        <v>27</v>
      </c>
      <c r="AF2" s="70">
        <v>28</v>
      </c>
      <c r="AG2" s="70">
        <v>29</v>
      </c>
      <c r="AH2" s="70">
        <v>30</v>
      </c>
      <c r="AI2" s="70">
        <v>31</v>
      </c>
      <c r="AJ2" s="70">
        <v>32</v>
      </c>
      <c r="AK2" s="70">
        <v>33</v>
      </c>
      <c r="AL2" s="70">
        <v>34</v>
      </c>
      <c r="AM2" s="70">
        <v>35</v>
      </c>
      <c r="AN2" s="70">
        <v>36</v>
      </c>
      <c r="AO2" s="70">
        <v>37</v>
      </c>
      <c r="AP2" s="70">
        <v>38</v>
      </c>
      <c r="AQ2" s="70">
        <v>39</v>
      </c>
      <c r="AR2" s="70">
        <v>40</v>
      </c>
      <c r="AS2" s="70">
        <v>41</v>
      </c>
      <c r="AT2" s="70">
        <v>42</v>
      </c>
      <c r="AU2" s="70">
        <v>43</v>
      </c>
      <c r="AV2" s="70">
        <v>44</v>
      </c>
      <c r="AW2" s="70">
        <v>45</v>
      </c>
      <c r="AX2" s="70">
        <v>46</v>
      </c>
      <c r="AY2" s="70">
        <v>47</v>
      </c>
      <c r="AZ2" s="70">
        <v>48</v>
      </c>
      <c r="BA2" s="70">
        <v>49</v>
      </c>
      <c r="BB2" s="70">
        <v>50</v>
      </c>
      <c r="BC2" s="70">
        <v>51</v>
      </c>
      <c r="BD2" s="70">
        <v>52</v>
      </c>
      <c r="BE2" s="70">
        <v>53</v>
      </c>
      <c r="BF2" s="70">
        <v>54</v>
      </c>
      <c r="BG2" s="70">
        <v>55</v>
      </c>
      <c r="BH2" s="70">
        <v>56</v>
      </c>
      <c r="BI2" s="70">
        <v>57</v>
      </c>
      <c r="BJ2" s="70">
        <v>58</v>
      </c>
      <c r="BK2" s="70">
        <v>59</v>
      </c>
      <c r="BL2" s="70">
        <v>60</v>
      </c>
      <c r="BM2" s="70">
        <v>61</v>
      </c>
      <c r="BN2" s="70">
        <v>62</v>
      </c>
      <c r="BO2" s="70">
        <v>63</v>
      </c>
      <c r="BP2" s="70">
        <v>64</v>
      </c>
      <c r="BQ2" s="70">
        <v>65</v>
      </c>
      <c r="BR2" s="70">
        <v>66</v>
      </c>
      <c r="BS2" s="70">
        <v>67</v>
      </c>
      <c r="BT2" s="70">
        <v>68</v>
      </c>
      <c r="BU2" s="70">
        <v>69</v>
      </c>
      <c r="BV2" s="70">
        <v>70</v>
      </c>
      <c r="BW2" s="70">
        <v>71</v>
      </c>
      <c r="BX2" s="70">
        <v>72</v>
      </c>
      <c r="BY2" s="70">
        <v>73</v>
      </c>
      <c r="BZ2" s="70">
        <v>74</v>
      </c>
      <c r="CA2" s="70">
        <v>75</v>
      </c>
      <c r="CB2" s="70">
        <v>76</v>
      </c>
      <c r="CC2" s="70">
        <v>77</v>
      </c>
      <c r="CD2" s="70">
        <v>78</v>
      </c>
      <c r="CE2" s="70">
        <v>79</v>
      </c>
      <c r="CF2" s="70">
        <v>80</v>
      </c>
      <c r="CG2" s="70">
        <v>81</v>
      </c>
      <c r="CH2" s="70">
        <v>82</v>
      </c>
      <c r="CI2" s="70">
        <v>83</v>
      </c>
      <c r="CJ2" s="70">
        <v>84</v>
      </c>
      <c r="CK2" s="70">
        <v>85</v>
      </c>
      <c r="CL2" s="70">
        <v>86</v>
      </c>
      <c r="CM2" s="70">
        <v>87</v>
      </c>
      <c r="CN2" s="70">
        <v>88</v>
      </c>
      <c r="CO2" s="70">
        <v>89</v>
      </c>
      <c r="CP2" s="70">
        <v>90</v>
      </c>
      <c r="CQ2" s="70">
        <v>91</v>
      </c>
      <c r="CR2" s="70">
        <v>92</v>
      </c>
      <c r="CS2" s="70">
        <v>93</v>
      </c>
      <c r="CT2" s="70">
        <v>94</v>
      </c>
      <c r="CU2" s="70">
        <v>95</v>
      </c>
      <c r="CV2" s="70">
        <v>96</v>
      </c>
      <c r="CW2" s="70">
        <v>97</v>
      </c>
      <c r="CX2" s="70">
        <v>98</v>
      </c>
      <c r="CY2" s="70">
        <v>99</v>
      </c>
      <c r="CZ2" s="70">
        <v>100</v>
      </c>
      <c r="DA2" s="70">
        <v>101</v>
      </c>
      <c r="DB2" s="70">
        <v>102</v>
      </c>
      <c r="DC2" s="70">
        <v>103</v>
      </c>
      <c r="DD2" s="70">
        <v>104</v>
      </c>
      <c r="DE2" s="70">
        <v>105</v>
      </c>
      <c r="DF2" s="70">
        <v>106</v>
      </c>
      <c r="DG2" s="70">
        <v>107</v>
      </c>
      <c r="DH2" s="70">
        <v>108</v>
      </c>
      <c r="DI2" s="70">
        <v>109</v>
      </c>
      <c r="DJ2" s="70">
        <v>110</v>
      </c>
      <c r="DK2" s="70">
        <v>111</v>
      </c>
      <c r="DL2" s="70">
        <v>112</v>
      </c>
      <c r="DM2" s="70">
        <v>113</v>
      </c>
      <c r="DN2" s="70">
        <v>114</v>
      </c>
      <c r="DO2" s="70">
        <v>115</v>
      </c>
      <c r="DP2" s="70">
        <v>116</v>
      </c>
      <c r="DQ2" s="70">
        <v>117</v>
      </c>
      <c r="DR2" s="70">
        <v>118</v>
      </c>
      <c r="DS2" s="70">
        <v>119</v>
      </c>
      <c r="DT2" s="70">
        <v>120</v>
      </c>
      <c r="DU2" s="71">
        <v>121</v>
      </c>
    </row>
    <row r="3" spans="1:125" ht="3.3" customHeight="1" x14ac:dyDescent="0.4">
      <c r="B3" s="39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3"/>
    </row>
    <row r="4" spans="1:125" x14ac:dyDescent="0.4">
      <c r="A4" s="1" t="s">
        <v>36</v>
      </c>
      <c r="B4" s="74" t="s">
        <v>10</v>
      </c>
      <c r="DU4" s="42"/>
    </row>
    <row r="5" spans="1:125" x14ac:dyDescent="0.4">
      <c r="B5" s="74"/>
      <c r="C5" s="75" t="s">
        <v>16</v>
      </c>
      <c r="D5" s="21">
        <f>-Assumptions!E6*Assumptions!E7+-Assumptions!F6*Assumptions!F7</f>
        <v>-14740000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76"/>
    </row>
    <row r="6" spans="1:125" x14ac:dyDescent="0.4">
      <c r="B6" s="74"/>
      <c r="C6" s="75" t="s">
        <v>17</v>
      </c>
      <c r="D6" s="62"/>
      <c r="E6" s="62"/>
      <c r="F6" s="62"/>
      <c r="G6" s="62"/>
      <c r="H6" s="62"/>
      <c r="I6" s="62"/>
      <c r="J6" s="62"/>
      <c r="K6" s="174">
        <f>SUM(K7:K8)</f>
        <v>0</v>
      </c>
      <c r="L6" s="62"/>
      <c r="M6" s="62"/>
      <c r="N6" s="62"/>
      <c r="O6" s="62"/>
      <c r="P6" s="62"/>
      <c r="Q6" s="107">
        <f>SUM(Q7:Q8)</f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107">
        <f>SUM(AC7:AC8)</f>
        <v>0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107">
        <f>SUM(AO7:AO8)</f>
        <v>0</v>
      </c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76"/>
    </row>
    <row r="7" spans="1:125" x14ac:dyDescent="0.4">
      <c r="B7" s="151">
        <f>Assumptions!E6/SUM(Assumptions!E6:F6)</f>
        <v>0.89552238805970152</v>
      </c>
      <c r="C7" s="55" t="s">
        <v>60</v>
      </c>
      <c r="D7" s="62"/>
      <c r="E7" s="62"/>
      <c r="F7" s="62"/>
      <c r="G7" s="62"/>
      <c r="H7" s="62"/>
      <c r="I7" s="62"/>
      <c r="J7" s="62"/>
      <c r="K7" s="62">
        <f>IF(Assumptions!E15&gt;Assumptions!E13,0,-Assumptions!E6*Assumptions!E9)</f>
        <v>0</v>
      </c>
      <c r="L7" s="62"/>
      <c r="M7" s="62"/>
      <c r="N7" s="62"/>
      <c r="O7" s="62"/>
      <c r="P7" s="62"/>
      <c r="Q7" s="58">
        <f>IF(Assumptions!E16&gt;Assumptions!E13,0,-Assumptions!E6*Assumptions!E10)</f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58">
        <f>IF(Assumptions!E17&gt;Assumptions!E13,0,-Assumptions!E6*Assumptions!E11)</f>
        <v>0</v>
      </c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58">
        <f>IF(Assumptions!E18&gt;Assumptions!E13,0,-Assumptions!E6*Assumptions!E12)</f>
        <v>0</v>
      </c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76"/>
    </row>
    <row r="8" spans="1:125" x14ac:dyDescent="0.4">
      <c r="B8" s="151">
        <f>1-B7</f>
        <v>0.10447761194029848</v>
      </c>
      <c r="C8" s="55" t="s">
        <v>61</v>
      </c>
      <c r="D8" s="62"/>
      <c r="E8" s="62"/>
      <c r="F8" s="62"/>
      <c r="G8" s="62"/>
      <c r="H8" s="62"/>
      <c r="I8" s="62"/>
      <c r="J8" s="62"/>
      <c r="K8" s="62">
        <f>+IF(Assumptions!F15&gt;Assumptions!F13,0,-Assumptions!F6*Assumptions!F9)</f>
        <v>0</v>
      </c>
      <c r="L8" s="62"/>
      <c r="M8" s="62"/>
      <c r="N8" s="62"/>
      <c r="O8" s="62"/>
      <c r="P8" s="62"/>
      <c r="Q8" s="58">
        <f>+IF(Assumptions!F16&gt;Assumptions!F13,0,-Assumptions!F6*Assumptions!F10)</f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58">
        <f>IF(Assumptions!F17&gt;Assumptions!F13,0,-Assumptions!F6*Assumptions!F11)</f>
        <v>0</v>
      </c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58">
        <f>+IF(Assumptions!F18&gt;Assumptions!F13,0,-Assumptions!F6*Assumptions!F12)</f>
        <v>0</v>
      </c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76"/>
    </row>
    <row r="9" spans="1:125" x14ac:dyDescent="0.4">
      <c r="B9" s="39"/>
      <c r="C9" s="77" t="s">
        <v>72</v>
      </c>
      <c r="D9" s="59">
        <f>-Assumptions!E28-Assumptions!F28</f>
        <v>-100000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DU9" s="42"/>
    </row>
    <row r="10" spans="1:125" x14ac:dyDescent="0.4">
      <c r="A10" s="1" t="s">
        <v>36</v>
      </c>
      <c r="B10" s="78" t="s">
        <v>33</v>
      </c>
      <c r="C10" s="6"/>
      <c r="D10" s="66">
        <f>SUM(D5:D9)</f>
        <v>-14840000</v>
      </c>
      <c r="E10" s="7">
        <f t="shared" ref="E10:P10" si="0">E6+E5+E9</f>
        <v>0</v>
      </c>
      <c r="F10" s="7">
        <f t="shared" si="0"/>
        <v>0</v>
      </c>
      <c r="G10" s="7">
        <f t="shared" si="0"/>
        <v>0</v>
      </c>
      <c r="H10" s="7">
        <f t="shared" si="0"/>
        <v>0</v>
      </c>
      <c r="I10" s="7">
        <f t="shared" si="0"/>
        <v>0</v>
      </c>
      <c r="J10" s="7">
        <f t="shared" si="0"/>
        <v>0</v>
      </c>
      <c r="K10" s="7">
        <f t="shared" si="0"/>
        <v>0</v>
      </c>
      <c r="L10" s="7">
        <f t="shared" si="0"/>
        <v>0</v>
      </c>
      <c r="M10" s="7">
        <f t="shared" si="0"/>
        <v>0</v>
      </c>
      <c r="N10" s="7">
        <f t="shared" si="0"/>
        <v>0</v>
      </c>
      <c r="O10" s="7">
        <f t="shared" si="0"/>
        <v>0</v>
      </c>
      <c r="P10" s="7">
        <f t="shared" si="0"/>
        <v>0</v>
      </c>
      <c r="Q10" s="7">
        <f>Q6+Q5+Q9</f>
        <v>0</v>
      </c>
      <c r="R10" s="7">
        <f t="shared" ref="R10:CC10" si="1">R6+R5+R9</f>
        <v>0</v>
      </c>
      <c r="S10" s="7">
        <f t="shared" si="1"/>
        <v>0</v>
      </c>
      <c r="T10" s="7">
        <f t="shared" si="1"/>
        <v>0</v>
      </c>
      <c r="U10" s="7">
        <f t="shared" si="1"/>
        <v>0</v>
      </c>
      <c r="V10" s="7">
        <f t="shared" si="1"/>
        <v>0</v>
      </c>
      <c r="W10" s="7">
        <f t="shared" si="1"/>
        <v>0</v>
      </c>
      <c r="X10" s="7">
        <f t="shared" si="1"/>
        <v>0</v>
      </c>
      <c r="Y10" s="7">
        <f t="shared" si="1"/>
        <v>0</v>
      </c>
      <c r="Z10" s="7">
        <f t="shared" si="1"/>
        <v>0</v>
      </c>
      <c r="AA10" s="7">
        <f t="shared" si="1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0</v>
      </c>
      <c r="AF10" s="7">
        <f t="shared" si="1"/>
        <v>0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0</v>
      </c>
      <c r="AL10" s="7">
        <f t="shared" si="1"/>
        <v>0</v>
      </c>
      <c r="AM10" s="7">
        <f t="shared" si="1"/>
        <v>0</v>
      </c>
      <c r="AN10" s="7">
        <f t="shared" si="1"/>
        <v>0</v>
      </c>
      <c r="AO10" s="7">
        <f t="shared" si="1"/>
        <v>0</v>
      </c>
      <c r="AP10" s="7">
        <f t="shared" si="1"/>
        <v>0</v>
      </c>
      <c r="AQ10" s="7">
        <f t="shared" si="1"/>
        <v>0</v>
      </c>
      <c r="AR10" s="7">
        <f t="shared" si="1"/>
        <v>0</v>
      </c>
      <c r="AS10" s="7">
        <f t="shared" si="1"/>
        <v>0</v>
      </c>
      <c r="AT10" s="7">
        <f t="shared" si="1"/>
        <v>0</v>
      </c>
      <c r="AU10" s="7">
        <f t="shared" si="1"/>
        <v>0</v>
      </c>
      <c r="AV10" s="7">
        <f t="shared" si="1"/>
        <v>0</v>
      </c>
      <c r="AW10" s="7">
        <f t="shared" si="1"/>
        <v>0</v>
      </c>
      <c r="AX10" s="7">
        <f t="shared" si="1"/>
        <v>0</v>
      </c>
      <c r="AY10" s="7">
        <f t="shared" si="1"/>
        <v>0</v>
      </c>
      <c r="AZ10" s="7">
        <f t="shared" si="1"/>
        <v>0</v>
      </c>
      <c r="BA10" s="7">
        <f t="shared" si="1"/>
        <v>0</v>
      </c>
      <c r="BB10" s="7">
        <f t="shared" si="1"/>
        <v>0</v>
      </c>
      <c r="BC10" s="7">
        <f t="shared" si="1"/>
        <v>0</v>
      </c>
      <c r="BD10" s="7">
        <f t="shared" si="1"/>
        <v>0</v>
      </c>
      <c r="BE10" s="7">
        <f t="shared" si="1"/>
        <v>0</v>
      </c>
      <c r="BF10" s="7">
        <f t="shared" si="1"/>
        <v>0</v>
      </c>
      <c r="BG10" s="7">
        <f t="shared" si="1"/>
        <v>0</v>
      </c>
      <c r="BH10" s="7">
        <f t="shared" si="1"/>
        <v>0</v>
      </c>
      <c r="BI10" s="7">
        <f t="shared" si="1"/>
        <v>0</v>
      </c>
      <c r="BJ10" s="7">
        <f t="shared" si="1"/>
        <v>0</v>
      </c>
      <c r="BK10" s="7">
        <f t="shared" si="1"/>
        <v>0</v>
      </c>
      <c r="BL10" s="7">
        <f t="shared" si="1"/>
        <v>0</v>
      </c>
      <c r="BM10" s="7">
        <f t="shared" si="1"/>
        <v>0</v>
      </c>
      <c r="BN10" s="7">
        <f t="shared" si="1"/>
        <v>0</v>
      </c>
      <c r="BO10" s="7">
        <f t="shared" si="1"/>
        <v>0</v>
      </c>
      <c r="BP10" s="7">
        <f t="shared" si="1"/>
        <v>0</v>
      </c>
      <c r="BQ10" s="7">
        <f t="shared" si="1"/>
        <v>0</v>
      </c>
      <c r="BR10" s="7">
        <f t="shared" si="1"/>
        <v>0</v>
      </c>
      <c r="BS10" s="7">
        <f t="shared" si="1"/>
        <v>0</v>
      </c>
      <c r="BT10" s="7">
        <f t="shared" si="1"/>
        <v>0</v>
      </c>
      <c r="BU10" s="7">
        <f t="shared" si="1"/>
        <v>0</v>
      </c>
      <c r="BV10" s="7">
        <f t="shared" si="1"/>
        <v>0</v>
      </c>
      <c r="BW10" s="7">
        <f t="shared" si="1"/>
        <v>0</v>
      </c>
      <c r="BX10" s="7">
        <f t="shared" si="1"/>
        <v>0</v>
      </c>
      <c r="BY10" s="7">
        <f t="shared" si="1"/>
        <v>0</v>
      </c>
      <c r="BZ10" s="7">
        <f t="shared" si="1"/>
        <v>0</v>
      </c>
      <c r="CA10" s="7">
        <f t="shared" si="1"/>
        <v>0</v>
      </c>
      <c r="CB10" s="7">
        <f t="shared" si="1"/>
        <v>0</v>
      </c>
      <c r="CC10" s="7">
        <f t="shared" si="1"/>
        <v>0</v>
      </c>
      <c r="CD10" s="7">
        <f t="shared" ref="CD10:DU10" si="2">CD6+CD5+CD9</f>
        <v>0</v>
      </c>
      <c r="CE10" s="7">
        <f t="shared" si="2"/>
        <v>0</v>
      </c>
      <c r="CF10" s="7">
        <f t="shared" si="2"/>
        <v>0</v>
      </c>
      <c r="CG10" s="7">
        <f t="shared" si="2"/>
        <v>0</v>
      </c>
      <c r="CH10" s="7">
        <f t="shared" si="2"/>
        <v>0</v>
      </c>
      <c r="CI10" s="7">
        <f t="shared" si="2"/>
        <v>0</v>
      </c>
      <c r="CJ10" s="7">
        <f t="shared" si="2"/>
        <v>0</v>
      </c>
      <c r="CK10" s="7">
        <f t="shared" si="2"/>
        <v>0</v>
      </c>
      <c r="CL10" s="7">
        <f t="shared" si="2"/>
        <v>0</v>
      </c>
      <c r="CM10" s="7">
        <f t="shared" si="2"/>
        <v>0</v>
      </c>
      <c r="CN10" s="7">
        <f t="shared" si="2"/>
        <v>0</v>
      </c>
      <c r="CO10" s="7">
        <f t="shared" si="2"/>
        <v>0</v>
      </c>
      <c r="CP10" s="7">
        <f t="shared" si="2"/>
        <v>0</v>
      </c>
      <c r="CQ10" s="7">
        <f t="shared" si="2"/>
        <v>0</v>
      </c>
      <c r="CR10" s="7">
        <f t="shared" si="2"/>
        <v>0</v>
      </c>
      <c r="CS10" s="7">
        <f t="shared" si="2"/>
        <v>0</v>
      </c>
      <c r="CT10" s="7">
        <f t="shared" si="2"/>
        <v>0</v>
      </c>
      <c r="CU10" s="7">
        <f t="shared" si="2"/>
        <v>0</v>
      </c>
      <c r="CV10" s="7">
        <f t="shared" si="2"/>
        <v>0</v>
      </c>
      <c r="CW10" s="7">
        <f t="shared" si="2"/>
        <v>0</v>
      </c>
      <c r="CX10" s="7">
        <f t="shared" si="2"/>
        <v>0</v>
      </c>
      <c r="CY10" s="7">
        <f t="shared" si="2"/>
        <v>0</v>
      </c>
      <c r="CZ10" s="7">
        <f t="shared" si="2"/>
        <v>0</v>
      </c>
      <c r="DA10" s="7">
        <f t="shared" si="2"/>
        <v>0</v>
      </c>
      <c r="DB10" s="7">
        <f t="shared" si="2"/>
        <v>0</v>
      </c>
      <c r="DC10" s="7">
        <f t="shared" si="2"/>
        <v>0</v>
      </c>
      <c r="DD10" s="7">
        <f t="shared" si="2"/>
        <v>0</v>
      </c>
      <c r="DE10" s="7">
        <f t="shared" si="2"/>
        <v>0</v>
      </c>
      <c r="DF10" s="7">
        <f t="shared" si="2"/>
        <v>0</v>
      </c>
      <c r="DG10" s="7">
        <f t="shared" si="2"/>
        <v>0</v>
      </c>
      <c r="DH10" s="7">
        <f t="shared" si="2"/>
        <v>0</v>
      </c>
      <c r="DI10" s="7">
        <f t="shared" si="2"/>
        <v>0</v>
      </c>
      <c r="DJ10" s="7">
        <f t="shared" si="2"/>
        <v>0</v>
      </c>
      <c r="DK10" s="7">
        <f t="shared" si="2"/>
        <v>0</v>
      </c>
      <c r="DL10" s="7">
        <f t="shared" si="2"/>
        <v>0</v>
      </c>
      <c r="DM10" s="7">
        <f t="shared" si="2"/>
        <v>0</v>
      </c>
      <c r="DN10" s="7">
        <f t="shared" si="2"/>
        <v>0</v>
      </c>
      <c r="DO10" s="7">
        <f t="shared" si="2"/>
        <v>0</v>
      </c>
      <c r="DP10" s="7">
        <f t="shared" si="2"/>
        <v>0</v>
      </c>
      <c r="DQ10" s="7">
        <f t="shared" si="2"/>
        <v>0</v>
      </c>
      <c r="DR10" s="7">
        <f t="shared" si="2"/>
        <v>0</v>
      </c>
      <c r="DS10" s="7">
        <f t="shared" si="2"/>
        <v>0</v>
      </c>
      <c r="DT10" s="7">
        <f t="shared" si="2"/>
        <v>0</v>
      </c>
      <c r="DU10" s="79">
        <f t="shared" si="2"/>
        <v>0</v>
      </c>
    </row>
    <row r="11" spans="1:125" x14ac:dyDescent="0.4">
      <c r="B11" s="39"/>
      <c r="C11" s="77"/>
      <c r="D11" s="80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DU11" s="42"/>
    </row>
    <row r="12" spans="1:125" x14ac:dyDescent="0.4">
      <c r="B12" s="81" t="s">
        <v>11</v>
      </c>
      <c r="C12" s="82"/>
      <c r="D12" s="8"/>
      <c r="E12" s="83"/>
      <c r="F12" s="83"/>
      <c r="G12" s="83"/>
      <c r="H12" s="84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85"/>
    </row>
    <row r="13" spans="1:125" x14ac:dyDescent="0.4">
      <c r="B13" s="39"/>
      <c r="C13" s="75" t="s">
        <v>12</v>
      </c>
      <c r="D13" s="62"/>
      <c r="E13" s="86">
        <f>SUM(E14:E15)</f>
        <v>670000</v>
      </c>
      <c r="F13" s="86">
        <f t="shared" ref="F13:BQ13" si="3">SUM(F14:F15)</f>
        <v>663233</v>
      </c>
      <c r="G13" s="86">
        <f t="shared" si="3"/>
        <v>656534.34669999999</v>
      </c>
      <c r="H13" s="86">
        <f t="shared" si="3"/>
        <v>649903.34979832999</v>
      </c>
      <c r="I13" s="86">
        <f t="shared" si="3"/>
        <v>643339.32596536691</v>
      </c>
      <c r="J13" s="86">
        <f t="shared" si="3"/>
        <v>636841.5987731166</v>
      </c>
      <c r="K13" s="86">
        <f t="shared" si="3"/>
        <v>630409.49862550816</v>
      </c>
      <c r="L13" s="86">
        <f t="shared" si="3"/>
        <v>624042.36268939055</v>
      </c>
      <c r="M13" s="86">
        <f t="shared" si="3"/>
        <v>617739.5348262277</v>
      </c>
      <c r="N13" s="86">
        <f t="shared" si="3"/>
        <v>611500.3655244828</v>
      </c>
      <c r="O13" s="86">
        <f t="shared" si="3"/>
        <v>605324.21183268563</v>
      </c>
      <c r="P13" s="86">
        <f t="shared" si="3"/>
        <v>599210.43729317549</v>
      </c>
      <c r="Q13" s="86">
        <f t="shared" si="3"/>
        <v>593158.41187651444</v>
      </c>
      <c r="R13" s="86">
        <f t="shared" si="3"/>
        <v>587167.51191656152</v>
      </c>
      <c r="S13" s="86">
        <f t="shared" si="3"/>
        <v>581237.12004620431</v>
      </c>
      <c r="T13" s="86">
        <f t="shared" si="3"/>
        <v>575366.62513373757</v>
      </c>
      <c r="U13" s="86">
        <f t="shared" si="3"/>
        <v>569555.42221988679</v>
      </c>
      <c r="V13" s="86">
        <f t="shared" si="3"/>
        <v>563802.91245546599</v>
      </c>
      <c r="W13" s="86">
        <f t="shared" si="3"/>
        <v>558108.50303966575</v>
      </c>
      <c r="X13" s="86">
        <f t="shared" si="3"/>
        <v>552471.6071589652</v>
      </c>
      <c r="Y13" s="86">
        <f t="shared" si="3"/>
        <v>546891.6439266596</v>
      </c>
      <c r="Z13" s="86">
        <f t="shared" si="3"/>
        <v>541368.03832300042</v>
      </c>
      <c r="AA13" s="86">
        <f t="shared" si="3"/>
        <v>535900.22113593807</v>
      </c>
      <c r="AB13" s="86">
        <f t="shared" si="3"/>
        <v>530487.62890246511</v>
      </c>
      <c r="AC13" s="86">
        <f t="shared" si="3"/>
        <v>525129.70385055023</v>
      </c>
      <c r="AD13" s="86">
        <f t="shared" si="3"/>
        <v>519825.89384165965</v>
      </c>
      <c r="AE13" s="86">
        <f t="shared" si="3"/>
        <v>514575.65231385885</v>
      </c>
      <c r="AF13" s="86">
        <f t="shared" si="3"/>
        <v>509378.43822548888</v>
      </c>
      <c r="AG13" s="86">
        <f t="shared" si="3"/>
        <v>504233.71599941142</v>
      </c>
      <c r="AH13" s="86">
        <f t="shared" si="3"/>
        <v>499140.95546781737</v>
      </c>
      <c r="AI13" s="86">
        <f t="shared" si="3"/>
        <v>494099.63181759242</v>
      </c>
      <c r="AJ13" s="86">
        <f t="shared" si="3"/>
        <v>489109.22553623474</v>
      </c>
      <c r="AK13" s="86">
        <f t="shared" si="3"/>
        <v>484169.2223583188</v>
      </c>
      <c r="AL13" s="86">
        <f t="shared" si="3"/>
        <v>479279.11321249977</v>
      </c>
      <c r="AM13" s="86">
        <f t="shared" si="3"/>
        <v>474438.39416905353</v>
      </c>
      <c r="AN13" s="86">
        <f t="shared" si="3"/>
        <v>469646.56638794614</v>
      </c>
      <c r="AO13" s="86">
        <f t="shared" si="3"/>
        <v>464903.13606742787</v>
      </c>
      <c r="AP13" s="86">
        <f t="shared" si="3"/>
        <v>460207.61439314683</v>
      </c>
      <c r="AQ13" s="86">
        <f t="shared" si="3"/>
        <v>455559.51748777606</v>
      </c>
      <c r="AR13" s="86">
        <f t="shared" si="3"/>
        <v>450958.36636114953</v>
      </c>
      <c r="AS13" s="86">
        <f t="shared" si="3"/>
        <v>446403.68686090194</v>
      </c>
      <c r="AT13" s="86">
        <f t="shared" si="3"/>
        <v>441895.00962360681</v>
      </c>
      <c r="AU13" s="86">
        <f t="shared" si="3"/>
        <v>437431.8700264084</v>
      </c>
      <c r="AV13" s="86">
        <f t="shared" si="3"/>
        <v>433013.80813914171</v>
      </c>
      <c r="AW13" s="86">
        <f t="shared" si="3"/>
        <v>428640.36867693637</v>
      </c>
      <c r="AX13" s="86">
        <f t="shared" si="3"/>
        <v>424311.10095329926</v>
      </c>
      <c r="AY13" s="86">
        <f t="shared" si="3"/>
        <v>420025.55883367098</v>
      </c>
      <c r="AZ13" s="86">
        <f t="shared" si="3"/>
        <v>415783.30068945087</v>
      </c>
      <c r="BA13" s="86">
        <f t="shared" si="3"/>
        <v>411583.8893524874</v>
      </c>
      <c r="BB13" s="86">
        <f t="shared" si="3"/>
        <v>407426.8920700273</v>
      </c>
      <c r="BC13" s="86">
        <f t="shared" si="3"/>
        <v>403311.88046012004</v>
      </c>
      <c r="BD13" s="86">
        <f t="shared" si="3"/>
        <v>399238.43046747282</v>
      </c>
      <c r="BE13" s="86">
        <f t="shared" si="3"/>
        <v>395206.12231975136</v>
      </c>
      <c r="BF13" s="86">
        <f t="shared" si="3"/>
        <v>391214.54048432189</v>
      </c>
      <c r="BG13" s="86">
        <f t="shared" si="3"/>
        <v>387263.27362543024</v>
      </c>
      <c r="BH13" s="86">
        <f t="shared" si="3"/>
        <v>383351.91456181341</v>
      </c>
      <c r="BI13" s="86">
        <f t="shared" si="3"/>
        <v>379480.06022473914</v>
      </c>
      <c r="BJ13" s="86">
        <f t="shared" si="3"/>
        <v>375647.31161646929</v>
      </c>
      <c r="BK13" s="86">
        <f t="shared" si="3"/>
        <v>371853.27376914292</v>
      </c>
      <c r="BL13" s="86">
        <f t="shared" si="3"/>
        <v>368097.55570407456</v>
      </c>
      <c r="BM13" s="86">
        <f t="shared" si="3"/>
        <v>364379.77039146348</v>
      </c>
      <c r="BN13" s="86">
        <f t="shared" si="3"/>
        <v>360699.5347105097</v>
      </c>
      <c r="BO13" s="86">
        <f t="shared" si="3"/>
        <v>357056.46940993355</v>
      </c>
      <c r="BP13" s="86">
        <f t="shared" si="3"/>
        <v>353450.19906889315</v>
      </c>
      <c r="BQ13" s="86">
        <f t="shared" si="3"/>
        <v>349880.35205829737</v>
      </c>
      <c r="BR13" s="86">
        <f t="shared" ref="BR13:DT13" si="4">SUM(BR14:BR15)</f>
        <v>346346.56050250854</v>
      </c>
      <c r="BS13" s="86">
        <f t="shared" si="4"/>
        <v>342848.46024143317</v>
      </c>
      <c r="BT13" s="86">
        <f t="shared" si="4"/>
        <v>339385.69079299469</v>
      </c>
      <c r="BU13" s="86">
        <f t="shared" si="4"/>
        <v>335957.89531598543</v>
      </c>
      <c r="BV13" s="86">
        <f t="shared" si="4"/>
        <v>332564.72057329398</v>
      </c>
      <c r="BW13" s="86">
        <f t="shared" si="4"/>
        <v>329205.81689550373</v>
      </c>
      <c r="BX13" s="86">
        <f t="shared" si="4"/>
        <v>325880.83814485912</v>
      </c>
      <c r="BY13" s="86">
        <f t="shared" si="4"/>
        <v>322589.44167959603</v>
      </c>
      <c r="BZ13" s="86">
        <f t="shared" si="4"/>
        <v>319331.28831863217</v>
      </c>
      <c r="CA13" s="86">
        <f t="shared" si="4"/>
        <v>316106.04230661393</v>
      </c>
      <c r="CB13" s="86">
        <f t="shared" si="4"/>
        <v>312913.37127931713</v>
      </c>
      <c r="CC13" s="86">
        <f t="shared" si="4"/>
        <v>309752.94622939604</v>
      </c>
      <c r="CD13" s="86">
        <f t="shared" si="4"/>
        <v>306624.44147247908</v>
      </c>
      <c r="CE13" s="86">
        <f t="shared" si="4"/>
        <v>303527.53461360704</v>
      </c>
      <c r="CF13" s="86">
        <f t="shared" si="4"/>
        <v>300461.90651400964</v>
      </c>
      <c r="CG13" s="86">
        <f t="shared" si="4"/>
        <v>297427.24125821819</v>
      </c>
      <c r="CH13" s="86">
        <f t="shared" si="4"/>
        <v>294423.22612151015</v>
      </c>
      <c r="CI13" s="86">
        <f t="shared" si="4"/>
        <v>291449.55153768288</v>
      </c>
      <c r="CJ13" s="86">
        <f t="shared" si="4"/>
        <v>288505.91106715228</v>
      </c>
      <c r="CK13" s="86">
        <f t="shared" si="4"/>
        <v>285592.00136537408</v>
      </c>
      <c r="CL13" s="86">
        <f t="shared" si="4"/>
        <v>282707.52215158381</v>
      </c>
      <c r="CM13" s="86">
        <f t="shared" si="4"/>
        <v>279852.17617785279</v>
      </c>
      <c r="CN13" s="86">
        <f t="shared" si="4"/>
        <v>277025.66919845651</v>
      </c>
      <c r="CO13" s="86">
        <f t="shared" si="4"/>
        <v>274227.70993955206</v>
      </c>
      <c r="CP13" s="86">
        <f t="shared" si="4"/>
        <v>271458.01006916258</v>
      </c>
      <c r="CQ13" s="86">
        <f t="shared" si="4"/>
        <v>268716.28416746407</v>
      </c>
      <c r="CR13" s="86">
        <f t="shared" si="4"/>
        <v>266002.24969737267</v>
      </c>
      <c r="CS13" s="86">
        <f t="shared" si="4"/>
        <v>263315.62697542924</v>
      </c>
      <c r="CT13" s="86">
        <f t="shared" si="4"/>
        <v>260656.13914297739</v>
      </c>
      <c r="CU13" s="86">
        <f t="shared" si="4"/>
        <v>258023.51213763334</v>
      </c>
      <c r="CV13" s="86">
        <f t="shared" si="4"/>
        <v>255417.47466504324</v>
      </c>
      <c r="CW13" s="86">
        <f t="shared" si="4"/>
        <v>252837.75817092627</v>
      </c>
      <c r="CX13" s="86">
        <f t="shared" si="4"/>
        <v>250284.09681339993</v>
      </c>
      <c r="CY13" s="86">
        <f t="shared" si="4"/>
        <v>247756.22743558459</v>
      </c>
      <c r="CZ13" s="86">
        <f t="shared" si="4"/>
        <v>245253.88953848518</v>
      </c>
      <c r="DA13" s="86">
        <f t="shared" si="4"/>
        <v>242776.82525414648</v>
      </c>
      <c r="DB13" s="86">
        <f t="shared" si="4"/>
        <v>240324.77931907959</v>
      </c>
      <c r="DC13" s="86">
        <f t="shared" si="4"/>
        <v>237897.4990479569</v>
      </c>
      <c r="DD13" s="86">
        <f t="shared" si="4"/>
        <v>235494.73430757254</v>
      </c>
      <c r="DE13" s="86">
        <f t="shared" si="4"/>
        <v>233116.23749106607</v>
      </c>
      <c r="DF13" s="86">
        <f t="shared" si="4"/>
        <v>230761.76349240632</v>
      </c>
      <c r="DG13" s="86">
        <f t="shared" si="4"/>
        <v>228431.069681133</v>
      </c>
      <c r="DH13" s="86">
        <f t="shared" si="4"/>
        <v>226123.91587735355</v>
      </c>
      <c r="DI13" s="86">
        <f t="shared" si="4"/>
        <v>223840.06432699229</v>
      </c>
      <c r="DJ13" s="86">
        <f t="shared" si="4"/>
        <v>221579.27967728965</v>
      </c>
      <c r="DK13" s="86">
        <f t="shared" si="4"/>
        <v>219341.32895254903</v>
      </c>
      <c r="DL13" s="86">
        <f t="shared" si="4"/>
        <v>217125.98153012828</v>
      </c>
      <c r="DM13" s="86">
        <f t="shared" si="4"/>
        <v>214933.00911667402</v>
      </c>
      <c r="DN13" s="86">
        <f t="shared" si="4"/>
        <v>212762.18572459559</v>
      </c>
      <c r="DO13" s="86">
        <f t="shared" si="4"/>
        <v>210613.28764877719</v>
      </c>
      <c r="DP13" s="86">
        <f t="shared" si="4"/>
        <v>208486.09344352453</v>
      </c>
      <c r="DQ13" s="86">
        <f t="shared" si="4"/>
        <v>206380.38389974492</v>
      </c>
      <c r="DR13" s="86">
        <f t="shared" si="4"/>
        <v>204295.94202235751</v>
      </c>
      <c r="DS13" s="86">
        <f t="shared" si="4"/>
        <v>202232.55300793171</v>
      </c>
      <c r="DT13" s="86">
        <f t="shared" si="4"/>
        <v>200190.00422255159</v>
      </c>
      <c r="DU13" s="76"/>
    </row>
    <row r="14" spans="1:125" x14ac:dyDescent="0.4">
      <c r="B14" s="39"/>
      <c r="C14" s="55" t="s">
        <v>60</v>
      </c>
      <c r="D14" s="62"/>
      <c r="E14" s="87">
        <f>Assumptions!E6</f>
        <v>600000</v>
      </c>
      <c r="F14" s="59">
        <f>E14*(1-Assumptions!$E$16)</f>
        <v>593940</v>
      </c>
      <c r="G14" s="59">
        <f>F14*(1-Assumptions!$E$16)</f>
        <v>587941.20600000001</v>
      </c>
      <c r="H14" s="59">
        <f>G14*(1-Assumptions!$E$16)</f>
        <v>582002.99981940002</v>
      </c>
      <c r="I14" s="59">
        <f>H14*(1-Assumptions!$E$16)</f>
        <v>576124.76952122408</v>
      </c>
      <c r="J14" s="59">
        <f>I14*(1-Assumptions!$E$16)</f>
        <v>570305.90934905969</v>
      </c>
      <c r="K14" s="59">
        <f>J14*(1-Assumptions!$E$16)</f>
        <v>564545.81966463418</v>
      </c>
      <c r="L14" s="59">
        <f>K14*(1-Assumptions!$E$16)</f>
        <v>558843.90688602137</v>
      </c>
      <c r="M14" s="59">
        <f>L14*(1-Assumptions!$E$16)</f>
        <v>553199.58342647261</v>
      </c>
      <c r="N14" s="59">
        <f>M14*(1-Assumptions!$E$16)</f>
        <v>547612.26763386524</v>
      </c>
      <c r="O14" s="59">
        <f>N14*(1-Assumptions!$E$16)</f>
        <v>542081.38373076322</v>
      </c>
      <c r="P14" s="59">
        <f>O14*(1-Assumptions!$E$16)</f>
        <v>536606.3617550825</v>
      </c>
      <c r="Q14" s="59">
        <f>P14*(1-Assumptions!$E$17)</f>
        <v>531186.63750135619</v>
      </c>
      <c r="R14" s="59">
        <f>Q14*(1-Assumptions!$E$17)</f>
        <v>525821.65246259246</v>
      </c>
      <c r="S14" s="59">
        <f>R14*(1-Assumptions!$E$17)</f>
        <v>520510.85377272026</v>
      </c>
      <c r="T14" s="59">
        <f>S14*(1-Assumptions!$E$17)</f>
        <v>515253.69414961577</v>
      </c>
      <c r="U14" s="59">
        <f>T14*(1-Assumptions!$E$17)</f>
        <v>510049.63183870463</v>
      </c>
      <c r="V14" s="59">
        <f>U14*(1-Assumptions!$E$17)</f>
        <v>504898.1305571337</v>
      </c>
      <c r="W14" s="59">
        <f>V14*(1-Assumptions!$E$17)</f>
        <v>499798.65943850664</v>
      </c>
      <c r="X14" s="59">
        <f>W14*(1-Assumptions!$E$17)</f>
        <v>494750.69297817774</v>
      </c>
      <c r="Y14" s="59">
        <f>X14*(1-Assumptions!$E$17)</f>
        <v>489753.71097909816</v>
      </c>
      <c r="Z14" s="59">
        <f>Y14*(1-Assumptions!$E$17)</f>
        <v>484807.1984982093</v>
      </c>
      <c r="AA14" s="59">
        <f>Z14*(1-Assumptions!$E$17)</f>
        <v>479910.64579337736</v>
      </c>
      <c r="AB14" s="59">
        <f>AA14*(1-Assumptions!$E$17)</f>
        <v>475063.54827086424</v>
      </c>
      <c r="AC14" s="59">
        <f>AB14*(1-Assumptions!$E$18)</f>
        <v>470265.40643332852</v>
      </c>
      <c r="AD14" s="59">
        <f>AC14*(1-Assumptions!$E$18)</f>
        <v>465515.72582835192</v>
      </c>
      <c r="AE14" s="59">
        <f>AD14*(1-Assumptions!$E$18)</f>
        <v>460814.01699748554</v>
      </c>
      <c r="AF14" s="59">
        <f>AE14*(1-Assumptions!$E$18)</f>
        <v>456159.79542581091</v>
      </c>
      <c r="AG14" s="59">
        <f>AF14*(1-Assumptions!$E$18)</f>
        <v>451552.58149201021</v>
      </c>
      <c r="AH14" s="59">
        <f>AG14*(1-Assumptions!$E$18)</f>
        <v>446991.90041894093</v>
      </c>
      <c r="AI14" s="59">
        <f>AH14*(1-Assumptions!$E$18)</f>
        <v>442477.28222470963</v>
      </c>
      <c r="AJ14" s="59">
        <f>AI14*(1-Assumptions!$E$18)</f>
        <v>438008.26167424006</v>
      </c>
      <c r="AK14" s="59">
        <f>AJ14*(1-Assumptions!$E$18)</f>
        <v>433584.37823133025</v>
      </c>
      <c r="AL14" s="59">
        <f>AK14*(1-Assumptions!$E$18)</f>
        <v>429205.17601119383</v>
      </c>
      <c r="AM14" s="59">
        <f>AL14*(1-Assumptions!$E$18)</f>
        <v>424870.20373348077</v>
      </c>
      <c r="AN14" s="59">
        <f>AM14*(1-Assumptions!$E$18)</f>
        <v>420579.01467577263</v>
      </c>
      <c r="AO14" s="59">
        <f>AN14*(1-Assumptions!$E$19)</f>
        <v>416331.16662754735</v>
      </c>
      <c r="AP14" s="59">
        <f>AO14*(1-Assumptions!$E$19)</f>
        <v>412126.22184460913</v>
      </c>
      <c r="AQ14" s="59">
        <f>AP14*(1-Assumptions!$E$19)</f>
        <v>407963.74700397858</v>
      </c>
      <c r="AR14" s="59">
        <f>AQ14*(1-Assumptions!$E$19)</f>
        <v>403843.31315923837</v>
      </c>
      <c r="AS14" s="59">
        <f>AR14*(1-Assumptions!$E$19)</f>
        <v>399764.49569633009</v>
      </c>
      <c r="AT14" s="59">
        <f>AS14*(1-Assumptions!$E$19)</f>
        <v>395726.87428979715</v>
      </c>
      <c r="AU14" s="59">
        <f>AT14*(1-Assumptions!$E$19)</f>
        <v>391730.03285947023</v>
      </c>
      <c r="AV14" s="59">
        <f>AU14*(1-Assumptions!$E$19)</f>
        <v>387773.55952758959</v>
      </c>
      <c r="AW14" s="59">
        <f>AV14*(1-Assumptions!$E$19)</f>
        <v>383857.04657636094</v>
      </c>
      <c r="AX14" s="59">
        <f>AW14*(1-Assumptions!$E$19)</f>
        <v>379980.09040593967</v>
      </c>
      <c r="AY14" s="59">
        <f>AX14*(1-Assumptions!$E$19)</f>
        <v>376142.29149283969</v>
      </c>
      <c r="AZ14" s="59">
        <f>AY14*(1-Assumptions!$E$19)</f>
        <v>372343.25434876198</v>
      </c>
      <c r="BA14" s="59">
        <f>AZ14*(1-Assumptions!$E$19)</f>
        <v>368582.58747983951</v>
      </c>
      <c r="BB14" s="59">
        <f>BA14*(1-Assumptions!$E$19)</f>
        <v>364859.90334629314</v>
      </c>
      <c r="BC14" s="59">
        <f>BB14*(1-Assumptions!$E$19)</f>
        <v>361174.81832249556</v>
      </c>
      <c r="BD14" s="59">
        <f>BC14*(1-Assumptions!$E$19)</f>
        <v>357526.95265743835</v>
      </c>
      <c r="BE14" s="59">
        <f>BD14*(1-Assumptions!$E$19)</f>
        <v>353915.93043559825</v>
      </c>
      <c r="BF14" s="59">
        <f>BE14*(1-Assumptions!$E$19)</f>
        <v>350341.3795381987</v>
      </c>
      <c r="BG14" s="59">
        <f>BF14*(1-Assumptions!$E$19)</f>
        <v>346802.93160486291</v>
      </c>
      <c r="BH14" s="59">
        <f>BG14*(1-Assumptions!$E$19)</f>
        <v>343300.22199565382</v>
      </c>
      <c r="BI14" s="59">
        <f>BH14*(1-Assumptions!$E$19)</f>
        <v>339832.88975349773</v>
      </c>
      <c r="BJ14" s="59">
        <f>BI14*(1-Assumptions!$E$19)</f>
        <v>336400.57756698743</v>
      </c>
      <c r="BK14" s="59">
        <f>BJ14*(1-Assumptions!$E$19)</f>
        <v>333002.93173356086</v>
      </c>
      <c r="BL14" s="59">
        <f>BK14*(1-Assumptions!$E$19)</f>
        <v>329639.60212305188</v>
      </c>
      <c r="BM14" s="59">
        <f>BL14*(1-Assumptions!$E$19)</f>
        <v>326310.24214160908</v>
      </c>
      <c r="BN14" s="59">
        <f>BM14*(1-Assumptions!$E$19)</f>
        <v>323014.50869597885</v>
      </c>
      <c r="BO14" s="59">
        <f>BN14*(1-Assumptions!$E$19)</f>
        <v>319752.06215814943</v>
      </c>
      <c r="BP14" s="59">
        <f>BO14*(1-Assumptions!$E$19)</f>
        <v>316522.5663303521</v>
      </c>
      <c r="BQ14" s="59">
        <f>BP14*(1-Assumptions!$E$19)</f>
        <v>313325.68841041555</v>
      </c>
      <c r="BR14" s="59">
        <f>BQ14*(1-Assumptions!$E$19)</f>
        <v>310161.09895747033</v>
      </c>
      <c r="BS14" s="59">
        <f>BR14*(1-Assumptions!$E$19)</f>
        <v>307028.47185799986</v>
      </c>
      <c r="BT14" s="59">
        <f>BS14*(1-Assumptions!$E$19)</f>
        <v>303927.48429223406</v>
      </c>
      <c r="BU14" s="59">
        <f>BT14*(1-Assumptions!$E$19)</f>
        <v>300857.81670088251</v>
      </c>
      <c r="BV14" s="59">
        <f>BU14*(1-Assumptions!$E$19)</f>
        <v>297819.15275220358</v>
      </c>
      <c r="BW14" s="59">
        <f>BV14*(1-Assumptions!$E$19)</f>
        <v>294811.17930940632</v>
      </c>
      <c r="BX14" s="59">
        <f>BW14*(1-Assumptions!$E$19)</f>
        <v>291833.58639838133</v>
      </c>
      <c r="BY14" s="59">
        <f>BX14*(1-Assumptions!$E$19)</f>
        <v>288886.06717575766</v>
      </c>
      <c r="BZ14" s="59">
        <f>BY14*(1-Assumptions!$E$19)</f>
        <v>285968.31789728254</v>
      </c>
      <c r="CA14" s="59">
        <f>BZ14*(1-Assumptions!$E$19)</f>
        <v>283080.03788651997</v>
      </c>
      <c r="CB14" s="59">
        <f>CA14*(1-Assumptions!$E$19)</f>
        <v>280220.92950386612</v>
      </c>
      <c r="CC14" s="59">
        <f>CB14*(1-Assumptions!$E$19)</f>
        <v>277390.69811587705</v>
      </c>
      <c r="CD14" s="59">
        <f>CC14*(1-Assumptions!$E$19)</f>
        <v>274589.05206490669</v>
      </c>
      <c r="CE14" s="59">
        <f>CD14*(1-Assumptions!$E$19)</f>
        <v>271815.70263905113</v>
      </c>
      <c r="CF14" s="59">
        <f>CE14*(1-Assumptions!$E$19)</f>
        <v>269070.36404239672</v>
      </c>
      <c r="CG14" s="59">
        <f>CF14*(1-Assumptions!$E$19)</f>
        <v>266352.75336556853</v>
      </c>
      <c r="CH14" s="59">
        <f>CG14*(1-Assumptions!$E$19)</f>
        <v>263662.59055657627</v>
      </c>
      <c r="CI14" s="59">
        <f>CH14*(1-Assumptions!$E$19)</f>
        <v>260999.59839195485</v>
      </c>
      <c r="CJ14" s="59">
        <f>CI14*(1-Assumptions!$E$19)</f>
        <v>258363.50244819612</v>
      </c>
      <c r="CK14" s="59">
        <f>CJ14*(1-Assumptions!$E$19)</f>
        <v>255754.03107346935</v>
      </c>
      <c r="CL14" s="59">
        <f>CK14*(1-Assumptions!$E$19)</f>
        <v>253170.91535962731</v>
      </c>
      <c r="CM14" s="59">
        <f>CL14*(1-Assumptions!$E$19)</f>
        <v>250613.88911449508</v>
      </c>
      <c r="CN14" s="59">
        <f>CM14*(1-Assumptions!$E$19)</f>
        <v>248082.68883443868</v>
      </c>
      <c r="CO14" s="59">
        <f>CN14*(1-Assumptions!$E$19)</f>
        <v>245577.05367721085</v>
      </c>
      <c r="CP14" s="59">
        <f>CO14*(1-Assumptions!$E$19)</f>
        <v>243096.72543507101</v>
      </c>
      <c r="CQ14" s="59">
        <f>CP14*(1-Assumptions!$E$19)</f>
        <v>240641.44850817681</v>
      </c>
      <c r="CR14" s="59">
        <f>CQ14*(1-Assumptions!$E$19)</f>
        <v>238210.96987824421</v>
      </c>
      <c r="CS14" s="59">
        <f>CR14*(1-Assumptions!$E$19)</f>
        <v>235805.03908247396</v>
      </c>
      <c r="CT14" s="59">
        <f>CS14*(1-Assumptions!$E$19)</f>
        <v>233423.40818774098</v>
      </c>
      <c r="CU14" s="59">
        <f>CT14*(1-Assumptions!$E$19)</f>
        <v>231065.8317650448</v>
      </c>
      <c r="CV14" s="59">
        <f>CU14*(1-Assumptions!$E$19)</f>
        <v>228732.06686421784</v>
      </c>
      <c r="CW14" s="59">
        <f>CV14*(1-Assumptions!$E$19)</f>
        <v>226421.87298888923</v>
      </c>
      <c r="CX14" s="59">
        <f>CW14*(1-Assumptions!$E$19)</f>
        <v>224135.01207170144</v>
      </c>
      <c r="CY14" s="59">
        <f>CX14*(1-Assumptions!$E$19)</f>
        <v>221871.24844977725</v>
      </c>
      <c r="CZ14" s="59">
        <f>CY14*(1-Assumptions!$E$19)</f>
        <v>219630.34884043451</v>
      </c>
      <c r="DA14" s="59">
        <f>CZ14*(1-Assumptions!$E$19)</f>
        <v>217412.08231714612</v>
      </c>
      <c r="DB14" s="59">
        <f>DA14*(1-Assumptions!$E$19)</f>
        <v>215216.22028574295</v>
      </c>
      <c r="DC14" s="59">
        <f>DB14*(1-Assumptions!$E$19)</f>
        <v>213042.53646085694</v>
      </c>
      <c r="DD14" s="59">
        <f>DC14*(1-Assumptions!$E$19)</f>
        <v>210890.80684260229</v>
      </c>
      <c r="DE14" s="59">
        <f>DD14*(1-Assumptions!$E$19)</f>
        <v>208760.80969349202</v>
      </c>
      <c r="DF14" s="59">
        <f>DE14*(1-Assumptions!$E$19)</f>
        <v>206652.32551558776</v>
      </c>
      <c r="DG14" s="59">
        <f>DF14*(1-Assumptions!$E$19)</f>
        <v>204565.13702788032</v>
      </c>
      <c r="DH14" s="59">
        <f>DG14*(1-Assumptions!$E$19)</f>
        <v>202499.02914389872</v>
      </c>
      <c r="DI14" s="59">
        <f>DH14*(1-Assumptions!$E$19)</f>
        <v>200453.78894954536</v>
      </c>
      <c r="DJ14" s="59">
        <f>DI14*(1-Assumptions!$E$19)</f>
        <v>198429.20568115494</v>
      </c>
      <c r="DK14" s="59">
        <f>DJ14*(1-Assumptions!$E$19)</f>
        <v>196425.07070377527</v>
      </c>
      <c r="DL14" s="59">
        <f>DK14*(1-Assumptions!$E$19)</f>
        <v>194441.17748966714</v>
      </c>
      <c r="DM14" s="59">
        <f>DL14*(1-Assumptions!$E$19)</f>
        <v>192477.32159702151</v>
      </c>
      <c r="DN14" s="59">
        <f>DM14*(1-Assumptions!$E$19)</f>
        <v>190533.3006488916</v>
      </c>
      <c r="DO14" s="59">
        <f>DN14*(1-Assumptions!$E$19)</f>
        <v>188608.91431233779</v>
      </c>
      <c r="DP14" s="59">
        <f>DO14*(1-Assumptions!$E$19)</f>
        <v>186703.96427778318</v>
      </c>
      <c r="DQ14" s="59">
        <f>DP14*(1-Assumptions!$E$19)</f>
        <v>184818.25423857756</v>
      </c>
      <c r="DR14" s="59">
        <f>DQ14*(1-Assumptions!$E$19)</f>
        <v>182951.58987076793</v>
      </c>
      <c r="DS14" s="59">
        <f>DR14*(1-Assumptions!$E$19)</f>
        <v>181103.77881307318</v>
      </c>
      <c r="DT14" s="59">
        <f>DS14*(1-Assumptions!$E$19)</f>
        <v>179274.63064706113</v>
      </c>
      <c r="DU14" s="76"/>
    </row>
    <row r="15" spans="1:125" x14ac:dyDescent="0.4">
      <c r="B15" s="39"/>
      <c r="C15" s="55" t="s">
        <v>61</v>
      </c>
      <c r="D15" s="62"/>
      <c r="E15" s="87">
        <f>Assumptions!F6</f>
        <v>70000</v>
      </c>
      <c r="F15" s="59">
        <f>E15*(1-Assumptions!$F$16)</f>
        <v>69293</v>
      </c>
      <c r="G15" s="59">
        <f>F15*(1-Assumptions!$F$16)</f>
        <v>68593.140700000004</v>
      </c>
      <c r="H15" s="59">
        <f>G15*(1-Assumptions!$F$16)</f>
        <v>67900.349978929997</v>
      </c>
      <c r="I15" s="59">
        <f>H15*(1-Assumptions!$F$16)</f>
        <v>67214.5564441428</v>
      </c>
      <c r="J15" s="59">
        <f>I15*(1-Assumptions!$F$16)</f>
        <v>66535.689424056953</v>
      </c>
      <c r="K15" s="59">
        <f>J15*(1-Assumptions!$F$16)</f>
        <v>65863.678960873978</v>
      </c>
      <c r="L15" s="59">
        <f>K15*(1-Assumptions!$F$16)</f>
        <v>65198.45580336915</v>
      </c>
      <c r="M15" s="59">
        <f>L15*(1-Assumptions!$F$16)</f>
        <v>64539.951399755118</v>
      </c>
      <c r="N15" s="59">
        <f>M15*(1-Assumptions!$F$16)</f>
        <v>63888.097890617595</v>
      </c>
      <c r="O15" s="59">
        <f>N15*(1-Assumptions!$F$16)</f>
        <v>63242.828101922358</v>
      </c>
      <c r="P15" s="59">
        <f>O15*(1-Assumptions!$F$16)</f>
        <v>62604.07553809294</v>
      </c>
      <c r="Q15" s="59">
        <f>P15*(1-Assumptions!$F$17)</f>
        <v>61971.774375158202</v>
      </c>
      <c r="R15" s="59">
        <f>Q15*(1-Assumptions!$F$17)</f>
        <v>61345.859453969104</v>
      </c>
      <c r="S15" s="59">
        <f>R15*(1-Assumptions!$F$17)</f>
        <v>60726.26627348402</v>
      </c>
      <c r="T15" s="59">
        <f>S15*(1-Assumptions!$F$17)</f>
        <v>60112.930984121835</v>
      </c>
      <c r="U15" s="59">
        <f>T15*(1-Assumptions!$F$17)</f>
        <v>59505.790381182203</v>
      </c>
      <c r="V15" s="59">
        <f>U15*(1-Assumptions!$F$17)</f>
        <v>58904.781898332265</v>
      </c>
      <c r="W15" s="59">
        <f>V15*(1-Assumptions!$F$17)</f>
        <v>58309.843601159111</v>
      </c>
      <c r="X15" s="59">
        <f>W15*(1-Assumptions!$F$17)</f>
        <v>57720.914180787404</v>
      </c>
      <c r="Y15" s="59">
        <f>X15*(1-Assumptions!$F$17)</f>
        <v>57137.93294756145</v>
      </c>
      <c r="Z15" s="59">
        <f>Y15*(1-Assumptions!$F$17)</f>
        <v>56560.839824791081</v>
      </c>
      <c r="AA15" s="59">
        <f>Z15*(1-Assumptions!$F$17)</f>
        <v>55989.575342560689</v>
      </c>
      <c r="AB15" s="59">
        <f>AA15*(1-Assumptions!$F$17)</f>
        <v>55424.080631600824</v>
      </c>
      <c r="AC15" s="59">
        <f>AB15*(1-Assumptions!$F$18)</f>
        <v>54864.297417221656</v>
      </c>
      <c r="AD15" s="59">
        <f>AC15*(1-Assumptions!$F$18)</f>
        <v>54310.168013307717</v>
      </c>
      <c r="AE15" s="59">
        <f>AD15*(1-Assumptions!$F$18)</f>
        <v>53761.635316373307</v>
      </c>
      <c r="AF15" s="59">
        <f>AE15*(1-Assumptions!$F$18)</f>
        <v>53218.642799677938</v>
      </c>
      <c r="AG15" s="59">
        <f>AF15*(1-Assumptions!$F$18)</f>
        <v>52681.134507401192</v>
      </c>
      <c r="AH15" s="59">
        <f>AG15*(1-Assumptions!$F$18)</f>
        <v>52149.055048876442</v>
      </c>
      <c r="AI15" s="59">
        <f>AH15*(1-Assumptions!$F$18)</f>
        <v>51622.349592882791</v>
      </c>
      <c r="AJ15" s="59">
        <f>AI15*(1-Assumptions!$F$18)</f>
        <v>51100.963861994678</v>
      </c>
      <c r="AK15" s="59">
        <f>AJ15*(1-Assumptions!$F$18)</f>
        <v>50584.84412698853</v>
      </c>
      <c r="AL15" s="59">
        <f>AK15*(1-Assumptions!$F$18)</f>
        <v>50073.937201305947</v>
      </c>
      <c r="AM15" s="59">
        <f>AL15*(1-Assumptions!$F$18)</f>
        <v>49568.19043557276</v>
      </c>
      <c r="AN15" s="59">
        <f>AM15*(1-Assumptions!$F$18)</f>
        <v>49067.551712173474</v>
      </c>
      <c r="AO15" s="59">
        <f>AN15*(1-Assumptions!$F$19)</f>
        <v>48571.969439880522</v>
      </c>
      <c r="AP15" s="59">
        <f>AO15*(1-Assumptions!$F$19)</f>
        <v>48081.392548537726</v>
      </c>
      <c r="AQ15" s="59">
        <f>AP15*(1-Assumptions!$F$19)</f>
        <v>47595.770483797496</v>
      </c>
      <c r="AR15" s="59">
        <f>AQ15*(1-Assumptions!$F$19)</f>
        <v>47115.053201911142</v>
      </c>
      <c r="AS15" s="59">
        <f>AR15*(1-Assumptions!$F$19)</f>
        <v>46639.191164571836</v>
      </c>
      <c r="AT15" s="59">
        <f>AS15*(1-Assumptions!$F$19)</f>
        <v>46168.13533380966</v>
      </c>
      <c r="AU15" s="59">
        <f>AT15*(1-Assumptions!$F$19)</f>
        <v>45701.837166938181</v>
      </c>
      <c r="AV15" s="59">
        <f>AU15*(1-Assumptions!$F$19)</f>
        <v>45240.248611552102</v>
      </c>
      <c r="AW15" s="59">
        <f>AV15*(1-Assumptions!$F$19)</f>
        <v>44783.322100575424</v>
      </c>
      <c r="AX15" s="59">
        <f>AW15*(1-Assumptions!$F$19)</f>
        <v>44331.010547359612</v>
      </c>
      <c r="AY15" s="59">
        <f>AX15*(1-Assumptions!$F$19)</f>
        <v>43883.267340831277</v>
      </c>
      <c r="AZ15" s="59">
        <f>AY15*(1-Assumptions!$F$19)</f>
        <v>43440.046340688881</v>
      </c>
      <c r="BA15" s="59">
        <f>AZ15*(1-Assumptions!$F$19)</f>
        <v>43001.30187264792</v>
      </c>
      <c r="BB15" s="59">
        <f>BA15*(1-Assumptions!$F$19)</f>
        <v>42566.988723734175</v>
      </c>
      <c r="BC15" s="59">
        <f>BB15*(1-Assumptions!$F$19)</f>
        <v>42137.06213762446</v>
      </c>
      <c r="BD15" s="59">
        <f>BC15*(1-Assumptions!$F$19)</f>
        <v>41711.477810034456</v>
      </c>
      <c r="BE15" s="59">
        <f>BD15*(1-Assumptions!$F$19)</f>
        <v>41290.191884153108</v>
      </c>
      <c r="BF15" s="59">
        <f>BE15*(1-Assumptions!$F$19)</f>
        <v>40873.160946123164</v>
      </c>
      <c r="BG15" s="59">
        <f>BF15*(1-Assumptions!$F$19)</f>
        <v>40460.342020567317</v>
      </c>
      <c r="BH15" s="59">
        <f>BG15*(1-Assumptions!$F$19)</f>
        <v>40051.692566159589</v>
      </c>
      <c r="BI15" s="59">
        <f>BH15*(1-Assumptions!$F$19)</f>
        <v>39647.170471241378</v>
      </c>
      <c r="BJ15" s="59">
        <f>BI15*(1-Assumptions!$F$19)</f>
        <v>39246.734049481842</v>
      </c>
      <c r="BK15" s="59">
        <f>BJ15*(1-Assumptions!$F$19)</f>
        <v>38850.342035582078</v>
      </c>
      <c r="BL15" s="59">
        <f>BK15*(1-Assumptions!$F$19)</f>
        <v>38457.953581022703</v>
      </c>
      <c r="BM15" s="59">
        <f>BL15*(1-Assumptions!$F$19)</f>
        <v>38069.528249854375</v>
      </c>
      <c r="BN15" s="59">
        <f>BM15*(1-Assumptions!$F$19)</f>
        <v>37685.026014530842</v>
      </c>
      <c r="BO15" s="59">
        <f>BN15*(1-Assumptions!$F$19)</f>
        <v>37304.407251784083</v>
      </c>
      <c r="BP15" s="59">
        <f>BO15*(1-Assumptions!$F$19)</f>
        <v>36927.632738541062</v>
      </c>
      <c r="BQ15" s="59">
        <f>BP15*(1-Assumptions!$F$19)</f>
        <v>36554.663647881796</v>
      </c>
      <c r="BR15" s="59">
        <f>BQ15*(1-Assumptions!$F$19)</f>
        <v>36185.46154503819</v>
      </c>
      <c r="BS15" s="59">
        <f>BR15*(1-Assumptions!$F$19)</f>
        <v>35819.988383433301</v>
      </c>
      <c r="BT15" s="59">
        <f>BS15*(1-Assumptions!$F$19)</f>
        <v>35458.206500760622</v>
      </c>
      <c r="BU15" s="59">
        <f>BT15*(1-Assumptions!$F$19)</f>
        <v>35100.078615102939</v>
      </c>
      <c r="BV15" s="59">
        <f>BU15*(1-Assumptions!$F$19)</f>
        <v>34745.567821090401</v>
      </c>
      <c r="BW15" s="59">
        <f>BV15*(1-Assumptions!$F$19)</f>
        <v>34394.637586097386</v>
      </c>
      <c r="BX15" s="59">
        <f>BW15*(1-Assumptions!$F$19)</f>
        <v>34047.251746477799</v>
      </c>
      <c r="BY15" s="59">
        <f>BX15*(1-Assumptions!$F$19)</f>
        <v>33703.374503838371</v>
      </c>
      <c r="BZ15" s="59">
        <f>BY15*(1-Assumptions!$F$19)</f>
        <v>33362.970421349601</v>
      </c>
      <c r="CA15" s="59">
        <f>BZ15*(1-Assumptions!$F$19)</f>
        <v>33026.004420093966</v>
      </c>
      <c r="CB15" s="59">
        <f>CA15*(1-Assumptions!$F$19)</f>
        <v>32692.441775451018</v>
      </c>
      <c r="CC15" s="59">
        <f>CB15*(1-Assumptions!$F$19)</f>
        <v>32362.248113518963</v>
      </c>
      <c r="CD15" s="59">
        <f>CC15*(1-Assumptions!$F$19)</f>
        <v>32035.38940757242</v>
      </c>
      <c r="CE15" s="59">
        <f>CD15*(1-Assumptions!$F$19)</f>
        <v>31711.831974555938</v>
      </c>
      <c r="CF15" s="59">
        <f>CE15*(1-Assumptions!$F$19)</f>
        <v>31391.542471612924</v>
      </c>
      <c r="CG15" s="59">
        <f>CF15*(1-Assumptions!$F$19)</f>
        <v>31074.487892649635</v>
      </c>
      <c r="CH15" s="59">
        <f>CG15*(1-Assumptions!$F$19)</f>
        <v>30760.635564933873</v>
      </c>
      <c r="CI15" s="59">
        <f>CH15*(1-Assumptions!$F$19)</f>
        <v>30449.953145728039</v>
      </c>
      <c r="CJ15" s="59">
        <f>CI15*(1-Assumptions!$F$19)</f>
        <v>30142.408618956186</v>
      </c>
      <c r="CK15" s="59">
        <f>CJ15*(1-Assumptions!$F$19)</f>
        <v>29837.970291904727</v>
      </c>
      <c r="CL15" s="59">
        <f>CK15*(1-Assumptions!$F$19)</f>
        <v>29536.606791956488</v>
      </c>
      <c r="CM15" s="59">
        <f>CL15*(1-Assumptions!$F$19)</f>
        <v>29238.287063357729</v>
      </c>
      <c r="CN15" s="59">
        <f>CM15*(1-Assumptions!$F$19)</f>
        <v>28942.980364017818</v>
      </c>
      <c r="CO15" s="59">
        <f>CN15*(1-Assumptions!$F$19)</f>
        <v>28650.656262341239</v>
      </c>
      <c r="CP15" s="59">
        <f>CO15*(1-Assumptions!$F$19)</f>
        <v>28361.284634091593</v>
      </c>
      <c r="CQ15" s="59">
        <f>CP15*(1-Assumptions!$F$19)</f>
        <v>28074.83565928727</v>
      </c>
      <c r="CR15" s="59">
        <f>CQ15*(1-Assumptions!$F$19)</f>
        <v>27791.279819128467</v>
      </c>
      <c r="CS15" s="59">
        <f>CR15*(1-Assumptions!$F$19)</f>
        <v>27510.587892955271</v>
      </c>
      <c r="CT15" s="59">
        <f>CS15*(1-Assumptions!$F$19)</f>
        <v>27232.730955236424</v>
      </c>
      <c r="CU15" s="59">
        <f>CT15*(1-Assumptions!$F$19)</f>
        <v>26957.680372588537</v>
      </c>
      <c r="CV15" s="59">
        <f>CU15*(1-Assumptions!$F$19)</f>
        <v>26685.407800825393</v>
      </c>
      <c r="CW15" s="59">
        <f>CV15*(1-Assumptions!$F$19)</f>
        <v>26415.885182037055</v>
      </c>
      <c r="CX15" s="59">
        <f>CW15*(1-Assumptions!$F$19)</f>
        <v>26149.08474169848</v>
      </c>
      <c r="CY15" s="59">
        <f>CX15*(1-Assumptions!$F$19)</f>
        <v>25884.978985807324</v>
      </c>
      <c r="CZ15" s="59">
        <f>CY15*(1-Assumptions!$F$19)</f>
        <v>25623.54069805067</v>
      </c>
      <c r="DA15" s="59">
        <f>CZ15*(1-Assumptions!$F$19)</f>
        <v>25364.742937000359</v>
      </c>
      <c r="DB15" s="59">
        <f>DA15*(1-Assumptions!$F$19)</f>
        <v>25108.559033336656</v>
      </c>
      <c r="DC15" s="59">
        <f>DB15*(1-Assumptions!$F$19)</f>
        <v>24854.962587099955</v>
      </c>
      <c r="DD15" s="59">
        <f>DC15*(1-Assumptions!$F$19)</f>
        <v>24603.927464970246</v>
      </c>
      <c r="DE15" s="59">
        <f>DD15*(1-Assumptions!$F$19)</f>
        <v>24355.427797574048</v>
      </c>
      <c r="DF15" s="59">
        <f>DE15*(1-Assumptions!$F$19)</f>
        <v>24109.43797681855</v>
      </c>
      <c r="DG15" s="59">
        <f>DF15*(1-Assumptions!$F$19)</f>
        <v>23865.932653252683</v>
      </c>
      <c r="DH15" s="59">
        <f>DG15*(1-Assumptions!$F$19)</f>
        <v>23624.88673345483</v>
      </c>
      <c r="DI15" s="59">
        <f>DH15*(1-Assumptions!$F$19)</f>
        <v>23386.275377446938</v>
      </c>
      <c r="DJ15" s="59">
        <f>DI15*(1-Assumptions!$F$19)</f>
        <v>23150.073996134724</v>
      </c>
      <c r="DK15" s="59">
        <f>DJ15*(1-Assumptions!$F$19)</f>
        <v>22916.258248773764</v>
      </c>
      <c r="DL15" s="59">
        <f>DK15*(1-Assumptions!$F$19)</f>
        <v>22684.804040461149</v>
      </c>
      <c r="DM15" s="59">
        <f>DL15*(1-Assumptions!$F$19)</f>
        <v>22455.687519652492</v>
      </c>
      <c r="DN15" s="59">
        <f>DM15*(1-Assumptions!$F$19)</f>
        <v>22228.885075704002</v>
      </c>
      <c r="DO15" s="59">
        <f>DN15*(1-Assumptions!$F$19)</f>
        <v>22004.373336439392</v>
      </c>
      <c r="DP15" s="59">
        <f>DO15*(1-Assumptions!$F$19)</f>
        <v>21782.129165741353</v>
      </c>
      <c r="DQ15" s="59">
        <f>DP15*(1-Assumptions!$F$19)</f>
        <v>21562.129661167364</v>
      </c>
      <c r="DR15" s="59">
        <f>DQ15*(1-Assumptions!$F$19)</f>
        <v>21344.352151589574</v>
      </c>
      <c r="DS15" s="59">
        <f>DR15*(1-Assumptions!$F$19)</f>
        <v>21128.774194858521</v>
      </c>
      <c r="DT15" s="59">
        <f>DS15*(1-Assumptions!$F$19)</f>
        <v>20915.373575490448</v>
      </c>
      <c r="DU15" s="76"/>
    </row>
    <row r="16" spans="1:125" x14ac:dyDescent="0.4">
      <c r="B16" s="39"/>
      <c r="C16" s="1" t="s">
        <v>13</v>
      </c>
      <c r="D16" s="62"/>
      <c r="E16" s="59">
        <f>SUM(E17:E18)</f>
        <v>0</v>
      </c>
      <c r="F16" s="59">
        <f t="shared" ref="F16:BQ16" si="5">SUM(F17:F18)</f>
        <v>0</v>
      </c>
      <c r="G16" s="59">
        <f t="shared" si="5"/>
        <v>0</v>
      </c>
      <c r="H16" s="59">
        <f t="shared" si="5"/>
        <v>0</v>
      </c>
      <c r="I16" s="59">
        <f t="shared" si="5"/>
        <v>0</v>
      </c>
      <c r="J16" s="59">
        <f t="shared" si="5"/>
        <v>0</v>
      </c>
      <c r="K16" s="59">
        <f t="shared" si="5"/>
        <v>0</v>
      </c>
      <c r="L16" s="59">
        <f t="shared" si="5"/>
        <v>0</v>
      </c>
      <c r="M16" s="59">
        <f t="shared" si="5"/>
        <v>0</v>
      </c>
      <c r="N16" s="59">
        <f t="shared" si="5"/>
        <v>0</v>
      </c>
      <c r="O16" s="59">
        <f t="shared" si="5"/>
        <v>0</v>
      </c>
      <c r="P16" s="59">
        <f t="shared" si="5"/>
        <v>0</v>
      </c>
      <c r="Q16" s="59">
        <f t="shared" si="5"/>
        <v>0</v>
      </c>
      <c r="R16" s="59">
        <f t="shared" si="5"/>
        <v>0</v>
      </c>
      <c r="S16" s="59">
        <f t="shared" si="5"/>
        <v>0</v>
      </c>
      <c r="T16" s="59">
        <f t="shared" si="5"/>
        <v>0</v>
      </c>
      <c r="U16" s="59">
        <f t="shared" si="5"/>
        <v>0</v>
      </c>
      <c r="V16" s="59">
        <f t="shared" si="5"/>
        <v>0</v>
      </c>
      <c r="W16" s="59">
        <f t="shared" si="5"/>
        <v>0</v>
      </c>
      <c r="X16" s="59">
        <f t="shared" si="5"/>
        <v>0</v>
      </c>
      <c r="Y16" s="59">
        <f t="shared" si="5"/>
        <v>0</v>
      </c>
      <c r="Z16" s="59">
        <f t="shared" si="5"/>
        <v>0</v>
      </c>
      <c r="AA16" s="59">
        <f t="shared" si="5"/>
        <v>0</v>
      </c>
      <c r="AB16" s="59">
        <f t="shared" si="5"/>
        <v>0</v>
      </c>
      <c r="AC16" s="59">
        <f t="shared" si="5"/>
        <v>0</v>
      </c>
      <c r="AD16" s="59">
        <f t="shared" si="5"/>
        <v>0</v>
      </c>
      <c r="AE16" s="59">
        <f t="shared" si="5"/>
        <v>0</v>
      </c>
      <c r="AF16" s="59">
        <f t="shared" si="5"/>
        <v>0</v>
      </c>
      <c r="AG16" s="59">
        <f t="shared" si="5"/>
        <v>0</v>
      </c>
      <c r="AH16" s="59">
        <f t="shared" si="5"/>
        <v>0</v>
      </c>
      <c r="AI16" s="59">
        <f t="shared" si="5"/>
        <v>0</v>
      </c>
      <c r="AJ16" s="59">
        <f t="shared" si="5"/>
        <v>0</v>
      </c>
      <c r="AK16" s="59">
        <f t="shared" si="5"/>
        <v>0</v>
      </c>
      <c r="AL16" s="59">
        <f t="shared" si="5"/>
        <v>0</v>
      </c>
      <c r="AM16" s="59">
        <f t="shared" si="5"/>
        <v>0</v>
      </c>
      <c r="AN16" s="59">
        <f t="shared" si="5"/>
        <v>0</v>
      </c>
      <c r="AO16" s="59">
        <f t="shared" si="5"/>
        <v>0</v>
      </c>
      <c r="AP16" s="59">
        <f t="shared" si="5"/>
        <v>0</v>
      </c>
      <c r="AQ16" s="59">
        <f t="shared" si="5"/>
        <v>0</v>
      </c>
      <c r="AR16" s="59">
        <f t="shared" si="5"/>
        <v>0</v>
      </c>
      <c r="AS16" s="59">
        <f t="shared" si="5"/>
        <v>0</v>
      </c>
      <c r="AT16" s="59">
        <f t="shared" si="5"/>
        <v>0</v>
      </c>
      <c r="AU16" s="59">
        <f t="shared" si="5"/>
        <v>0</v>
      </c>
      <c r="AV16" s="59">
        <f t="shared" si="5"/>
        <v>0</v>
      </c>
      <c r="AW16" s="59">
        <f t="shared" si="5"/>
        <v>0</v>
      </c>
      <c r="AX16" s="59">
        <f t="shared" si="5"/>
        <v>0</v>
      </c>
      <c r="AY16" s="59">
        <f t="shared" si="5"/>
        <v>0</v>
      </c>
      <c r="AZ16" s="59">
        <f t="shared" si="5"/>
        <v>0</v>
      </c>
      <c r="BA16" s="59">
        <f t="shared" si="5"/>
        <v>0</v>
      </c>
      <c r="BB16" s="59">
        <f t="shared" si="5"/>
        <v>0</v>
      </c>
      <c r="BC16" s="59">
        <f t="shared" si="5"/>
        <v>0</v>
      </c>
      <c r="BD16" s="59">
        <f t="shared" si="5"/>
        <v>0</v>
      </c>
      <c r="BE16" s="59">
        <f t="shared" si="5"/>
        <v>0</v>
      </c>
      <c r="BF16" s="59">
        <f t="shared" si="5"/>
        <v>0</v>
      </c>
      <c r="BG16" s="59">
        <f t="shared" si="5"/>
        <v>0</v>
      </c>
      <c r="BH16" s="59">
        <f t="shared" si="5"/>
        <v>0</v>
      </c>
      <c r="BI16" s="59">
        <f t="shared" si="5"/>
        <v>0</v>
      </c>
      <c r="BJ16" s="59">
        <f t="shared" si="5"/>
        <v>0</v>
      </c>
      <c r="BK16" s="59">
        <f t="shared" si="5"/>
        <v>0</v>
      </c>
      <c r="BL16" s="59">
        <f t="shared" si="5"/>
        <v>0</v>
      </c>
      <c r="BM16" s="59">
        <f t="shared" si="5"/>
        <v>0</v>
      </c>
      <c r="BN16" s="59">
        <f t="shared" si="5"/>
        <v>0</v>
      </c>
      <c r="BO16" s="59">
        <f t="shared" si="5"/>
        <v>0</v>
      </c>
      <c r="BP16" s="59">
        <f t="shared" si="5"/>
        <v>0</v>
      </c>
      <c r="BQ16" s="59">
        <f t="shared" si="5"/>
        <v>0</v>
      </c>
      <c r="BR16" s="59">
        <f t="shared" ref="BR16:DU16" si="6">SUM(BR17:BR18)</f>
        <v>0</v>
      </c>
      <c r="BS16" s="59">
        <f t="shared" si="6"/>
        <v>0</v>
      </c>
      <c r="BT16" s="59">
        <f t="shared" si="6"/>
        <v>0</v>
      </c>
      <c r="BU16" s="59">
        <f t="shared" si="6"/>
        <v>0</v>
      </c>
      <c r="BV16" s="59">
        <f t="shared" si="6"/>
        <v>0</v>
      </c>
      <c r="BW16" s="59">
        <f t="shared" si="6"/>
        <v>0</v>
      </c>
      <c r="BX16" s="59">
        <f t="shared" si="6"/>
        <v>0</v>
      </c>
      <c r="BY16" s="59">
        <f t="shared" si="6"/>
        <v>0</v>
      </c>
      <c r="BZ16" s="59">
        <f t="shared" si="6"/>
        <v>0</v>
      </c>
      <c r="CA16" s="59">
        <f t="shared" si="6"/>
        <v>0</v>
      </c>
      <c r="CB16" s="59">
        <f t="shared" si="6"/>
        <v>0</v>
      </c>
      <c r="CC16" s="59">
        <f t="shared" si="6"/>
        <v>0</v>
      </c>
      <c r="CD16" s="59">
        <f t="shared" si="6"/>
        <v>0</v>
      </c>
      <c r="CE16" s="59">
        <f t="shared" si="6"/>
        <v>0</v>
      </c>
      <c r="CF16" s="59">
        <f t="shared" si="6"/>
        <v>0</v>
      </c>
      <c r="CG16" s="59">
        <f t="shared" si="6"/>
        <v>0</v>
      </c>
      <c r="CH16" s="59">
        <f t="shared" si="6"/>
        <v>0</v>
      </c>
      <c r="CI16" s="59">
        <f t="shared" si="6"/>
        <v>0</v>
      </c>
      <c r="CJ16" s="59">
        <f t="shared" si="6"/>
        <v>0</v>
      </c>
      <c r="CK16" s="59">
        <f t="shared" si="6"/>
        <v>0</v>
      </c>
      <c r="CL16" s="59">
        <f t="shared" si="6"/>
        <v>0</v>
      </c>
      <c r="CM16" s="59">
        <f t="shared" si="6"/>
        <v>0</v>
      </c>
      <c r="CN16" s="59">
        <f t="shared" si="6"/>
        <v>0</v>
      </c>
      <c r="CO16" s="59">
        <f t="shared" si="6"/>
        <v>0</v>
      </c>
      <c r="CP16" s="59">
        <f t="shared" si="6"/>
        <v>0</v>
      </c>
      <c r="CQ16" s="59">
        <f t="shared" si="6"/>
        <v>0</v>
      </c>
      <c r="CR16" s="59">
        <f t="shared" si="6"/>
        <v>0</v>
      </c>
      <c r="CS16" s="59">
        <f t="shared" si="6"/>
        <v>0</v>
      </c>
      <c r="CT16" s="59">
        <f t="shared" si="6"/>
        <v>0</v>
      </c>
      <c r="CU16" s="59">
        <f t="shared" si="6"/>
        <v>0</v>
      </c>
      <c r="CV16" s="59">
        <f t="shared" si="6"/>
        <v>0</v>
      </c>
      <c r="CW16" s="59">
        <f t="shared" si="6"/>
        <v>0</v>
      </c>
      <c r="CX16" s="59">
        <f t="shared" si="6"/>
        <v>0</v>
      </c>
      <c r="CY16" s="59">
        <f t="shared" si="6"/>
        <v>0</v>
      </c>
      <c r="CZ16" s="59">
        <f t="shared" si="6"/>
        <v>0</v>
      </c>
      <c r="DA16" s="59">
        <f t="shared" si="6"/>
        <v>0</v>
      </c>
      <c r="DB16" s="59">
        <f t="shared" si="6"/>
        <v>0</v>
      </c>
      <c r="DC16" s="59">
        <f t="shared" si="6"/>
        <v>0</v>
      </c>
      <c r="DD16" s="59">
        <f t="shared" si="6"/>
        <v>0</v>
      </c>
      <c r="DE16" s="59">
        <f t="shared" si="6"/>
        <v>0</v>
      </c>
      <c r="DF16" s="59">
        <f t="shared" si="6"/>
        <v>0</v>
      </c>
      <c r="DG16" s="59">
        <f t="shared" si="6"/>
        <v>0</v>
      </c>
      <c r="DH16" s="59">
        <f t="shared" si="6"/>
        <v>0</v>
      </c>
      <c r="DI16" s="59">
        <f t="shared" si="6"/>
        <v>0</v>
      </c>
      <c r="DJ16" s="59">
        <f t="shared" si="6"/>
        <v>0</v>
      </c>
      <c r="DK16" s="59">
        <f t="shared" si="6"/>
        <v>0</v>
      </c>
      <c r="DL16" s="59">
        <f t="shared" si="6"/>
        <v>0</v>
      </c>
      <c r="DM16" s="59">
        <f t="shared" si="6"/>
        <v>0</v>
      </c>
      <c r="DN16" s="59">
        <f t="shared" si="6"/>
        <v>0</v>
      </c>
      <c r="DO16" s="59">
        <f t="shared" si="6"/>
        <v>0</v>
      </c>
      <c r="DP16" s="59">
        <f t="shared" si="6"/>
        <v>0</v>
      </c>
      <c r="DQ16" s="59">
        <f t="shared" si="6"/>
        <v>0</v>
      </c>
      <c r="DR16" s="59">
        <f t="shared" si="6"/>
        <v>0</v>
      </c>
      <c r="DS16" s="59">
        <f t="shared" si="6"/>
        <v>0</v>
      </c>
      <c r="DT16" s="59">
        <f t="shared" si="6"/>
        <v>0</v>
      </c>
      <c r="DU16" s="88">
        <f t="shared" si="6"/>
        <v>1201140.0253353093</v>
      </c>
    </row>
    <row r="17" spans="1:125" x14ac:dyDescent="0.4">
      <c r="B17" s="39"/>
      <c r="C17" s="55" t="s">
        <v>60</v>
      </c>
      <c r="D17" s="62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60">
        <f>DT14*Assumptions!E35</f>
        <v>1075647.7838823667</v>
      </c>
    </row>
    <row r="18" spans="1:125" x14ac:dyDescent="0.4">
      <c r="B18" s="39"/>
      <c r="C18" s="55" t="s">
        <v>61</v>
      </c>
      <c r="D18" s="62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60">
        <f>DT15*Assumptions!F35</f>
        <v>125492.24145294269</v>
      </c>
    </row>
    <row r="19" spans="1:125" x14ac:dyDescent="0.4">
      <c r="A19" s="1" t="s">
        <v>36</v>
      </c>
      <c r="B19" s="78" t="s">
        <v>76</v>
      </c>
      <c r="C19" s="6"/>
      <c r="D19" s="10"/>
      <c r="E19" s="7">
        <f t="shared" ref="E19:BP19" si="7">E16+E13</f>
        <v>670000</v>
      </c>
      <c r="F19" s="7">
        <f t="shared" si="7"/>
        <v>663233</v>
      </c>
      <c r="G19" s="7">
        <f t="shared" si="7"/>
        <v>656534.34669999999</v>
      </c>
      <c r="H19" s="7">
        <f t="shared" si="7"/>
        <v>649903.34979832999</v>
      </c>
      <c r="I19" s="7">
        <f t="shared" si="7"/>
        <v>643339.32596536691</v>
      </c>
      <c r="J19" s="7">
        <f t="shared" si="7"/>
        <v>636841.5987731166</v>
      </c>
      <c r="K19" s="7">
        <f t="shared" si="7"/>
        <v>630409.49862550816</v>
      </c>
      <c r="L19" s="7">
        <f t="shared" si="7"/>
        <v>624042.36268939055</v>
      </c>
      <c r="M19" s="7">
        <f t="shared" si="7"/>
        <v>617739.5348262277</v>
      </c>
      <c r="N19" s="7">
        <f t="shared" si="7"/>
        <v>611500.3655244828</v>
      </c>
      <c r="O19" s="7">
        <f t="shared" si="7"/>
        <v>605324.21183268563</v>
      </c>
      <c r="P19" s="7">
        <f t="shared" si="7"/>
        <v>599210.43729317549</v>
      </c>
      <c r="Q19" s="7">
        <f t="shared" si="7"/>
        <v>593158.41187651444</v>
      </c>
      <c r="R19" s="7">
        <f t="shared" si="7"/>
        <v>587167.51191656152</v>
      </c>
      <c r="S19" s="7">
        <f t="shared" si="7"/>
        <v>581237.12004620431</v>
      </c>
      <c r="T19" s="7">
        <f t="shared" si="7"/>
        <v>575366.62513373757</v>
      </c>
      <c r="U19" s="7">
        <f t="shared" si="7"/>
        <v>569555.42221988679</v>
      </c>
      <c r="V19" s="7">
        <f t="shared" si="7"/>
        <v>563802.91245546599</v>
      </c>
      <c r="W19" s="7">
        <f t="shared" si="7"/>
        <v>558108.50303966575</v>
      </c>
      <c r="X19" s="7">
        <f t="shared" si="7"/>
        <v>552471.6071589652</v>
      </c>
      <c r="Y19" s="7">
        <f t="shared" si="7"/>
        <v>546891.6439266596</v>
      </c>
      <c r="Z19" s="7">
        <f t="shared" si="7"/>
        <v>541368.03832300042</v>
      </c>
      <c r="AA19" s="7">
        <f t="shared" si="7"/>
        <v>535900.22113593807</v>
      </c>
      <c r="AB19" s="7">
        <f t="shared" si="7"/>
        <v>530487.62890246511</v>
      </c>
      <c r="AC19" s="7">
        <f t="shared" si="7"/>
        <v>525129.70385055023</v>
      </c>
      <c r="AD19" s="7">
        <f t="shared" si="7"/>
        <v>519825.89384165965</v>
      </c>
      <c r="AE19" s="7">
        <f t="shared" si="7"/>
        <v>514575.65231385885</v>
      </c>
      <c r="AF19" s="7">
        <f t="shared" si="7"/>
        <v>509378.43822548888</v>
      </c>
      <c r="AG19" s="7">
        <f t="shared" si="7"/>
        <v>504233.71599941142</v>
      </c>
      <c r="AH19" s="7">
        <f t="shared" si="7"/>
        <v>499140.95546781737</v>
      </c>
      <c r="AI19" s="7">
        <f t="shared" si="7"/>
        <v>494099.63181759242</v>
      </c>
      <c r="AJ19" s="7">
        <f t="shared" si="7"/>
        <v>489109.22553623474</v>
      </c>
      <c r="AK19" s="7">
        <f t="shared" si="7"/>
        <v>484169.2223583188</v>
      </c>
      <c r="AL19" s="7">
        <f t="shared" si="7"/>
        <v>479279.11321249977</v>
      </c>
      <c r="AM19" s="7">
        <f t="shared" si="7"/>
        <v>474438.39416905353</v>
      </c>
      <c r="AN19" s="7">
        <f t="shared" si="7"/>
        <v>469646.56638794614</v>
      </c>
      <c r="AO19" s="7">
        <f t="shared" si="7"/>
        <v>464903.13606742787</v>
      </c>
      <c r="AP19" s="7">
        <f t="shared" si="7"/>
        <v>460207.61439314683</v>
      </c>
      <c r="AQ19" s="7">
        <f t="shared" si="7"/>
        <v>455559.51748777606</v>
      </c>
      <c r="AR19" s="7">
        <f t="shared" si="7"/>
        <v>450958.36636114953</v>
      </c>
      <c r="AS19" s="7">
        <f t="shared" si="7"/>
        <v>446403.68686090194</v>
      </c>
      <c r="AT19" s="7">
        <f t="shared" si="7"/>
        <v>441895.00962360681</v>
      </c>
      <c r="AU19" s="7">
        <f t="shared" si="7"/>
        <v>437431.8700264084</v>
      </c>
      <c r="AV19" s="7">
        <f t="shared" si="7"/>
        <v>433013.80813914171</v>
      </c>
      <c r="AW19" s="7">
        <f t="shared" si="7"/>
        <v>428640.36867693637</v>
      </c>
      <c r="AX19" s="7">
        <f t="shared" si="7"/>
        <v>424311.10095329926</v>
      </c>
      <c r="AY19" s="7">
        <f t="shared" si="7"/>
        <v>420025.55883367098</v>
      </c>
      <c r="AZ19" s="7">
        <f t="shared" si="7"/>
        <v>415783.30068945087</v>
      </c>
      <c r="BA19" s="7">
        <f t="shared" si="7"/>
        <v>411583.8893524874</v>
      </c>
      <c r="BB19" s="7">
        <f t="shared" si="7"/>
        <v>407426.8920700273</v>
      </c>
      <c r="BC19" s="7">
        <f t="shared" si="7"/>
        <v>403311.88046012004</v>
      </c>
      <c r="BD19" s="7">
        <f t="shared" si="7"/>
        <v>399238.43046747282</v>
      </c>
      <c r="BE19" s="7">
        <f t="shared" si="7"/>
        <v>395206.12231975136</v>
      </c>
      <c r="BF19" s="7">
        <f t="shared" si="7"/>
        <v>391214.54048432189</v>
      </c>
      <c r="BG19" s="7">
        <f t="shared" si="7"/>
        <v>387263.27362543024</v>
      </c>
      <c r="BH19" s="7">
        <f t="shared" si="7"/>
        <v>383351.91456181341</v>
      </c>
      <c r="BI19" s="7">
        <f t="shared" si="7"/>
        <v>379480.06022473914</v>
      </c>
      <c r="BJ19" s="7">
        <f t="shared" si="7"/>
        <v>375647.31161646929</v>
      </c>
      <c r="BK19" s="7">
        <f t="shared" si="7"/>
        <v>371853.27376914292</v>
      </c>
      <c r="BL19" s="7">
        <f t="shared" si="7"/>
        <v>368097.55570407456</v>
      </c>
      <c r="BM19" s="7">
        <f t="shared" si="7"/>
        <v>364379.77039146348</v>
      </c>
      <c r="BN19" s="7">
        <f t="shared" si="7"/>
        <v>360699.5347105097</v>
      </c>
      <c r="BO19" s="7">
        <f t="shared" si="7"/>
        <v>357056.46940993355</v>
      </c>
      <c r="BP19" s="7">
        <f t="shared" si="7"/>
        <v>353450.19906889315</v>
      </c>
      <c r="BQ19" s="7">
        <f t="shared" ref="BQ19:DT19" si="8">BQ16+BQ13</f>
        <v>349880.35205829737</v>
      </c>
      <c r="BR19" s="7">
        <f t="shared" si="8"/>
        <v>346346.56050250854</v>
      </c>
      <c r="BS19" s="7">
        <f t="shared" si="8"/>
        <v>342848.46024143317</v>
      </c>
      <c r="BT19" s="7">
        <f t="shared" si="8"/>
        <v>339385.69079299469</v>
      </c>
      <c r="BU19" s="7">
        <f t="shared" si="8"/>
        <v>335957.89531598543</v>
      </c>
      <c r="BV19" s="7">
        <f t="shared" si="8"/>
        <v>332564.72057329398</v>
      </c>
      <c r="BW19" s="7">
        <f t="shared" si="8"/>
        <v>329205.81689550373</v>
      </c>
      <c r="BX19" s="7">
        <f t="shared" si="8"/>
        <v>325880.83814485912</v>
      </c>
      <c r="BY19" s="7">
        <f t="shared" si="8"/>
        <v>322589.44167959603</v>
      </c>
      <c r="BZ19" s="7">
        <f t="shared" si="8"/>
        <v>319331.28831863217</v>
      </c>
      <c r="CA19" s="7">
        <f t="shared" si="8"/>
        <v>316106.04230661393</v>
      </c>
      <c r="CB19" s="7">
        <f t="shared" si="8"/>
        <v>312913.37127931713</v>
      </c>
      <c r="CC19" s="7">
        <f t="shared" si="8"/>
        <v>309752.94622939604</v>
      </c>
      <c r="CD19" s="7">
        <f t="shared" si="8"/>
        <v>306624.44147247908</v>
      </c>
      <c r="CE19" s="7">
        <f t="shared" si="8"/>
        <v>303527.53461360704</v>
      </c>
      <c r="CF19" s="7">
        <f t="shared" si="8"/>
        <v>300461.90651400964</v>
      </c>
      <c r="CG19" s="7">
        <f t="shared" si="8"/>
        <v>297427.24125821819</v>
      </c>
      <c r="CH19" s="7">
        <f t="shared" si="8"/>
        <v>294423.22612151015</v>
      </c>
      <c r="CI19" s="7">
        <f t="shared" si="8"/>
        <v>291449.55153768288</v>
      </c>
      <c r="CJ19" s="7">
        <f t="shared" si="8"/>
        <v>288505.91106715228</v>
      </c>
      <c r="CK19" s="7">
        <f t="shared" si="8"/>
        <v>285592.00136537408</v>
      </c>
      <c r="CL19" s="7">
        <f t="shared" si="8"/>
        <v>282707.52215158381</v>
      </c>
      <c r="CM19" s="7">
        <f t="shared" si="8"/>
        <v>279852.17617785279</v>
      </c>
      <c r="CN19" s="7">
        <f t="shared" si="8"/>
        <v>277025.66919845651</v>
      </c>
      <c r="CO19" s="7">
        <f t="shared" si="8"/>
        <v>274227.70993955206</v>
      </c>
      <c r="CP19" s="7">
        <f t="shared" si="8"/>
        <v>271458.01006916258</v>
      </c>
      <c r="CQ19" s="7">
        <f t="shared" si="8"/>
        <v>268716.28416746407</v>
      </c>
      <c r="CR19" s="7">
        <f t="shared" si="8"/>
        <v>266002.24969737267</v>
      </c>
      <c r="CS19" s="7">
        <f t="shared" si="8"/>
        <v>263315.62697542924</v>
      </c>
      <c r="CT19" s="7">
        <f t="shared" si="8"/>
        <v>260656.13914297739</v>
      </c>
      <c r="CU19" s="7">
        <f t="shared" si="8"/>
        <v>258023.51213763334</v>
      </c>
      <c r="CV19" s="7">
        <f t="shared" si="8"/>
        <v>255417.47466504324</v>
      </c>
      <c r="CW19" s="7">
        <f t="shared" si="8"/>
        <v>252837.75817092627</v>
      </c>
      <c r="CX19" s="7">
        <f t="shared" si="8"/>
        <v>250284.09681339993</v>
      </c>
      <c r="CY19" s="7">
        <f t="shared" si="8"/>
        <v>247756.22743558459</v>
      </c>
      <c r="CZ19" s="7">
        <f t="shared" si="8"/>
        <v>245253.88953848518</v>
      </c>
      <c r="DA19" s="7">
        <f t="shared" si="8"/>
        <v>242776.82525414648</v>
      </c>
      <c r="DB19" s="7">
        <f t="shared" si="8"/>
        <v>240324.77931907959</v>
      </c>
      <c r="DC19" s="7">
        <f t="shared" si="8"/>
        <v>237897.4990479569</v>
      </c>
      <c r="DD19" s="7">
        <f t="shared" si="8"/>
        <v>235494.73430757254</v>
      </c>
      <c r="DE19" s="7">
        <f t="shared" si="8"/>
        <v>233116.23749106607</v>
      </c>
      <c r="DF19" s="7">
        <f t="shared" si="8"/>
        <v>230761.76349240632</v>
      </c>
      <c r="DG19" s="7">
        <f t="shared" si="8"/>
        <v>228431.069681133</v>
      </c>
      <c r="DH19" s="7">
        <f t="shared" si="8"/>
        <v>226123.91587735355</v>
      </c>
      <c r="DI19" s="7">
        <f t="shared" si="8"/>
        <v>223840.06432699229</v>
      </c>
      <c r="DJ19" s="7">
        <f t="shared" si="8"/>
        <v>221579.27967728965</v>
      </c>
      <c r="DK19" s="7">
        <f t="shared" si="8"/>
        <v>219341.32895254903</v>
      </c>
      <c r="DL19" s="7">
        <f t="shared" si="8"/>
        <v>217125.98153012828</v>
      </c>
      <c r="DM19" s="7">
        <f t="shared" si="8"/>
        <v>214933.00911667402</v>
      </c>
      <c r="DN19" s="7">
        <f t="shared" si="8"/>
        <v>212762.18572459559</v>
      </c>
      <c r="DO19" s="7">
        <f t="shared" si="8"/>
        <v>210613.28764877719</v>
      </c>
      <c r="DP19" s="7">
        <f t="shared" si="8"/>
        <v>208486.09344352453</v>
      </c>
      <c r="DQ19" s="7">
        <f t="shared" si="8"/>
        <v>206380.38389974492</v>
      </c>
      <c r="DR19" s="7">
        <f t="shared" si="8"/>
        <v>204295.94202235751</v>
      </c>
      <c r="DS19" s="7">
        <f t="shared" si="8"/>
        <v>202232.55300793171</v>
      </c>
      <c r="DT19" s="7">
        <f t="shared" si="8"/>
        <v>200190.00422255159</v>
      </c>
      <c r="DU19" s="79">
        <f>DU16+DU13</f>
        <v>1201140.0253353093</v>
      </c>
    </row>
    <row r="20" spans="1:125" x14ac:dyDescent="0.4">
      <c r="B20" s="39"/>
      <c r="C20" s="77"/>
      <c r="D20" s="80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DU20" s="42"/>
    </row>
    <row r="21" spans="1:125" x14ac:dyDescent="0.4">
      <c r="A21" s="1" t="s">
        <v>36</v>
      </c>
      <c r="B21" s="74" t="s">
        <v>22</v>
      </c>
      <c r="D21" s="62"/>
      <c r="E21" s="62"/>
      <c r="F21" s="62">
        <f>F19+F22+F25</f>
        <v>663233</v>
      </c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DU21" s="42"/>
    </row>
    <row r="22" spans="1:125" x14ac:dyDescent="0.4">
      <c r="B22" s="74"/>
      <c r="C22" s="75" t="s">
        <v>92</v>
      </c>
      <c r="D22" s="62"/>
      <c r="E22" s="90">
        <f>SUM(E23:E24)</f>
        <v>0</v>
      </c>
      <c r="F22" s="90">
        <f t="shared" ref="F22:BQ22" si="9">SUM(F23:F24)</f>
        <v>0</v>
      </c>
      <c r="G22" s="90">
        <f t="shared" si="9"/>
        <v>0</v>
      </c>
      <c r="H22" s="90">
        <f t="shared" si="9"/>
        <v>0</v>
      </c>
      <c r="I22" s="90">
        <f t="shared" si="9"/>
        <v>0</v>
      </c>
      <c r="J22" s="90">
        <f t="shared" si="9"/>
        <v>0</v>
      </c>
      <c r="K22" s="90">
        <f t="shared" si="9"/>
        <v>0</v>
      </c>
      <c r="L22" s="90">
        <f t="shared" si="9"/>
        <v>0</v>
      </c>
      <c r="M22" s="90">
        <f t="shared" si="9"/>
        <v>0</v>
      </c>
      <c r="N22" s="90">
        <f t="shared" si="9"/>
        <v>0</v>
      </c>
      <c r="O22" s="90">
        <f t="shared" si="9"/>
        <v>0</v>
      </c>
      <c r="P22" s="90">
        <f t="shared" si="9"/>
        <v>0</v>
      </c>
      <c r="Q22" s="90">
        <f t="shared" si="9"/>
        <v>0</v>
      </c>
      <c r="R22" s="90">
        <f t="shared" si="9"/>
        <v>0</v>
      </c>
      <c r="S22" s="90">
        <f t="shared" si="9"/>
        <v>0</v>
      </c>
      <c r="T22" s="90">
        <f t="shared" si="9"/>
        <v>0</v>
      </c>
      <c r="U22" s="90">
        <f t="shared" si="9"/>
        <v>0</v>
      </c>
      <c r="V22" s="90">
        <f t="shared" si="9"/>
        <v>0</v>
      </c>
      <c r="W22" s="90">
        <f t="shared" si="9"/>
        <v>0</v>
      </c>
      <c r="X22" s="90">
        <f t="shared" si="9"/>
        <v>0</v>
      </c>
      <c r="Y22" s="90">
        <f t="shared" si="9"/>
        <v>0</v>
      </c>
      <c r="Z22" s="90">
        <f t="shared" si="9"/>
        <v>0</v>
      </c>
      <c r="AA22" s="90">
        <f t="shared" si="9"/>
        <v>0</v>
      </c>
      <c r="AB22" s="90">
        <f t="shared" si="9"/>
        <v>0</v>
      </c>
      <c r="AC22" s="90">
        <f t="shared" si="9"/>
        <v>0</v>
      </c>
      <c r="AD22" s="90">
        <f t="shared" si="9"/>
        <v>0</v>
      </c>
      <c r="AE22" s="90">
        <f t="shared" si="9"/>
        <v>0</v>
      </c>
      <c r="AF22" s="90">
        <f t="shared" si="9"/>
        <v>0</v>
      </c>
      <c r="AG22" s="90">
        <f t="shared" si="9"/>
        <v>0</v>
      </c>
      <c r="AH22" s="90">
        <f t="shared" si="9"/>
        <v>0</v>
      </c>
      <c r="AI22" s="90">
        <f t="shared" si="9"/>
        <v>0</v>
      </c>
      <c r="AJ22" s="90">
        <f t="shared" si="9"/>
        <v>0</v>
      </c>
      <c r="AK22" s="90">
        <f t="shared" si="9"/>
        <v>0</v>
      </c>
      <c r="AL22" s="90">
        <f t="shared" si="9"/>
        <v>0</v>
      </c>
      <c r="AM22" s="90">
        <f t="shared" si="9"/>
        <v>0</v>
      </c>
      <c r="AN22" s="90">
        <f t="shared" si="9"/>
        <v>0</v>
      </c>
      <c r="AO22" s="90">
        <f t="shared" si="9"/>
        <v>0</v>
      </c>
      <c r="AP22" s="90">
        <f t="shared" si="9"/>
        <v>0</v>
      </c>
      <c r="AQ22" s="90">
        <f t="shared" si="9"/>
        <v>0</v>
      </c>
      <c r="AR22" s="90">
        <f t="shared" si="9"/>
        <v>0</v>
      </c>
      <c r="AS22" s="90">
        <f t="shared" si="9"/>
        <v>0</v>
      </c>
      <c r="AT22" s="90">
        <f t="shared" si="9"/>
        <v>0</v>
      </c>
      <c r="AU22" s="90">
        <f t="shared" si="9"/>
        <v>0</v>
      </c>
      <c r="AV22" s="90">
        <f t="shared" si="9"/>
        <v>0</v>
      </c>
      <c r="AW22" s="90">
        <f t="shared" si="9"/>
        <v>0</v>
      </c>
      <c r="AX22" s="90">
        <f t="shared" si="9"/>
        <v>0</v>
      </c>
      <c r="AY22" s="90">
        <f t="shared" si="9"/>
        <v>0</v>
      </c>
      <c r="AZ22" s="90">
        <f t="shared" si="9"/>
        <v>0</v>
      </c>
      <c r="BA22" s="90">
        <f t="shared" si="9"/>
        <v>0</v>
      </c>
      <c r="BB22" s="90">
        <f t="shared" si="9"/>
        <v>0</v>
      </c>
      <c r="BC22" s="90">
        <f t="shared" si="9"/>
        <v>0</v>
      </c>
      <c r="BD22" s="90">
        <f t="shared" si="9"/>
        <v>0</v>
      </c>
      <c r="BE22" s="90">
        <f t="shared" si="9"/>
        <v>0</v>
      </c>
      <c r="BF22" s="90">
        <f t="shared" si="9"/>
        <v>0</v>
      </c>
      <c r="BG22" s="90">
        <f t="shared" si="9"/>
        <v>0</v>
      </c>
      <c r="BH22" s="90">
        <f t="shared" si="9"/>
        <v>0</v>
      </c>
      <c r="BI22" s="90">
        <f t="shared" si="9"/>
        <v>0</v>
      </c>
      <c r="BJ22" s="90">
        <f t="shared" si="9"/>
        <v>0</v>
      </c>
      <c r="BK22" s="90">
        <f t="shared" si="9"/>
        <v>0</v>
      </c>
      <c r="BL22" s="90">
        <f t="shared" si="9"/>
        <v>0</v>
      </c>
      <c r="BM22" s="90">
        <f t="shared" si="9"/>
        <v>0</v>
      </c>
      <c r="BN22" s="90">
        <f t="shared" si="9"/>
        <v>0</v>
      </c>
      <c r="BO22" s="90">
        <f t="shared" si="9"/>
        <v>0</v>
      </c>
      <c r="BP22" s="90">
        <f t="shared" si="9"/>
        <v>0</v>
      </c>
      <c r="BQ22" s="90">
        <f t="shared" si="9"/>
        <v>0</v>
      </c>
      <c r="BR22" s="90">
        <f t="shared" ref="BR22:DU22" si="10">SUM(BR23:BR24)</f>
        <v>0</v>
      </c>
      <c r="BS22" s="90">
        <f t="shared" si="10"/>
        <v>0</v>
      </c>
      <c r="BT22" s="90">
        <f t="shared" si="10"/>
        <v>0</v>
      </c>
      <c r="BU22" s="90">
        <f t="shared" si="10"/>
        <v>0</v>
      </c>
      <c r="BV22" s="90">
        <f t="shared" si="10"/>
        <v>0</v>
      </c>
      <c r="BW22" s="90">
        <f t="shared" si="10"/>
        <v>0</v>
      </c>
      <c r="BX22" s="90">
        <f t="shared" si="10"/>
        <v>0</v>
      </c>
      <c r="BY22" s="90">
        <f t="shared" si="10"/>
        <v>0</v>
      </c>
      <c r="BZ22" s="90">
        <f t="shared" si="10"/>
        <v>0</v>
      </c>
      <c r="CA22" s="90">
        <f t="shared" si="10"/>
        <v>0</v>
      </c>
      <c r="CB22" s="90">
        <f t="shared" si="10"/>
        <v>0</v>
      </c>
      <c r="CC22" s="90">
        <f t="shared" si="10"/>
        <v>0</v>
      </c>
      <c r="CD22" s="90">
        <f t="shared" si="10"/>
        <v>0</v>
      </c>
      <c r="CE22" s="90">
        <f t="shared" si="10"/>
        <v>0</v>
      </c>
      <c r="CF22" s="90">
        <f t="shared" si="10"/>
        <v>0</v>
      </c>
      <c r="CG22" s="90">
        <f t="shared" si="10"/>
        <v>0</v>
      </c>
      <c r="CH22" s="90">
        <f t="shared" si="10"/>
        <v>0</v>
      </c>
      <c r="CI22" s="90">
        <f t="shared" si="10"/>
        <v>0</v>
      </c>
      <c r="CJ22" s="90">
        <f t="shared" si="10"/>
        <v>0</v>
      </c>
      <c r="CK22" s="90">
        <f t="shared" si="10"/>
        <v>0</v>
      </c>
      <c r="CL22" s="90">
        <f t="shared" si="10"/>
        <v>0</v>
      </c>
      <c r="CM22" s="90">
        <f t="shared" si="10"/>
        <v>0</v>
      </c>
      <c r="CN22" s="90">
        <f t="shared" si="10"/>
        <v>0</v>
      </c>
      <c r="CO22" s="90">
        <f t="shared" si="10"/>
        <v>0</v>
      </c>
      <c r="CP22" s="90">
        <f t="shared" si="10"/>
        <v>0</v>
      </c>
      <c r="CQ22" s="90">
        <f t="shared" si="10"/>
        <v>0</v>
      </c>
      <c r="CR22" s="90">
        <f t="shared" si="10"/>
        <v>0</v>
      </c>
      <c r="CS22" s="90">
        <f t="shared" si="10"/>
        <v>0</v>
      </c>
      <c r="CT22" s="90">
        <f t="shared" si="10"/>
        <v>0</v>
      </c>
      <c r="CU22" s="90">
        <f t="shared" si="10"/>
        <v>0</v>
      </c>
      <c r="CV22" s="90">
        <f t="shared" si="10"/>
        <v>0</v>
      </c>
      <c r="CW22" s="90">
        <f t="shared" si="10"/>
        <v>0</v>
      </c>
      <c r="CX22" s="90">
        <f t="shared" si="10"/>
        <v>0</v>
      </c>
      <c r="CY22" s="90">
        <f t="shared" si="10"/>
        <v>0</v>
      </c>
      <c r="CZ22" s="90">
        <f t="shared" si="10"/>
        <v>0</v>
      </c>
      <c r="DA22" s="90">
        <f t="shared" si="10"/>
        <v>0</v>
      </c>
      <c r="DB22" s="90">
        <f t="shared" si="10"/>
        <v>0</v>
      </c>
      <c r="DC22" s="90">
        <f t="shared" si="10"/>
        <v>0</v>
      </c>
      <c r="DD22" s="90">
        <f t="shared" si="10"/>
        <v>0</v>
      </c>
      <c r="DE22" s="90">
        <f t="shared" si="10"/>
        <v>0</v>
      </c>
      <c r="DF22" s="90">
        <f t="shared" si="10"/>
        <v>0</v>
      </c>
      <c r="DG22" s="90">
        <f t="shared" si="10"/>
        <v>0</v>
      </c>
      <c r="DH22" s="90">
        <f t="shared" si="10"/>
        <v>0</v>
      </c>
      <c r="DI22" s="90">
        <f t="shared" si="10"/>
        <v>0</v>
      </c>
      <c r="DJ22" s="90">
        <f t="shared" si="10"/>
        <v>0</v>
      </c>
      <c r="DK22" s="90">
        <f t="shared" si="10"/>
        <v>0</v>
      </c>
      <c r="DL22" s="90">
        <f t="shared" si="10"/>
        <v>0</v>
      </c>
      <c r="DM22" s="90">
        <f t="shared" si="10"/>
        <v>0</v>
      </c>
      <c r="DN22" s="90">
        <f t="shared" si="10"/>
        <v>0</v>
      </c>
      <c r="DO22" s="90">
        <f t="shared" si="10"/>
        <v>0</v>
      </c>
      <c r="DP22" s="90">
        <f t="shared" si="10"/>
        <v>0</v>
      </c>
      <c r="DQ22" s="90">
        <f t="shared" si="10"/>
        <v>0</v>
      </c>
      <c r="DR22" s="90">
        <f t="shared" si="10"/>
        <v>0</v>
      </c>
      <c r="DS22" s="90">
        <f t="shared" si="10"/>
        <v>0</v>
      </c>
      <c r="DT22" s="90">
        <f t="shared" si="10"/>
        <v>0</v>
      </c>
      <c r="DU22" s="88">
        <f t="shared" si="10"/>
        <v>0</v>
      </c>
    </row>
    <row r="23" spans="1:125" x14ac:dyDescent="0.4">
      <c r="B23" s="74"/>
      <c r="C23" s="55" t="s">
        <v>60</v>
      </c>
      <c r="D23" s="62"/>
      <c r="E23" s="59">
        <f>-(E14+E17)*Assumptions!$E$30</f>
        <v>0</v>
      </c>
      <c r="F23" s="59">
        <f>-(F14+F17)*Assumptions!$E$30</f>
        <v>0</v>
      </c>
      <c r="G23" s="59">
        <f>-(G14+G17)*Assumptions!$E$30</f>
        <v>0</v>
      </c>
      <c r="H23" s="59">
        <f>-(H14+H17)*Assumptions!$E$30</f>
        <v>0</v>
      </c>
      <c r="I23" s="59">
        <f>-(I14+I17)*Assumptions!$E$30</f>
        <v>0</v>
      </c>
      <c r="J23" s="59">
        <f>-(J14+J17)*Assumptions!$E$30</f>
        <v>0</v>
      </c>
      <c r="K23" s="59">
        <f>-(K14+K17)*Assumptions!$E$30</f>
        <v>0</v>
      </c>
      <c r="L23" s="59">
        <f>-(L14+L17)*Assumptions!$E$30</f>
        <v>0</v>
      </c>
      <c r="M23" s="59">
        <f>-(M14+M17)*Assumptions!$E$30</f>
        <v>0</v>
      </c>
      <c r="N23" s="59">
        <f>-(N14+N17)*Assumptions!$E$30</f>
        <v>0</v>
      </c>
      <c r="O23" s="59">
        <f>-(O14+O17)*Assumptions!$E$30</f>
        <v>0</v>
      </c>
      <c r="P23" s="59">
        <f>-(P14+P17)*Assumptions!$E$30</f>
        <v>0</v>
      </c>
      <c r="Q23" s="59">
        <f>-(Q14+Q17)*Assumptions!$E$30</f>
        <v>0</v>
      </c>
      <c r="R23" s="59">
        <f>-(R14+R17)*Assumptions!$E$30</f>
        <v>0</v>
      </c>
      <c r="S23" s="59">
        <f>-(S14+S17)*Assumptions!$E$30</f>
        <v>0</v>
      </c>
      <c r="T23" s="59">
        <f>-(T14+T17)*Assumptions!$E$30</f>
        <v>0</v>
      </c>
      <c r="U23" s="59">
        <f>-(U14+U17)*Assumptions!$E$30</f>
        <v>0</v>
      </c>
      <c r="V23" s="59">
        <f>-(V14+V17)*Assumptions!$E$30</f>
        <v>0</v>
      </c>
      <c r="W23" s="59">
        <f>-(W14+W17)*Assumptions!$E$30</f>
        <v>0</v>
      </c>
      <c r="X23" s="59">
        <f>-(X14+X17)*Assumptions!$E$30</f>
        <v>0</v>
      </c>
      <c r="Y23" s="59">
        <f>-(Y14+Y17)*Assumptions!$E$30</f>
        <v>0</v>
      </c>
      <c r="Z23" s="59">
        <f>-(Z14+Z17)*Assumptions!$E$30</f>
        <v>0</v>
      </c>
      <c r="AA23" s="59">
        <f>-(AA14+AA17)*Assumptions!$E$30</f>
        <v>0</v>
      </c>
      <c r="AB23" s="59">
        <f>-(AB14+AB17)*Assumptions!$E$30</f>
        <v>0</v>
      </c>
      <c r="AC23" s="59">
        <f>-(AC14+AC17)*Assumptions!$E$30</f>
        <v>0</v>
      </c>
      <c r="AD23" s="59">
        <f>-(AD14+AD17)*Assumptions!$E$30</f>
        <v>0</v>
      </c>
      <c r="AE23" s="59">
        <f>-(AE14+AE17)*Assumptions!$E$30</f>
        <v>0</v>
      </c>
      <c r="AF23" s="59">
        <f>-(AF14+AF17)*Assumptions!$E$30</f>
        <v>0</v>
      </c>
      <c r="AG23" s="59">
        <f>-(AG14+AG17)*Assumptions!$E$30</f>
        <v>0</v>
      </c>
      <c r="AH23" s="59">
        <f>-(AH14+AH17)*Assumptions!$E$30</f>
        <v>0</v>
      </c>
      <c r="AI23" s="59">
        <f>-(AI14+AI17)*Assumptions!$E$30</f>
        <v>0</v>
      </c>
      <c r="AJ23" s="59">
        <f>-(AJ14+AJ17)*Assumptions!$E$30</f>
        <v>0</v>
      </c>
      <c r="AK23" s="59">
        <f>-(AK14+AK17)*Assumptions!$E$30</f>
        <v>0</v>
      </c>
      <c r="AL23" s="59">
        <f>-(AL14+AL17)*Assumptions!$E$30</f>
        <v>0</v>
      </c>
      <c r="AM23" s="59">
        <f>-(AM14+AM17)*Assumptions!$E$30</f>
        <v>0</v>
      </c>
      <c r="AN23" s="59">
        <f>-(AN14+AN17)*Assumptions!$E$30</f>
        <v>0</v>
      </c>
      <c r="AO23" s="59">
        <f>-(AO14+AO17)*Assumptions!$E$30</f>
        <v>0</v>
      </c>
      <c r="AP23" s="59">
        <f>-(AP14+AP17)*Assumptions!$E$30</f>
        <v>0</v>
      </c>
      <c r="AQ23" s="59">
        <f>-(AQ14+AQ17)*Assumptions!$E$30</f>
        <v>0</v>
      </c>
      <c r="AR23" s="59">
        <f>-(AR14+AR17)*Assumptions!$E$30</f>
        <v>0</v>
      </c>
      <c r="AS23" s="59">
        <f>-(AS14+AS17)*Assumptions!$E$30</f>
        <v>0</v>
      </c>
      <c r="AT23" s="59">
        <f>-(AT14+AT17)*Assumptions!$E$30</f>
        <v>0</v>
      </c>
      <c r="AU23" s="59">
        <f>-(AU14+AU17)*Assumptions!$E$30</f>
        <v>0</v>
      </c>
      <c r="AV23" s="59">
        <f>-(AV14+AV17)*Assumptions!$E$30</f>
        <v>0</v>
      </c>
      <c r="AW23" s="59">
        <f>-(AW14+AW17)*Assumptions!$E$30</f>
        <v>0</v>
      </c>
      <c r="AX23" s="59">
        <f>-(AX14+AX17)*Assumptions!$E$30</f>
        <v>0</v>
      </c>
      <c r="AY23" s="59">
        <f>-(AY14+AY17)*Assumptions!$E$30</f>
        <v>0</v>
      </c>
      <c r="AZ23" s="59">
        <f>-(AZ14+AZ17)*Assumptions!$E$30</f>
        <v>0</v>
      </c>
      <c r="BA23" s="59">
        <f>-(BA14+BA17)*Assumptions!$E$30</f>
        <v>0</v>
      </c>
      <c r="BB23" s="59">
        <f>-(BB14+BB17)*Assumptions!$E$30</f>
        <v>0</v>
      </c>
      <c r="BC23" s="59">
        <f>-(BC14+BC17)*Assumptions!$E$30</f>
        <v>0</v>
      </c>
      <c r="BD23" s="59">
        <f>-(BD14+BD17)*Assumptions!$E$30</f>
        <v>0</v>
      </c>
      <c r="BE23" s="59">
        <f>-(BE14+BE17)*Assumptions!$E$30</f>
        <v>0</v>
      </c>
      <c r="BF23" s="59">
        <f>-(BF14+BF17)*Assumptions!$E$30</f>
        <v>0</v>
      </c>
      <c r="BG23" s="59">
        <f>-(BG14+BG17)*Assumptions!$E$30</f>
        <v>0</v>
      </c>
      <c r="BH23" s="59">
        <f>-(BH14+BH17)*Assumptions!$E$30</f>
        <v>0</v>
      </c>
      <c r="BI23" s="59">
        <f>-(BI14+BI17)*Assumptions!$E$30</f>
        <v>0</v>
      </c>
      <c r="BJ23" s="59">
        <f>-(BJ14+BJ17)*Assumptions!$E$30</f>
        <v>0</v>
      </c>
      <c r="BK23" s="59">
        <f>-(BK14+BK17)*Assumptions!$E$30</f>
        <v>0</v>
      </c>
      <c r="BL23" s="59">
        <f>-(BL14+BL17)*Assumptions!$E$30</f>
        <v>0</v>
      </c>
      <c r="BM23" s="59">
        <f>-(BM14+BM17)*Assumptions!$E$30</f>
        <v>0</v>
      </c>
      <c r="BN23" s="59">
        <f>-(BN14+BN17)*Assumptions!$E$30</f>
        <v>0</v>
      </c>
      <c r="BO23" s="59">
        <f>-(BO14+BO17)*Assumptions!$E$30</f>
        <v>0</v>
      </c>
      <c r="BP23" s="59">
        <f>-(BP14+BP17)*Assumptions!$E$30</f>
        <v>0</v>
      </c>
      <c r="BQ23" s="59">
        <f>-(BQ14+BQ17)*Assumptions!$E$30</f>
        <v>0</v>
      </c>
      <c r="BR23" s="59">
        <f>-(BR14+BR17)*Assumptions!$E$30</f>
        <v>0</v>
      </c>
      <c r="BS23" s="59">
        <f>-(BS14+BS17)*Assumptions!$E$30</f>
        <v>0</v>
      </c>
      <c r="BT23" s="59">
        <f>-(BT14+BT17)*Assumptions!$E$30</f>
        <v>0</v>
      </c>
      <c r="BU23" s="59">
        <f>-(BU14+BU17)*Assumptions!$E$30</f>
        <v>0</v>
      </c>
      <c r="BV23" s="59">
        <f>-(BV14+BV17)*Assumptions!$E$30</f>
        <v>0</v>
      </c>
      <c r="BW23" s="59">
        <f>-(BW14+BW17)*Assumptions!$E$30</f>
        <v>0</v>
      </c>
      <c r="BX23" s="59">
        <f>-(BX14+BX17)*Assumptions!$E$30</f>
        <v>0</v>
      </c>
      <c r="BY23" s="59">
        <f>-(BY14+BY17)*Assumptions!$E$30</f>
        <v>0</v>
      </c>
      <c r="BZ23" s="59">
        <f>-(BZ14+BZ17)*Assumptions!$E$30</f>
        <v>0</v>
      </c>
      <c r="CA23" s="59">
        <f>-(CA14+CA17)*Assumptions!$E$30</f>
        <v>0</v>
      </c>
      <c r="CB23" s="59">
        <f>-(CB14+CB17)*Assumptions!$E$30</f>
        <v>0</v>
      </c>
      <c r="CC23" s="59">
        <f>-(CC14+CC17)*Assumptions!$E$30</f>
        <v>0</v>
      </c>
      <c r="CD23" s="59">
        <f>-(CD14+CD17)*Assumptions!$E$30</f>
        <v>0</v>
      </c>
      <c r="CE23" s="59">
        <f>-(CE14+CE17)*Assumptions!$E$30</f>
        <v>0</v>
      </c>
      <c r="CF23" s="59">
        <f>-(CF14+CF17)*Assumptions!$E$30</f>
        <v>0</v>
      </c>
      <c r="CG23" s="59">
        <f>-(CG14+CG17)*Assumptions!$E$30</f>
        <v>0</v>
      </c>
      <c r="CH23" s="59">
        <f>-(CH14+CH17)*Assumptions!$E$30</f>
        <v>0</v>
      </c>
      <c r="CI23" s="59">
        <f>-(CI14+CI17)*Assumptions!$E$30</f>
        <v>0</v>
      </c>
      <c r="CJ23" s="59">
        <f>-(CJ14+CJ17)*Assumptions!$E$30</f>
        <v>0</v>
      </c>
      <c r="CK23" s="59">
        <f>-(CK14+CK17)*Assumptions!$E$30</f>
        <v>0</v>
      </c>
      <c r="CL23" s="59">
        <f>-(CL14+CL17)*Assumptions!$E$30</f>
        <v>0</v>
      </c>
      <c r="CM23" s="59">
        <f>-(CM14+CM17)*Assumptions!$E$30</f>
        <v>0</v>
      </c>
      <c r="CN23" s="59">
        <f>-(CN14+CN17)*Assumptions!$E$30</f>
        <v>0</v>
      </c>
      <c r="CO23" s="59">
        <f>-(CO14+CO17)*Assumptions!$E$30</f>
        <v>0</v>
      </c>
      <c r="CP23" s="59">
        <f>-(CP14+CP17)*Assumptions!$E$30</f>
        <v>0</v>
      </c>
      <c r="CQ23" s="59">
        <f>-(CQ14+CQ17)*Assumptions!$E$30</f>
        <v>0</v>
      </c>
      <c r="CR23" s="59">
        <f>-(CR14+CR17)*Assumptions!$E$30</f>
        <v>0</v>
      </c>
      <c r="CS23" s="59">
        <f>-(CS14+CS17)*Assumptions!$E$30</f>
        <v>0</v>
      </c>
      <c r="CT23" s="59">
        <f>-(CT14+CT17)*Assumptions!$E$30</f>
        <v>0</v>
      </c>
      <c r="CU23" s="59">
        <f>-(CU14+CU17)*Assumptions!$E$30</f>
        <v>0</v>
      </c>
      <c r="CV23" s="59">
        <f>-(CV14+CV17)*Assumptions!$E$30</f>
        <v>0</v>
      </c>
      <c r="CW23" s="59">
        <f>-(CW14+CW17)*Assumptions!$E$30</f>
        <v>0</v>
      </c>
      <c r="CX23" s="59">
        <f>-(CX14+CX17)*Assumptions!$E$30</f>
        <v>0</v>
      </c>
      <c r="CY23" s="59">
        <f>-(CY14+CY17)*Assumptions!$E$30</f>
        <v>0</v>
      </c>
      <c r="CZ23" s="59">
        <f>-(CZ14+CZ17)*Assumptions!$E$30</f>
        <v>0</v>
      </c>
      <c r="DA23" s="59">
        <f>-(DA14+DA17)*Assumptions!$E$30</f>
        <v>0</v>
      </c>
      <c r="DB23" s="59">
        <f>-(DB14+DB17)*Assumptions!$E$30</f>
        <v>0</v>
      </c>
      <c r="DC23" s="59">
        <f>-(DC14+DC17)*Assumptions!$E$30</f>
        <v>0</v>
      </c>
      <c r="DD23" s="59">
        <f>-(DD14+DD17)*Assumptions!$E$30</f>
        <v>0</v>
      </c>
      <c r="DE23" s="59">
        <f>-(DE14+DE17)*Assumptions!$E$30</f>
        <v>0</v>
      </c>
      <c r="DF23" s="59">
        <f>-(DF14+DF17)*Assumptions!$E$30</f>
        <v>0</v>
      </c>
      <c r="DG23" s="59">
        <f>-(DG14+DG17)*Assumptions!$E$30</f>
        <v>0</v>
      </c>
      <c r="DH23" s="59">
        <f>-(DH14+DH17)*Assumptions!$E$30</f>
        <v>0</v>
      </c>
      <c r="DI23" s="59">
        <f>-(DI14+DI17)*Assumptions!$E$30</f>
        <v>0</v>
      </c>
      <c r="DJ23" s="59">
        <f>-(DJ14+DJ17)*Assumptions!$E$30</f>
        <v>0</v>
      </c>
      <c r="DK23" s="59">
        <f>-(DK14+DK17)*Assumptions!$E$30</f>
        <v>0</v>
      </c>
      <c r="DL23" s="59">
        <f>-(DL14+DL17)*Assumptions!$E$30</f>
        <v>0</v>
      </c>
      <c r="DM23" s="59">
        <f>-(DM14+DM17)*Assumptions!$E$30</f>
        <v>0</v>
      </c>
      <c r="DN23" s="59">
        <f>-(DN14+DN17)*Assumptions!$E$30</f>
        <v>0</v>
      </c>
      <c r="DO23" s="59">
        <f>-(DO14+DO17)*Assumptions!$E$30</f>
        <v>0</v>
      </c>
      <c r="DP23" s="59">
        <f>-(DP14+DP17)*Assumptions!$E$30</f>
        <v>0</v>
      </c>
      <c r="DQ23" s="59">
        <f>-(DQ14+DQ17)*Assumptions!$E$30</f>
        <v>0</v>
      </c>
      <c r="DR23" s="59">
        <f>-(DR14+DR17)*Assumptions!$E$30</f>
        <v>0</v>
      </c>
      <c r="DS23" s="59">
        <f>-(DS14+DS17)*Assumptions!$E$30</f>
        <v>0</v>
      </c>
      <c r="DT23" s="59">
        <f>-(DT14+DT17)*Assumptions!$E$30</f>
        <v>0</v>
      </c>
      <c r="DU23" s="60">
        <f>-(DU14+DU17)*Assumptions!$E$30</f>
        <v>0</v>
      </c>
    </row>
    <row r="24" spans="1:125" x14ac:dyDescent="0.4">
      <c r="B24" s="74"/>
      <c r="C24" s="55" t="s">
        <v>61</v>
      </c>
      <c r="D24" s="62"/>
      <c r="E24" s="59">
        <f>-(E15+E18)*Assumptions!$F$30</f>
        <v>0</v>
      </c>
      <c r="F24" s="59">
        <f>-(F15+F18)*Assumptions!$F$30</f>
        <v>0</v>
      </c>
      <c r="G24" s="59">
        <f>-(G15+G18)*Assumptions!$F$30</f>
        <v>0</v>
      </c>
      <c r="H24" s="59">
        <f>-(H15+H18)*Assumptions!$F$30</f>
        <v>0</v>
      </c>
      <c r="I24" s="59">
        <f>-(I15+I18)*Assumptions!$F$30</f>
        <v>0</v>
      </c>
      <c r="J24" s="59">
        <f>-(J15+J18)*Assumptions!$F$30</f>
        <v>0</v>
      </c>
      <c r="K24" s="59">
        <f>-(K15+K18)*Assumptions!$F$30</f>
        <v>0</v>
      </c>
      <c r="L24" s="59">
        <f>-(L15+L18)*Assumptions!$F$30</f>
        <v>0</v>
      </c>
      <c r="M24" s="59">
        <f>-(M15+M18)*Assumptions!$F$30</f>
        <v>0</v>
      </c>
      <c r="N24" s="59">
        <f>-(N15+N18)*Assumptions!$F$30</f>
        <v>0</v>
      </c>
      <c r="O24" s="59">
        <f>-(O15+O18)*Assumptions!$F$30</f>
        <v>0</v>
      </c>
      <c r="P24" s="59">
        <f>-(P15+P18)*Assumptions!$F$30</f>
        <v>0</v>
      </c>
      <c r="Q24" s="59">
        <f>-(Q15+Q18)*Assumptions!$F$30</f>
        <v>0</v>
      </c>
      <c r="R24" s="59">
        <f>-(R15+R18)*Assumptions!$F$30</f>
        <v>0</v>
      </c>
      <c r="S24" s="59">
        <f>-(S15+S18)*Assumptions!$F$30</f>
        <v>0</v>
      </c>
      <c r="T24" s="59">
        <f>-(T15+T18)*Assumptions!$F$30</f>
        <v>0</v>
      </c>
      <c r="U24" s="59">
        <f>-(U15+U18)*Assumptions!$F$30</f>
        <v>0</v>
      </c>
      <c r="V24" s="59">
        <f>-(V15+V18)*Assumptions!$F$30</f>
        <v>0</v>
      </c>
      <c r="W24" s="59">
        <f>-(W15+W18)*Assumptions!$F$30</f>
        <v>0</v>
      </c>
      <c r="X24" s="59">
        <f>-(X15+X18)*Assumptions!$F$30</f>
        <v>0</v>
      </c>
      <c r="Y24" s="59">
        <f>-(Y15+Y18)*Assumptions!$F$30</f>
        <v>0</v>
      </c>
      <c r="Z24" s="59">
        <f>-(Z15+Z18)*Assumptions!$F$30</f>
        <v>0</v>
      </c>
      <c r="AA24" s="59">
        <f>-(AA15+AA18)*Assumptions!$F$30</f>
        <v>0</v>
      </c>
      <c r="AB24" s="59">
        <f>-(AB15+AB18)*Assumptions!$F$30</f>
        <v>0</v>
      </c>
      <c r="AC24" s="59">
        <f>-(AC15+AC18)*Assumptions!$F$30</f>
        <v>0</v>
      </c>
      <c r="AD24" s="59">
        <f>-(AD15+AD18)*Assumptions!$F$30</f>
        <v>0</v>
      </c>
      <c r="AE24" s="59">
        <f>-(AE15+AE18)*Assumptions!$F$30</f>
        <v>0</v>
      </c>
      <c r="AF24" s="59">
        <f>-(AF15+AF18)*Assumptions!$F$30</f>
        <v>0</v>
      </c>
      <c r="AG24" s="59">
        <f>-(AG15+AG18)*Assumptions!$F$30</f>
        <v>0</v>
      </c>
      <c r="AH24" s="59">
        <f>-(AH15+AH18)*Assumptions!$F$30</f>
        <v>0</v>
      </c>
      <c r="AI24" s="59">
        <f>-(AI15+AI18)*Assumptions!$F$30</f>
        <v>0</v>
      </c>
      <c r="AJ24" s="59">
        <f>-(AJ15+AJ18)*Assumptions!$F$30</f>
        <v>0</v>
      </c>
      <c r="AK24" s="59">
        <f>-(AK15+AK18)*Assumptions!$F$30</f>
        <v>0</v>
      </c>
      <c r="AL24" s="59">
        <f>-(AL15+AL18)*Assumptions!$F$30</f>
        <v>0</v>
      </c>
      <c r="AM24" s="59">
        <f>-(AM15+AM18)*Assumptions!$F$30</f>
        <v>0</v>
      </c>
      <c r="AN24" s="59">
        <f>-(AN15+AN18)*Assumptions!$F$30</f>
        <v>0</v>
      </c>
      <c r="AO24" s="59">
        <f>-(AO15+AO18)*Assumptions!$F$30</f>
        <v>0</v>
      </c>
      <c r="AP24" s="59">
        <f>-(AP15+AP18)*Assumptions!$F$30</f>
        <v>0</v>
      </c>
      <c r="AQ24" s="59">
        <f>-(AQ15+AQ18)*Assumptions!$F$30</f>
        <v>0</v>
      </c>
      <c r="AR24" s="59">
        <f>-(AR15+AR18)*Assumptions!$F$30</f>
        <v>0</v>
      </c>
      <c r="AS24" s="59">
        <f>-(AS15+AS18)*Assumptions!$F$30</f>
        <v>0</v>
      </c>
      <c r="AT24" s="59">
        <f>-(AT15+AT18)*Assumptions!$F$30</f>
        <v>0</v>
      </c>
      <c r="AU24" s="59">
        <f>-(AU15+AU18)*Assumptions!$F$30</f>
        <v>0</v>
      </c>
      <c r="AV24" s="59">
        <f>-(AV15+AV18)*Assumptions!$F$30</f>
        <v>0</v>
      </c>
      <c r="AW24" s="59">
        <f>-(AW15+AW18)*Assumptions!$F$30</f>
        <v>0</v>
      </c>
      <c r="AX24" s="59">
        <f>-(AX15+AX18)*Assumptions!$F$30</f>
        <v>0</v>
      </c>
      <c r="AY24" s="59">
        <f>-(AY15+AY18)*Assumptions!$F$30</f>
        <v>0</v>
      </c>
      <c r="AZ24" s="59">
        <f>-(AZ15+AZ18)*Assumptions!$F$30</f>
        <v>0</v>
      </c>
      <c r="BA24" s="59">
        <f>-(BA15+BA18)*Assumptions!$F$30</f>
        <v>0</v>
      </c>
      <c r="BB24" s="59">
        <f>-(BB15+BB18)*Assumptions!$F$30</f>
        <v>0</v>
      </c>
      <c r="BC24" s="59">
        <f>-(BC15+BC18)*Assumptions!$F$30</f>
        <v>0</v>
      </c>
      <c r="BD24" s="59">
        <f>-(BD15+BD18)*Assumptions!$F$30</f>
        <v>0</v>
      </c>
      <c r="BE24" s="59">
        <f>-(BE15+BE18)*Assumptions!$F$30</f>
        <v>0</v>
      </c>
      <c r="BF24" s="59">
        <f>-(BF15+BF18)*Assumptions!$F$30</f>
        <v>0</v>
      </c>
      <c r="BG24" s="59">
        <f>-(BG15+BG18)*Assumptions!$F$30</f>
        <v>0</v>
      </c>
      <c r="BH24" s="59">
        <f>-(BH15+BH18)*Assumptions!$F$30</f>
        <v>0</v>
      </c>
      <c r="BI24" s="59">
        <f>-(BI15+BI18)*Assumptions!$F$30</f>
        <v>0</v>
      </c>
      <c r="BJ24" s="59">
        <f>-(BJ15+BJ18)*Assumptions!$F$30</f>
        <v>0</v>
      </c>
      <c r="BK24" s="59">
        <f>-(BK15+BK18)*Assumptions!$F$30</f>
        <v>0</v>
      </c>
      <c r="BL24" s="59">
        <f>-(BL15+BL18)*Assumptions!$F$30</f>
        <v>0</v>
      </c>
      <c r="BM24" s="59">
        <f>-(BM15+BM18)*Assumptions!$F$30</f>
        <v>0</v>
      </c>
      <c r="BN24" s="59">
        <f>-(BN15+BN18)*Assumptions!$F$30</f>
        <v>0</v>
      </c>
      <c r="BO24" s="59">
        <f>-(BO15+BO18)*Assumptions!$F$30</f>
        <v>0</v>
      </c>
      <c r="BP24" s="59">
        <f>-(BP15+BP18)*Assumptions!$F$30</f>
        <v>0</v>
      </c>
      <c r="BQ24" s="59">
        <f>-(BQ15+BQ18)*Assumptions!$F$30</f>
        <v>0</v>
      </c>
      <c r="BR24" s="59">
        <f>-(BR15+BR18)*Assumptions!$F$30</f>
        <v>0</v>
      </c>
      <c r="BS24" s="59">
        <f>-(BS15+BS18)*Assumptions!$F$30</f>
        <v>0</v>
      </c>
      <c r="BT24" s="59">
        <f>-(BT15+BT18)*Assumptions!$F$30</f>
        <v>0</v>
      </c>
      <c r="BU24" s="59">
        <f>-(BU15+BU18)*Assumptions!$F$30</f>
        <v>0</v>
      </c>
      <c r="BV24" s="59">
        <f>-(BV15+BV18)*Assumptions!$F$30</f>
        <v>0</v>
      </c>
      <c r="BW24" s="59">
        <f>-(BW15+BW18)*Assumptions!$F$30</f>
        <v>0</v>
      </c>
      <c r="BX24" s="59">
        <f>-(BX15+BX18)*Assumptions!$F$30</f>
        <v>0</v>
      </c>
      <c r="BY24" s="59">
        <f>-(BY15+BY18)*Assumptions!$F$30</f>
        <v>0</v>
      </c>
      <c r="BZ24" s="59">
        <f>-(BZ15+BZ18)*Assumptions!$F$30</f>
        <v>0</v>
      </c>
      <c r="CA24" s="59">
        <f>-(CA15+CA18)*Assumptions!$F$30</f>
        <v>0</v>
      </c>
      <c r="CB24" s="59">
        <f>-(CB15+CB18)*Assumptions!$F$30</f>
        <v>0</v>
      </c>
      <c r="CC24" s="59">
        <f>-(CC15+CC18)*Assumptions!$F$30</f>
        <v>0</v>
      </c>
      <c r="CD24" s="59">
        <f>-(CD15+CD18)*Assumptions!$F$30</f>
        <v>0</v>
      </c>
      <c r="CE24" s="59">
        <f>-(CE15+CE18)*Assumptions!$F$30</f>
        <v>0</v>
      </c>
      <c r="CF24" s="59">
        <f>-(CF15+CF18)*Assumptions!$F$30</f>
        <v>0</v>
      </c>
      <c r="CG24" s="59">
        <f>-(CG15+CG18)*Assumptions!$F$30</f>
        <v>0</v>
      </c>
      <c r="CH24" s="59">
        <f>-(CH15+CH18)*Assumptions!$F$30</f>
        <v>0</v>
      </c>
      <c r="CI24" s="59">
        <f>-(CI15+CI18)*Assumptions!$F$30</f>
        <v>0</v>
      </c>
      <c r="CJ24" s="59">
        <f>-(CJ15+CJ18)*Assumptions!$F$30</f>
        <v>0</v>
      </c>
      <c r="CK24" s="59">
        <f>-(CK15+CK18)*Assumptions!$F$30</f>
        <v>0</v>
      </c>
      <c r="CL24" s="59">
        <f>-(CL15+CL18)*Assumptions!$F$30</f>
        <v>0</v>
      </c>
      <c r="CM24" s="59">
        <f>-(CM15+CM18)*Assumptions!$F$30</f>
        <v>0</v>
      </c>
      <c r="CN24" s="59">
        <f>-(CN15+CN18)*Assumptions!$F$30</f>
        <v>0</v>
      </c>
      <c r="CO24" s="59">
        <f>-(CO15+CO18)*Assumptions!$F$30</f>
        <v>0</v>
      </c>
      <c r="CP24" s="59">
        <f>-(CP15+CP18)*Assumptions!$F$30</f>
        <v>0</v>
      </c>
      <c r="CQ24" s="59">
        <f>-(CQ15+CQ18)*Assumptions!$F$30</f>
        <v>0</v>
      </c>
      <c r="CR24" s="59">
        <f>-(CR15+CR18)*Assumptions!$F$30</f>
        <v>0</v>
      </c>
      <c r="CS24" s="59">
        <f>-(CS15+CS18)*Assumptions!$F$30</f>
        <v>0</v>
      </c>
      <c r="CT24" s="59">
        <f>-(CT15+CT18)*Assumptions!$F$30</f>
        <v>0</v>
      </c>
      <c r="CU24" s="59">
        <f>-(CU15+CU18)*Assumptions!$F$30</f>
        <v>0</v>
      </c>
      <c r="CV24" s="59">
        <f>-(CV15+CV18)*Assumptions!$F$30</f>
        <v>0</v>
      </c>
      <c r="CW24" s="59">
        <f>-(CW15+CW18)*Assumptions!$F$30</f>
        <v>0</v>
      </c>
      <c r="CX24" s="59">
        <f>-(CX15+CX18)*Assumptions!$F$30</f>
        <v>0</v>
      </c>
      <c r="CY24" s="59">
        <f>-(CY15+CY18)*Assumptions!$F$30</f>
        <v>0</v>
      </c>
      <c r="CZ24" s="59">
        <f>-(CZ15+CZ18)*Assumptions!$F$30</f>
        <v>0</v>
      </c>
      <c r="DA24" s="59">
        <f>-(DA15+DA18)*Assumptions!$F$30</f>
        <v>0</v>
      </c>
      <c r="DB24" s="59">
        <f>-(DB15+DB18)*Assumptions!$F$30</f>
        <v>0</v>
      </c>
      <c r="DC24" s="59">
        <f>-(DC15+DC18)*Assumptions!$F$30</f>
        <v>0</v>
      </c>
      <c r="DD24" s="59">
        <f>-(DD15+DD18)*Assumptions!$F$30</f>
        <v>0</v>
      </c>
      <c r="DE24" s="59">
        <f>-(DE15+DE18)*Assumptions!$F$30</f>
        <v>0</v>
      </c>
      <c r="DF24" s="59">
        <f>-(DF15+DF18)*Assumptions!$F$30</f>
        <v>0</v>
      </c>
      <c r="DG24" s="59">
        <f>-(DG15+DG18)*Assumptions!$F$30</f>
        <v>0</v>
      </c>
      <c r="DH24" s="59">
        <f>-(DH15+DH18)*Assumptions!$F$30</f>
        <v>0</v>
      </c>
      <c r="DI24" s="59">
        <f>-(DI15+DI18)*Assumptions!$F$30</f>
        <v>0</v>
      </c>
      <c r="DJ24" s="59">
        <f>-(DJ15+DJ18)*Assumptions!$F$30</f>
        <v>0</v>
      </c>
      <c r="DK24" s="59">
        <f>-(DK15+DK18)*Assumptions!$F$30</f>
        <v>0</v>
      </c>
      <c r="DL24" s="59">
        <f>-(DL15+DL18)*Assumptions!$F$30</f>
        <v>0</v>
      </c>
      <c r="DM24" s="59">
        <f>-(DM15+DM18)*Assumptions!$F$30</f>
        <v>0</v>
      </c>
      <c r="DN24" s="59">
        <f>-(DN15+DN18)*Assumptions!$F$30</f>
        <v>0</v>
      </c>
      <c r="DO24" s="59">
        <f>-(DO15+DO18)*Assumptions!$F$30</f>
        <v>0</v>
      </c>
      <c r="DP24" s="59">
        <f>-(DP15+DP18)*Assumptions!$F$30</f>
        <v>0</v>
      </c>
      <c r="DQ24" s="59">
        <f>-(DQ15+DQ18)*Assumptions!$F$30</f>
        <v>0</v>
      </c>
      <c r="DR24" s="59">
        <f>-(DR15+DR18)*Assumptions!$F$30</f>
        <v>0</v>
      </c>
      <c r="DS24" s="59">
        <f>-(DS15+DS18)*Assumptions!$F$30</f>
        <v>0</v>
      </c>
      <c r="DT24" s="59">
        <f>-(DT15+DT18)*Assumptions!$F$30</f>
        <v>0</v>
      </c>
      <c r="DU24" s="60">
        <f>-(DU15+DU18)*Assumptions!$F$30</f>
        <v>0</v>
      </c>
    </row>
    <row r="25" spans="1:125" s="4" customFormat="1" x14ac:dyDescent="0.4">
      <c r="B25" s="74"/>
      <c r="C25" s="75" t="s">
        <v>35</v>
      </c>
      <c r="D25" s="89"/>
      <c r="E25" s="90">
        <f>SUM(E26:E27)</f>
        <v>0</v>
      </c>
      <c r="F25" s="90">
        <f t="shared" ref="F25:BQ25" si="11">SUM(F26:F27)</f>
        <v>0</v>
      </c>
      <c r="G25" s="90">
        <f t="shared" si="11"/>
        <v>0</v>
      </c>
      <c r="H25" s="90">
        <f t="shared" si="11"/>
        <v>0</v>
      </c>
      <c r="I25" s="90">
        <f t="shared" si="11"/>
        <v>0</v>
      </c>
      <c r="J25" s="90">
        <f t="shared" si="11"/>
        <v>0</v>
      </c>
      <c r="K25" s="90">
        <f t="shared" si="11"/>
        <v>0</v>
      </c>
      <c r="L25" s="90">
        <f t="shared" si="11"/>
        <v>0</v>
      </c>
      <c r="M25" s="90">
        <f t="shared" si="11"/>
        <v>0</v>
      </c>
      <c r="N25" s="90">
        <f t="shared" si="11"/>
        <v>0</v>
      </c>
      <c r="O25" s="90">
        <f t="shared" si="11"/>
        <v>0</v>
      </c>
      <c r="P25" s="90">
        <f t="shared" si="11"/>
        <v>0</v>
      </c>
      <c r="Q25" s="90">
        <f t="shared" si="11"/>
        <v>0</v>
      </c>
      <c r="R25" s="90">
        <f t="shared" si="11"/>
        <v>0</v>
      </c>
      <c r="S25" s="90">
        <f t="shared" si="11"/>
        <v>0</v>
      </c>
      <c r="T25" s="90">
        <f t="shared" si="11"/>
        <v>0</v>
      </c>
      <c r="U25" s="90">
        <f t="shared" si="11"/>
        <v>0</v>
      </c>
      <c r="V25" s="90">
        <f t="shared" si="11"/>
        <v>0</v>
      </c>
      <c r="W25" s="90">
        <f t="shared" si="11"/>
        <v>0</v>
      </c>
      <c r="X25" s="90">
        <f t="shared" si="11"/>
        <v>0</v>
      </c>
      <c r="Y25" s="90">
        <f t="shared" si="11"/>
        <v>0</v>
      </c>
      <c r="Z25" s="90">
        <f t="shared" si="11"/>
        <v>0</v>
      </c>
      <c r="AA25" s="90">
        <f t="shared" si="11"/>
        <v>0</v>
      </c>
      <c r="AB25" s="90">
        <f t="shared" si="11"/>
        <v>0</v>
      </c>
      <c r="AC25" s="90">
        <f t="shared" si="11"/>
        <v>0</v>
      </c>
      <c r="AD25" s="90">
        <f t="shared" si="11"/>
        <v>0</v>
      </c>
      <c r="AE25" s="90">
        <f t="shared" si="11"/>
        <v>0</v>
      </c>
      <c r="AF25" s="90">
        <f t="shared" si="11"/>
        <v>0</v>
      </c>
      <c r="AG25" s="90">
        <f t="shared" si="11"/>
        <v>0</v>
      </c>
      <c r="AH25" s="90">
        <f t="shared" si="11"/>
        <v>0</v>
      </c>
      <c r="AI25" s="90">
        <f t="shared" si="11"/>
        <v>0</v>
      </c>
      <c r="AJ25" s="90">
        <f t="shared" si="11"/>
        <v>0</v>
      </c>
      <c r="AK25" s="90">
        <f t="shared" si="11"/>
        <v>0</v>
      </c>
      <c r="AL25" s="90">
        <f t="shared" si="11"/>
        <v>0</v>
      </c>
      <c r="AM25" s="90">
        <f t="shared" si="11"/>
        <v>0</v>
      </c>
      <c r="AN25" s="90">
        <f t="shared" si="11"/>
        <v>0</v>
      </c>
      <c r="AO25" s="90">
        <f t="shared" si="11"/>
        <v>0</v>
      </c>
      <c r="AP25" s="90">
        <f t="shared" si="11"/>
        <v>0</v>
      </c>
      <c r="AQ25" s="90">
        <f t="shared" si="11"/>
        <v>0</v>
      </c>
      <c r="AR25" s="90">
        <f t="shared" si="11"/>
        <v>0</v>
      </c>
      <c r="AS25" s="90">
        <f t="shared" si="11"/>
        <v>0</v>
      </c>
      <c r="AT25" s="90">
        <f t="shared" si="11"/>
        <v>0</v>
      </c>
      <c r="AU25" s="90">
        <f t="shared" si="11"/>
        <v>0</v>
      </c>
      <c r="AV25" s="90">
        <f t="shared" si="11"/>
        <v>0</v>
      </c>
      <c r="AW25" s="90">
        <f t="shared" si="11"/>
        <v>0</v>
      </c>
      <c r="AX25" s="90">
        <f t="shared" si="11"/>
        <v>0</v>
      </c>
      <c r="AY25" s="90">
        <f t="shared" si="11"/>
        <v>0</v>
      </c>
      <c r="AZ25" s="90">
        <f t="shared" si="11"/>
        <v>0</v>
      </c>
      <c r="BA25" s="90">
        <f t="shared" si="11"/>
        <v>0</v>
      </c>
      <c r="BB25" s="90">
        <f t="shared" si="11"/>
        <v>0</v>
      </c>
      <c r="BC25" s="90">
        <f t="shared" si="11"/>
        <v>0</v>
      </c>
      <c r="BD25" s="90">
        <f t="shared" si="11"/>
        <v>0</v>
      </c>
      <c r="BE25" s="90">
        <f t="shared" si="11"/>
        <v>0</v>
      </c>
      <c r="BF25" s="90">
        <f t="shared" si="11"/>
        <v>0</v>
      </c>
      <c r="BG25" s="90">
        <f t="shared" si="11"/>
        <v>0</v>
      </c>
      <c r="BH25" s="90">
        <f t="shared" si="11"/>
        <v>0</v>
      </c>
      <c r="BI25" s="90">
        <f t="shared" si="11"/>
        <v>0</v>
      </c>
      <c r="BJ25" s="90">
        <f t="shared" si="11"/>
        <v>0</v>
      </c>
      <c r="BK25" s="90">
        <f t="shared" si="11"/>
        <v>0</v>
      </c>
      <c r="BL25" s="90">
        <f t="shared" si="11"/>
        <v>0</v>
      </c>
      <c r="BM25" s="90">
        <f t="shared" si="11"/>
        <v>0</v>
      </c>
      <c r="BN25" s="90">
        <f t="shared" si="11"/>
        <v>0</v>
      </c>
      <c r="BO25" s="90">
        <f t="shared" si="11"/>
        <v>0</v>
      </c>
      <c r="BP25" s="90">
        <f t="shared" si="11"/>
        <v>0</v>
      </c>
      <c r="BQ25" s="90">
        <f t="shared" si="11"/>
        <v>0</v>
      </c>
      <c r="BR25" s="90">
        <f t="shared" ref="BR25:DU25" si="12">SUM(BR26:BR27)</f>
        <v>0</v>
      </c>
      <c r="BS25" s="90">
        <f t="shared" si="12"/>
        <v>0</v>
      </c>
      <c r="BT25" s="90">
        <f t="shared" si="12"/>
        <v>0</v>
      </c>
      <c r="BU25" s="90">
        <f t="shared" si="12"/>
        <v>0</v>
      </c>
      <c r="BV25" s="90">
        <f t="shared" si="12"/>
        <v>0</v>
      </c>
      <c r="BW25" s="90">
        <f t="shared" si="12"/>
        <v>0</v>
      </c>
      <c r="BX25" s="90">
        <f t="shared" si="12"/>
        <v>0</v>
      </c>
      <c r="BY25" s="90">
        <f t="shared" si="12"/>
        <v>0</v>
      </c>
      <c r="BZ25" s="90">
        <f t="shared" si="12"/>
        <v>0</v>
      </c>
      <c r="CA25" s="90">
        <f t="shared" si="12"/>
        <v>0</v>
      </c>
      <c r="CB25" s="90">
        <f t="shared" si="12"/>
        <v>0</v>
      </c>
      <c r="CC25" s="90">
        <f t="shared" si="12"/>
        <v>0</v>
      </c>
      <c r="CD25" s="90">
        <f t="shared" si="12"/>
        <v>0</v>
      </c>
      <c r="CE25" s="90">
        <f t="shared" si="12"/>
        <v>0</v>
      </c>
      <c r="CF25" s="90">
        <f t="shared" si="12"/>
        <v>0</v>
      </c>
      <c r="CG25" s="90">
        <f t="shared" si="12"/>
        <v>0</v>
      </c>
      <c r="CH25" s="90">
        <f t="shared" si="12"/>
        <v>0</v>
      </c>
      <c r="CI25" s="90">
        <f t="shared" si="12"/>
        <v>0</v>
      </c>
      <c r="CJ25" s="90">
        <f t="shared" si="12"/>
        <v>0</v>
      </c>
      <c r="CK25" s="90">
        <f t="shared" si="12"/>
        <v>0</v>
      </c>
      <c r="CL25" s="90">
        <f t="shared" si="12"/>
        <v>0</v>
      </c>
      <c r="CM25" s="90">
        <f t="shared" si="12"/>
        <v>0</v>
      </c>
      <c r="CN25" s="90">
        <f t="shared" si="12"/>
        <v>0</v>
      </c>
      <c r="CO25" s="90">
        <f t="shared" si="12"/>
        <v>0</v>
      </c>
      <c r="CP25" s="90">
        <f t="shared" si="12"/>
        <v>0</v>
      </c>
      <c r="CQ25" s="90">
        <f t="shared" si="12"/>
        <v>0</v>
      </c>
      <c r="CR25" s="90">
        <f t="shared" si="12"/>
        <v>0</v>
      </c>
      <c r="CS25" s="90">
        <f t="shared" si="12"/>
        <v>0</v>
      </c>
      <c r="CT25" s="90">
        <f t="shared" si="12"/>
        <v>0</v>
      </c>
      <c r="CU25" s="90">
        <f t="shared" si="12"/>
        <v>0</v>
      </c>
      <c r="CV25" s="90">
        <f t="shared" si="12"/>
        <v>0</v>
      </c>
      <c r="CW25" s="90">
        <f t="shared" si="12"/>
        <v>0</v>
      </c>
      <c r="CX25" s="90">
        <f t="shared" si="12"/>
        <v>0</v>
      </c>
      <c r="CY25" s="90">
        <f t="shared" si="12"/>
        <v>0</v>
      </c>
      <c r="CZ25" s="90">
        <f t="shared" si="12"/>
        <v>0</v>
      </c>
      <c r="DA25" s="90">
        <f t="shared" si="12"/>
        <v>0</v>
      </c>
      <c r="DB25" s="90">
        <f t="shared" si="12"/>
        <v>0</v>
      </c>
      <c r="DC25" s="90">
        <f t="shared" si="12"/>
        <v>0</v>
      </c>
      <c r="DD25" s="90">
        <f t="shared" si="12"/>
        <v>0</v>
      </c>
      <c r="DE25" s="90">
        <f t="shared" si="12"/>
        <v>0</v>
      </c>
      <c r="DF25" s="90">
        <f t="shared" si="12"/>
        <v>0</v>
      </c>
      <c r="DG25" s="90">
        <f t="shared" si="12"/>
        <v>0</v>
      </c>
      <c r="DH25" s="90">
        <f t="shared" si="12"/>
        <v>0</v>
      </c>
      <c r="DI25" s="90">
        <f t="shared" si="12"/>
        <v>0</v>
      </c>
      <c r="DJ25" s="90">
        <f t="shared" si="12"/>
        <v>0</v>
      </c>
      <c r="DK25" s="90">
        <f t="shared" si="12"/>
        <v>0</v>
      </c>
      <c r="DL25" s="90">
        <f t="shared" si="12"/>
        <v>0</v>
      </c>
      <c r="DM25" s="90">
        <f t="shared" si="12"/>
        <v>0</v>
      </c>
      <c r="DN25" s="90">
        <f t="shared" si="12"/>
        <v>0</v>
      </c>
      <c r="DO25" s="90">
        <f t="shared" si="12"/>
        <v>0</v>
      </c>
      <c r="DP25" s="90">
        <f t="shared" si="12"/>
        <v>0</v>
      </c>
      <c r="DQ25" s="90">
        <f t="shared" si="12"/>
        <v>0</v>
      </c>
      <c r="DR25" s="90">
        <f t="shared" si="12"/>
        <v>0</v>
      </c>
      <c r="DS25" s="90">
        <f t="shared" si="12"/>
        <v>0</v>
      </c>
      <c r="DT25" s="90">
        <f t="shared" si="12"/>
        <v>0</v>
      </c>
      <c r="DU25" s="88">
        <f t="shared" si="12"/>
        <v>0</v>
      </c>
    </row>
    <row r="26" spans="1:125" x14ac:dyDescent="0.4">
      <c r="B26" s="39"/>
      <c r="C26" s="55" t="s">
        <v>60</v>
      </c>
      <c r="D26" s="80"/>
      <c r="E26" s="59">
        <f>-D69*(Assumptions!$E$22/12)</f>
        <v>0</v>
      </c>
      <c r="F26" s="59">
        <f>-E69*(Assumptions!$E$22/12)</f>
        <v>0</v>
      </c>
      <c r="G26" s="59">
        <f>-F69*(Assumptions!$E$22/12)</f>
        <v>0</v>
      </c>
      <c r="H26" s="59">
        <f>-G69*(Assumptions!$E$22/12)</f>
        <v>0</v>
      </c>
      <c r="I26" s="59">
        <f>-H69*(Assumptions!$E$22/12)</f>
        <v>0</v>
      </c>
      <c r="J26" s="59">
        <f>-I69*(Assumptions!$E$22/12)</f>
        <v>0</v>
      </c>
      <c r="K26" s="59">
        <f>-J69*(Assumptions!$E$22/12)</f>
        <v>0</v>
      </c>
      <c r="L26" s="59">
        <f>-K69*(Assumptions!$E$22/12)</f>
        <v>0</v>
      </c>
      <c r="M26" s="59">
        <f>-L69*(Assumptions!$E$22/12)</f>
        <v>0</v>
      </c>
      <c r="N26" s="59">
        <f>-M69*(Assumptions!$E$22/12)</f>
        <v>0</v>
      </c>
      <c r="O26" s="59">
        <f>-N69*(Assumptions!$E$22/12)</f>
        <v>0</v>
      </c>
      <c r="P26" s="59">
        <f>-O69*(Assumptions!$E$22/12)</f>
        <v>0</v>
      </c>
      <c r="Q26" s="59">
        <f>-P69*(Assumptions!$E$22/12)</f>
        <v>0</v>
      </c>
      <c r="R26" s="59">
        <f>-Q69*(Assumptions!$E$22/12)</f>
        <v>0</v>
      </c>
      <c r="S26" s="59">
        <f>-R69*(Assumptions!$E$22/12)</f>
        <v>0</v>
      </c>
      <c r="T26" s="59">
        <f>-S69*(Assumptions!$E$22/12)</f>
        <v>0</v>
      </c>
      <c r="U26" s="59">
        <f>-T69*(Assumptions!$E$22/12)</f>
        <v>0</v>
      </c>
      <c r="V26" s="59">
        <f>-U69*(Assumptions!$E$22/12)</f>
        <v>0</v>
      </c>
      <c r="W26" s="59">
        <f>-V69*(Assumptions!$E$22/12)</f>
        <v>0</v>
      </c>
      <c r="X26" s="59">
        <f>-W69*(Assumptions!$E$22/12)</f>
        <v>0</v>
      </c>
      <c r="Y26" s="59">
        <f>-X69*(Assumptions!$E$22/12)</f>
        <v>0</v>
      </c>
      <c r="Z26" s="59">
        <f>-Y69*(Assumptions!$E$22/12)</f>
        <v>0</v>
      </c>
      <c r="AA26" s="59">
        <f>-Z69*(Assumptions!$E$22/12)</f>
        <v>0</v>
      </c>
      <c r="AB26" s="59">
        <f>-AA69*(Assumptions!$E$22/12)</f>
        <v>0</v>
      </c>
      <c r="AC26" s="59">
        <f>-AB69*(Assumptions!$E$22/12)</f>
        <v>0</v>
      </c>
      <c r="AD26" s="59">
        <f>-AC69*(Assumptions!$E$22/12)</f>
        <v>0</v>
      </c>
      <c r="AE26" s="59">
        <f>-AD69*(Assumptions!$E$22/12)</f>
        <v>0</v>
      </c>
      <c r="AF26" s="59">
        <f>-AE69*(Assumptions!$E$22/12)</f>
        <v>0</v>
      </c>
      <c r="AG26" s="59">
        <f>-AF69*(Assumptions!$E$22/12)</f>
        <v>0</v>
      </c>
      <c r="AH26" s="59">
        <f>-AG69*(Assumptions!$E$22/12)</f>
        <v>0</v>
      </c>
      <c r="AI26" s="59">
        <f>-AH69*(Assumptions!$E$22/12)</f>
        <v>0</v>
      </c>
      <c r="AJ26" s="59">
        <f>-AI69*(Assumptions!$E$22/12)</f>
        <v>0</v>
      </c>
      <c r="AK26" s="59">
        <f>-AJ69*(Assumptions!$E$22/12)</f>
        <v>0</v>
      </c>
      <c r="AL26" s="59">
        <f>-AK69*(Assumptions!$E$22/12)</f>
        <v>0</v>
      </c>
      <c r="AM26" s="59">
        <f>-AL69*(Assumptions!$E$22/12)</f>
        <v>0</v>
      </c>
      <c r="AN26" s="59">
        <f>-AM69*(Assumptions!$E$22/12)</f>
        <v>0</v>
      </c>
      <c r="AO26" s="59">
        <f>-AN69*(Assumptions!$E$22/12)</f>
        <v>0</v>
      </c>
      <c r="AP26" s="59">
        <f>-AO69*(Assumptions!$E$22/12)</f>
        <v>0</v>
      </c>
      <c r="AQ26" s="59">
        <f>-AP69*(Assumptions!$E$22/12)</f>
        <v>0</v>
      </c>
      <c r="AR26" s="59">
        <f>-AQ69*(Assumptions!$E$22/12)</f>
        <v>0</v>
      </c>
      <c r="AS26" s="59">
        <f>-AR69*(Assumptions!$E$22/12)</f>
        <v>0</v>
      </c>
      <c r="AT26" s="59">
        <f>-AS69*(Assumptions!$E$22/12)</f>
        <v>0</v>
      </c>
      <c r="AU26" s="59">
        <f>-AT69*(Assumptions!$E$22/12)</f>
        <v>0</v>
      </c>
      <c r="AV26" s="59">
        <f>-AU69*(Assumptions!$E$22/12)</f>
        <v>0</v>
      </c>
      <c r="AW26" s="59">
        <f>-AV69*(Assumptions!$E$22/12)</f>
        <v>0</v>
      </c>
      <c r="AX26" s="59">
        <f>-AW69*(Assumptions!$E$22/12)</f>
        <v>0</v>
      </c>
      <c r="AY26" s="59">
        <f>-AX69*(Assumptions!$E$22/12)</f>
        <v>0</v>
      </c>
      <c r="AZ26" s="59">
        <f>-AY69*(Assumptions!$E$22/12)</f>
        <v>0</v>
      </c>
      <c r="BA26" s="59">
        <f>-AZ69*(Assumptions!$E$22/12)</f>
        <v>0</v>
      </c>
      <c r="BB26" s="59">
        <f>-BA69*(Assumptions!$E$22/12)</f>
        <v>0</v>
      </c>
      <c r="BC26" s="59">
        <f>-BB69*(Assumptions!$E$22/12)</f>
        <v>0</v>
      </c>
      <c r="BD26" s="59">
        <f>-BC69*(Assumptions!$E$22/12)</f>
        <v>0</v>
      </c>
      <c r="BE26" s="59">
        <f>-BD69*(Assumptions!$E$22/12)</f>
        <v>0</v>
      </c>
      <c r="BF26" s="59">
        <f>-BE69*(Assumptions!$E$22/12)</f>
        <v>0</v>
      </c>
      <c r="BG26" s="59">
        <f>-BF69*(Assumptions!$E$22/12)</f>
        <v>0</v>
      </c>
      <c r="BH26" s="59">
        <f>-BG69*(Assumptions!$E$22/12)</f>
        <v>0</v>
      </c>
      <c r="BI26" s="59">
        <f>-BH69*(Assumptions!$E$22/12)</f>
        <v>0</v>
      </c>
      <c r="BJ26" s="59">
        <f>-BI69*(Assumptions!$E$22/12)</f>
        <v>0</v>
      </c>
      <c r="BK26" s="59">
        <f>-BJ69*(Assumptions!$E$22/12)</f>
        <v>0</v>
      </c>
      <c r="BL26" s="59">
        <f>-BK69*(Assumptions!$E$22/12)</f>
        <v>0</v>
      </c>
      <c r="BM26" s="59">
        <f>-BL69*(Assumptions!$E$22/12)</f>
        <v>0</v>
      </c>
      <c r="BN26" s="59">
        <f>-BM69*(Assumptions!$E$22/12)</f>
        <v>0</v>
      </c>
      <c r="BO26" s="59">
        <f>-BN69*(Assumptions!$E$22/12)</f>
        <v>0</v>
      </c>
      <c r="BP26" s="59">
        <f>-BO69*(Assumptions!$E$22/12)</f>
        <v>0</v>
      </c>
      <c r="BQ26" s="59">
        <f>-BP69*(Assumptions!$E$22/12)</f>
        <v>0</v>
      </c>
      <c r="BR26" s="59">
        <f>-BQ69*(Assumptions!$E$22/12)</f>
        <v>0</v>
      </c>
      <c r="BS26" s="59">
        <f>-BR69*(Assumptions!$E$22/12)</f>
        <v>0</v>
      </c>
      <c r="BT26" s="59">
        <f>-BS69*(Assumptions!$E$22/12)</f>
        <v>0</v>
      </c>
      <c r="BU26" s="59">
        <f>-BT69*(Assumptions!$E$22/12)</f>
        <v>0</v>
      </c>
      <c r="BV26" s="59">
        <f>-BU69*(Assumptions!$E$22/12)</f>
        <v>0</v>
      </c>
      <c r="BW26" s="59">
        <f>-BV69*(Assumptions!$E$22/12)</f>
        <v>0</v>
      </c>
      <c r="BX26" s="59">
        <f>-BW69*(Assumptions!$E$22/12)</f>
        <v>0</v>
      </c>
      <c r="BY26" s="59">
        <f>-BX69*(Assumptions!$E$22/12)</f>
        <v>0</v>
      </c>
      <c r="BZ26" s="59">
        <f>-BY69*(Assumptions!$E$22/12)</f>
        <v>0</v>
      </c>
      <c r="CA26" s="59">
        <f>-BZ69*(Assumptions!$E$22/12)</f>
        <v>0</v>
      </c>
      <c r="CB26" s="59">
        <f>-CA69*(Assumptions!$E$22/12)</f>
        <v>0</v>
      </c>
      <c r="CC26" s="59">
        <f>-CB69*(Assumptions!$E$22/12)</f>
        <v>0</v>
      </c>
      <c r="CD26" s="59">
        <f>-CC69*(Assumptions!$E$22/12)</f>
        <v>0</v>
      </c>
      <c r="CE26" s="59">
        <f>-CD69*(Assumptions!$E$22/12)</f>
        <v>0</v>
      </c>
      <c r="CF26" s="59">
        <f>-CE69*(Assumptions!$E$22/12)</f>
        <v>0</v>
      </c>
      <c r="CG26" s="59">
        <f>-CF69*(Assumptions!$E$22/12)</f>
        <v>0</v>
      </c>
      <c r="CH26" s="59">
        <f>-CG69*(Assumptions!$E$22/12)</f>
        <v>0</v>
      </c>
      <c r="CI26" s="59">
        <f>-CH69*(Assumptions!$E$22/12)</f>
        <v>0</v>
      </c>
      <c r="CJ26" s="59">
        <f>-CI69*(Assumptions!$E$22/12)</f>
        <v>0</v>
      </c>
      <c r="CK26" s="59">
        <f>-CJ69*(Assumptions!$E$22/12)</f>
        <v>0</v>
      </c>
      <c r="CL26" s="59">
        <f>-CK69*(Assumptions!$E$22/12)</f>
        <v>0</v>
      </c>
      <c r="CM26" s="59">
        <f>-CL69*(Assumptions!$E$22/12)</f>
        <v>0</v>
      </c>
      <c r="CN26" s="59">
        <f>-CM69*(Assumptions!$E$22/12)</f>
        <v>0</v>
      </c>
      <c r="CO26" s="59">
        <f>-CN69*(Assumptions!$E$22/12)</f>
        <v>0</v>
      </c>
      <c r="CP26" s="59">
        <f>-CO69*(Assumptions!$E$22/12)</f>
        <v>0</v>
      </c>
      <c r="CQ26" s="59">
        <f>-CP69*(Assumptions!$E$22/12)</f>
        <v>0</v>
      </c>
      <c r="CR26" s="59">
        <f>-CQ69*(Assumptions!$E$22/12)</f>
        <v>0</v>
      </c>
      <c r="CS26" s="59">
        <f>-CR69*(Assumptions!$E$22/12)</f>
        <v>0</v>
      </c>
      <c r="CT26" s="59">
        <f>-CS69*(Assumptions!$E$22/12)</f>
        <v>0</v>
      </c>
      <c r="CU26" s="59">
        <f>-CT69*(Assumptions!$E$22/12)</f>
        <v>0</v>
      </c>
      <c r="CV26" s="59">
        <f>-CU69*(Assumptions!$E$22/12)</f>
        <v>0</v>
      </c>
      <c r="CW26" s="59">
        <f>-CV69*(Assumptions!$E$22/12)</f>
        <v>0</v>
      </c>
      <c r="CX26" s="59">
        <f>-CW69*(Assumptions!$E$22/12)</f>
        <v>0</v>
      </c>
      <c r="CY26" s="59">
        <f>-CX69*(Assumptions!$E$22/12)</f>
        <v>0</v>
      </c>
      <c r="CZ26" s="59">
        <f>-CY69*(Assumptions!$E$22/12)</f>
        <v>0</v>
      </c>
      <c r="DA26" s="59">
        <f>-CZ69*(Assumptions!$E$22/12)</f>
        <v>0</v>
      </c>
      <c r="DB26" s="59">
        <f>-DA69*(Assumptions!$E$22/12)</f>
        <v>0</v>
      </c>
      <c r="DC26" s="59">
        <f>-DB69*(Assumptions!$E$22/12)</f>
        <v>0</v>
      </c>
      <c r="DD26" s="59">
        <f>-DC69*(Assumptions!$E$22/12)</f>
        <v>0</v>
      </c>
      <c r="DE26" s="59">
        <f>-DD69*(Assumptions!$E$22/12)</f>
        <v>0</v>
      </c>
      <c r="DF26" s="59">
        <f>-DE69*(Assumptions!$E$22/12)</f>
        <v>0</v>
      </c>
      <c r="DG26" s="59">
        <f>-DF69*(Assumptions!$E$22/12)</f>
        <v>0</v>
      </c>
      <c r="DH26" s="59">
        <f>-DG69*(Assumptions!$E$22/12)</f>
        <v>0</v>
      </c>
      <c r="DI26" s="59">
        <f>-DH69*(Assumptions!$E$22/12)</f>
        <v>0</v>
      </c>
      <c r="DJ26" s="59">
        <f>-DI69*(Assumptions!$E$22/12)</f>
        <v>0</v>
      </c>
      <c r="DK26" s="59">
        <f>-DJ69*(Assumptions!$E$22/12)</f>
        <v>0</v>
      </c>
      <c r="DL26" s="59">
        <f>-DK69*(Assumptions!$E$22/12)</f>
        <v>0</v>
      </c>
      <c r="DM26" s="59">
        <f>-DL69*(Assumptions!$E$22/12)</f>
        <v>0</v>
      </c>
      <c r="DN26" s="59">
        <f>-DM69*(Assumptions!$E$22/12)</f>
        <v>0</v>
      </c>
      <c r="DO26" s="59">
        <f>-DN69*(Assumptions!$E$22/12)</f>
        <v>0</v>
      </c>
      <c r="DP26" s="59">
        <f>-DO69*(Assumptions!$E$22/12)</f>
        <v>0</v>
      </c>
      <c r="DQ26" s="59">
        <f>-DP69*(Assumptions!$E$22/12)</f>
        <v>0</v>
      </c>
      <c r="DR26" s="59">
        <f>-DQ69*(Assumptions!$E$22/12)</f>
        <v>0</v>
      </c>
      <c r="DS26" s="59">
        <f>-DR69*(Assumptions!$E$22/12)</f>
        <v>0</v>
      </c>
      <c r="DT26" s="59">
        <f>-DS69*(Assumptions!$E$22/12)</f>
        <v>0</v>
      </c>
      <c r="DU26" s="60">
        <f>-DT69*(Assumptions!$E$22/12)</f>
        <v>0</v>
      </c>
    </row>
    <row r="27" spans="1:125" x14ac:dyDescent="0.4">
      <c r="B27" s="39"/>
      <c r="C27" s="55" t="s">
        <v>61</v>
      </c>
      <c r="D27" s="80"/>
      <c r="E27" s="59">
        <f>-D70*(Assumptions!$F$22/12)</f>
        <v>0</v>
      </c>
      <c r="F27" s="59">
        <f>-E70*(Assumptions!$F$22/12)</f>
        <v>0</v>
      </c>
      <c r="G27" s="59">
        <f>-F70*(Assumptions!$F$22/12)</f>
        <v>0</v>
      </c>
      <c r="H27" s="59">
        <f>-G70*(Assumptions!$F$22/12)</f>
        <v>0</v>
      </c>
      <c r="I27" s="59">
        <f>-H70*(Assumptions!$F$22/12)</f>
        <v>0</v>
      </c>
      <c r="J27" s="59">
        <f>-I70*(Assumptions!$F$22/12)</f>
        <v>0</v>
      </c>
      <c r="K27" s="59">
        <f>-J70*(Assumptions!$F$22/12)</f>
        <v>0</v>
      </c>
      <c r="L27" s="59">
        <f>-K70*(Assumptions!$F$22/12)</f>
        <v>0</v>
      </c>
      <c r="M27" s="59">
        <f>-L70*(Assumptions!$F$22/12)</f>
        <v>0</v>
      </c>
      <c r="N27" s="59">
        <f>-M70*(Assumptions!$F$22/12)</f>
        <v>0</v>
      </c>
      <c r="O27" s="59">
        <f>-N70*(Assumptions!$F$22/12)</f>
        <v>0</v>
      </c>
      <c r="P27" s="59">
        <f>-O70*(Assumptions!$F$22/12)</f>
        <v>0</v>
      </c>
      <c r="Q27" s="59">
        <f>-P70*(Assumptions!$F$22/12)</f>
        <v>0</v>
      </c>
      <c r="R27" s="59">
        <f>-Q70*(Assumptions!$F$22/12)</f>
        <v>0</v>
      </c>
      <c r="S27" s="59">
        <f>-R70*(Assumptions!$F$22/12)</f>
        <v>0</v>
      </c>
      <c r="T27" s="59">
        <f>-S70*(Assumptions!$F$22/12)</f>
        <v>0</v>
      </c>
      <c r="U27" s="59">
        <f>-T70*(Assumptions!$F$22/12)</f>
        <v>0</v>
      </c>
      <c r="V27" s="59">
        <f>-U70*(Assumptions!$F$22/12)</f>
        <v>0</v>
      </c>
      <c r="W27" s="59">
        <f>-V70*(Assumptions!$F$22/12)</f>
        <v>0</v>
      </c>
      <c r="X27" s="59">
        <f>-W70*(Assumptions!$F$22/12)</f>
        <v>0</v>
      </c>
      <c r="Y27" s="59">
        <f>-X70*(Assumptions!$F$22/12)</f>
        <v>0</v>
      </c>
      <c r="Z27" s="59">
        <f>-Y70*(Assumptions!$F$22/12)</f>
        <v>0</v>
      </c>
      <c r="AA27" s="59">
        <f>-Z70*(Assumptions!$F$22/12)</f>
        <v>0</v>
      </c>
      <c r="AB27" s="59">
        <f>-AA70*(Assumptions!$F$22/12)</f>
        <v>0</v>
      </c>
      <c r="AC27" s="59">
        <f>-AB70*(Assumptions!$F$22/12)</f>
        <v>0</v>
      </c>
      <c r="AD27" s="59">
        <f>-AC70*(Assumptions!$F$22/12)</f>
        <v>0</v>
      </c>
      <c r="AE27" s="59">
        <f>-AD70*(Assumptions!$F$22/12)</f>
        <v>0</v>
      </c>
      <c r="AF27" s="59">
        <f>-AE70*(Assumptions!$F$22/12)</f>
        <v>0</v>
      </c>
      <c r="AG27" s="59">
        <f>-AF70*(Assumptions!$F$22/12)</f>
        <v>0</v>
      </c>
      <c r="AH27" s="59">
        <f>-AG70*(Assumptions!$F$22/12)</f>
        <v>0</v>
      </c>
      <c r="AI27" s="59">
        <f>-AH70*(Assumptions!$F$22/12)</f>
        <v>0</v>
      </c>
      <c r="AJ27" s="59">
        <f>-AI70*(Assumptions!$F$22/12)</f>
        <v>0</v>
      </c>
      <c r="AK27" s="59">
        <f>-AJ70*(Assumptions!$F$22/12)</f>
        <v>0</v>
      </c>
      <c r="AL27" s="59">
        <f>-AK70*(Assumptions!$F$22/12)</f>
        <v>0</v>
      </c>
      <c r="AM27" s="59">
        <f>-AL70*(Assumptions!$F$22/12)</f>
        <v>0</v>
      </c>
      <c r="AN27" s="59">
        <f>-AM70*(Assumptions!$F$22/12)</f>
        <v>0</v>
      </c>
      <c r="AO27" s="59">
        <f>-AN70*(Assumptions!$F$22/12)</f>
        <v>0</v>
      </c>
      <c r="AP27" s="59">
        <f>-AO70*(Assumptions!$F$22/12)</f>
        <v>0</v>
      </c>
      <c r="AQ27" s="59">
        <f>-AP70*(Assumptions!$F$22/12)</f>
        <v>0</v>
      </c>
      <c r="AR27" s="59">
        <f>-AQ70*(Assumptions!$F$22/12)</f>
        <v>0</v>
      </c>
      <c r="AS27" s="59">
        <f>-AR70*(Assumptions!$F$22/12)</f>
        <v>0</v>
      </c>
      <c r="AT27" s="59">
        <f>-AS70*(Assumptions!$F$22/12)</f>
        <v>0</v>
      </c>
      <c r="AU27" s="59">
        <f>-AT70*(Assumptions!$F$22/12)</f>
        <v>0</v>
      </c>
      <c r="AV27" s="59">
        <f>-AU70*(Assumptions!$F$22/12)</f>
        <v>0</v>
      </c>
      <c r="AW27" s="59">
        <f>-AV70*(Assumptions!$F$22/12)</f>
        <v>0</v>
      </c>
      <c r="AX27" s="59">
        <f>-AW70*(Assumptions!$F$22/12)</f>
        <v>0</v>
      </c>
      <c r="AY27" s="59">
        <f>-AX70*(Assumptions!$F$22/12)</f>
        <v>0</v>
      </c>
      <c r="AZ27" s="59">
        <f>-AY70*(Assumptions!$F$22/12)</f>
        <v>0</v>
      </c>
      <c r="BA27" s="59">
        <f>-AZ70*(Assumptions!$F$22/12)</f>
        <v>0</v>
      </c>
      <c r="BB27" s="59">
        <f>-BA70*(Assumptions!$F$22/12)</f>
        <v>0</v>
      </c>
      <c r="BC27" s="59">
        <f>-BB70*(Assumptions!$F$22/12)</f>
        <v>0</v>
      </c>
      <c r="BD27" s="59">
        <f>-BC70*(Assumptions!$F$22/12)</f>
        <v>0</v>
      </c>
      <c r="BE27" s="59">
        <f>-BD70*(Assumptions!$F$22/12)</f>
        <v>0</v>
      </c>
      <c r="BF27" s="59">
        <f>-BE70*(Assumptions!$F$22/12)</f>
        <v>0</v>
      </c>
      <c r="BG27" s="59">
        <f>-BF70*(Assumptions!$F$22/12)</f>
        <v>0</v>
      </c>
      <c r="BH27" s="59">
        <f>-BG70*(Assumptions!$F$22/12)</f>
        <v>0</v>
      </c>
      <c r="BI27" s="59">
        <f>-BH70*(Assumptions!$F$22/12)</f>
        <v>0</v>
      </c>
      <c r="BJ27" s="59">
        <f>-BI70*(Assumptions!$F$22/12)</f>
        <v>0</v>
      </c>
      <c r="BK27" s="59">
        <f>-BJ70*(Assumptions!$F$22/12)</f>
        <v>0</v>
      </c>
      <c r="BL27" s="59">
        <f>-BK70*(Assumptions!$F$22/12)</f>
        <v>0</v>
      </c>
      <c r="BM27" s="59">
        <f>-BL70*(Assumptions!$F$22/12)</f>
        <v>0</v>
      </c>
      <c r="BN27" s="59">
        <f>-BM70*(Assumptions!$F$22/12)</f>
        <v>0</v>
      </c>
      <c r="BO27" s="59">
        <f>-BN70*(Assumptions!$F$22/12)</f>
        <v>0</v>
      </c>
      <c r="BP27" s="59">
        <f>-BO70*(Assumptions!$F$22/12)</f>
        <v>0</v>
      </c>
      <c r="BQ27" s="59">
        <f>-BP70*(Assumptions!$F$22/12)</f>
        <v>0</v>
      </c>
      <c r="BR27" s="59">
        <f>-BQ70*(Assumptions!$F$22/12)</f>
        <v>0</v>
      </c>
      <c r="BS27" s="59">
        <f>-BR70*(Assumptions!$F$22/12)</f>
        <v>0</v>
      </c>
      <c r="BT27" s="59">
        <f>-BS70*(Assumptions!$F$22/12)</f>
        <v>0</v>
      </c>
      <c r="BU27" s="59">
        <f>-BT70*(Assumptions!$F$22/12)</f>
        <v>0</v>
      </c>
      <c r="BV27" s="59">
        <f>-BU70*(Assumptions!$F$22/12)</f>
        <v>0</v>
      </c>
      <c r="BW27" s="59">
        <f>-BV70*(Assumptions!$F$22/12)</f>
        <v>0</v>
      </c>
      <c r="BX27" s="59">
        <f>-BW70*(Assumptions!$F$22/12)</f>
        <v>0</v>
      </c>
      <c r="BY27" s="59">
        <f>-BX70*(Assumptions!$F$22/12)</f>
        <v>0</v>
      </c>
      <c r="BZ27" s="59">
        <f>-BY70*(Assumptions!$F$22/12)</f>
        <v>0</v>
      </c>
      <c r="CA27" s="59">
        <f>-BZ70*(Assumptions!$F$22/12)</f>
        <v>0</v>
      </c>
      <c r="CB27" s="59">
        <f>-CA70*(Assumptions!$F$22/12)</f>
        <v>0</v>
      </c>
      <c r="CC27" s="59">
        <f>-CB70*(Assumptions!$F$22/12)</f>
        <v>0</v>
      </c>
      <c r="CD27" s="59">
        <f>-CC70*(Assumptions!$F$22/12)</f>
        <v>0</v>
      </c>
      <c r="CE27" s="59">
        <f>-CD70*(Assumptions!$F$22/12)</f>
        <v>0</v>
      </c>
      <c r="CF27" s="59">
        <f>-CE70*(Assumptions!$F$22/12)</f>
        <v>0</v>
      </c>
      <c r="CG27" s="59">
        <f>-CF70*(Assumptions!$F$22/12)</f>
        <v>0</v>
      </c>
      <c r="CH27" s="59">
        <f>-CG70*(Assumptions!$F$22/12)</f>
        <v>0</v>
      </c>
      <c r="CI27" s="59">
        <f>-CH70*(Assumptions!$F$22/12)</f>
        <v>0</v>
      </c>
      <c r="CJ27" s="59">
        <f>-CI70*(Assumptions!$F$22/12)</f>
        <v>0</v>
      </c>
      <c r="CK27" s="59">
        <f>-CJ70*(Assumptions!$F$22/12)</f>
        <v>0</v>
      </c>
      <c r="CL27" s="59">
        <f>-CK70*(Assumptions!$F$22/12)</f>
        <v>0</v>
      </c>
      <c r="CM27" s="59">
        <f>-CL70*(Assumptions!$F$22/12)</f>
        <v>0</v>
      </c>
      <c r="CN27" s="59">
        <f>-CM70*(Assumptions!$F$22/12)</f>
        <v>0</v>
      </c>
      <c r="CO27" s="59">
        <f>-CN70*(Assumptions!$F$22/12)</f>
        <v>0</v>
      </c>
      <c r="CP27" s="59">
        <f>-CO70*(Assumptions!$F$22/12)</f>
        <v>0</v>
      </c>
      <c r="CQ27" s="59">
        <f>-CP70*(Assumptions!$F$22/12)</f>
        <v>0</v>
      </c>
      <c r="CR27" s="59">
        <f>-CQ70*(Assumptions!$F$22/12)</f>
        <v>0</v>
      </c>
      <c r="CS27" s="59">
        <f>-CR70*(Assumptions!$F$22/12)</f>
        <v>0</v>
      </c>
      <c r="CT27" s="59">
        <f>-CS70*(Assumptions!$F$22/12)</f>
        <v>0</v>
      </c>
      <c r="CU27" s="59">
        <f>-CT70*(Assumptions!$F$22/12)</f>
        <v>0</v>
      </c>
      <c r="CV27" s="59">
        <f>-CU70*(Assumptions!$F$22/12)</f>
        <v>0</v>
      </c>
      <c r="CW27" s="59">
        <f>-CV70*(Assumptions!$F$22/12)</f>
        <v>0</v>
      </c>
      <c r="CX27" s="59">
        <f>-CW70*(Assumptions!$F$22/12)</f>
        <v>0</v>
      </c>
      <c r="CY27" s="59">
        <f>-CX70*(Assumptions!$F$22/12)</f>
        <v>0</v>
      </c>
      <c r="CZ27" s="59">
        <f>-CY70*(Assumptions!$F$22/12)</f>
        <v>0</v>
      </c>
      <c r="DA27" s="59">
        <f>-CZ70*(Assumptions!$F$22/12)</f>
        <v>0</v>
      </c>
      <c r="DB27" s="59">
        <f>-DA70*(Assumptions!$F$22/12)</f>
        <v>0</v>
      </c>
      <c r="DC27" s="59">
        <f>-DB70*(Assumptions!$F$22/12)</f>
        <v>0</v>
      </c>
      <c r="DD27" s="59">
        <f>-DC70*(Assumptions!$F$22/12)</f>
        <v>0</v>
      </c>
      <c r="DE27" s="59">
        <f>-DD70*(Assumptions!$F$22/12)</f>
        <v>0</v>
      </c>
      <c r="DF27" s="59">
        <f>-DE70*(Assumptions!$F$22/12)</f>
        <v>0</v>
      </c>
      <c r="DG27" s="59">
        <f>-DF70*(Assumptions!$F$22/12)</f>
        <v>0</v>
      </c>
      <c r="DH27" s="59">
        <f>-DG70*(Assumptions!$F$22/12)</f>
        <v>0</v>
      </c>
      <c r="DI27" s="59">
        <f>-DH70*(Assumptions!$F$22/12)</f>
        <v>0</v>
      </c>
      <c r="DJ27" s="59">
        <f>-DI70*(Assumptions!$F$22/12)</f>
        <v>0</v>
      </c>
      <c r="DK27" s="59">
        <f>-DJ70*(Assumptions!$F$22/12)</f>
        <v>0</v>
      </c>
      <c r="DL27" s="59">
        <f>-DK70*(Assumptions!$F$22/12)</f>
        <v>0</v>
      </c>
      <c r="DM27" s="59">
        <f>-DL70*(Assumptions!$F$22/12)</f>
        <v>0</v>
      </c>
      <c r="DN27" s="59">
        <f>-DM70*(Assumptions!$F$22/12)</f>
        <v>0</v>
      </c>
      <c r="DO27" s="59">
        <f>-DN70*(Assumptions!$F$22/12)</f>
        <v>0</v>
      </c>
      <c r="DP27" s="59">
        <f>-DO70*(Assumptions!$F$22/12)</f>
        <v>0</v>
      </c>
      <c r="DQ27" s="59">
        <f>-DP70*(Assumptions!$F$22/12)</f>
        <v>0</v>
      </c>
      <c r="DR27" s="59">
        <f>-DQ70*(Assumptions!$F$22/12)</f>
        <v>0</v>
      </c>
      <c r="DS27" s="59">
        <f>-DR70*(Assumptions!$F$22/12)</f>
        <v>0</v>
      </c>
      <c r="DT27" s="59">
        <f>-DS70*(Assumptions!$F$22/12)</f>
        <v>0</v>
      </c>
      <c r="DU27" s="60">
        <f>-DT70*(Assumptions!$F$22/12)</f>
        <v>0</v>
      </c>
    </row>
    <row r="28" spans="1:125" s="4" customFormat="1" x14ac:dyDescent="0.4">
      <c r="B28" s="74"/>
      <c r="C28" s="4" t="s">
        <v>50</v>
      </c>
      <c r="D28" s="91"/>
      <c r="E28" s="90">
        <f>SUM(E29:E30)</f>
        <v>0</v>
      </c>
      <c r="F28" s="90">
        <f t="shared" ref="F28:BQ28" si="13">SUM(F29:F30)</f>
        <v>0</v>
      </c>
      <c r="G28" s="90">
        <f t="shared" si="13"/>
        <v>0</v>
      </c>
      <c r="H28" s="90">
        <f t="shared" si="13"/>
        <v>0</v>
      </c>
      <c r="I28" s="90">
        <f t="shared" si="13"/>
        <v>0</v>
      </c>
      <c r="J28" s="90">
        <f t="shared" si="13"/>
        <v>0</v>
      </c>
      <c r="K28" s="90">
        <f t="shared" si="13"/>
        <v>0</v>
      </c>
      <c r="L28" s="90">
        <f t="shared" si="13"/>
        <v>0</v>
      </c>
      <c r="M28" s="90">
        <f t="shared" si="13"/>
        <v>0</v>
      </c>
      <c r="N28" s="90">
        <f t="shared" si="13"/>
        <v>0</v>
      </c>
      <c r="O28" s="90">
        <f t="shared" si="13"/>
        <v>0</v>
      </c>
      <c r="P28" s="90">
        <f t="shared" si="13"/>
        <v>0</v>
      </c>
      <c r="Q28" s="90">
        <f t="shared" si="13"/>
        <v>0</v>
      </c>
      <c r="R28" s="90">
        <f t="shared" si="13"/>
        <v>0</v>
      </c>
      <c r="S28" s="90">
        <f t="shared" si="13"/>
        <v>0</v>
      </c>
      <c r="T28" s="90">
        <f t="shared" si="13"/>
        <v>0</v>
      </c>
      <c r="U28" s="90">
        <f t="shared" si="13"/>
        <v>0</v>
      </c>
      <c r="V28" s="90">
        <f t="shared" si="13"/>
        <v>0</v>
      </c>
      <c r="W28" s="90">
        <f t="shared" si="13"/>
        <v>0</v>
      </c>
      <c r="X28" s="90">
        <f t="shared" si="13"/>
        <v>0</v>
      </c>
      <c r="Y28" s="90">
        <f t="shared" si="13"/>
        <v>0</v>
      </c>
      <c r="Z28" s="90">
        <f t="shared" si="13"/>
        <v>0</v>
      </c>
      <c r="AA28" s="90">
        <f t="shared" si="13"/>
        <v>0</v>
      </c>
      <c r="AB28" s="90">
        <f t="shared" si="13"/>
        <v>0</v>
      </c>
      <c r="AC28" s="90">
        <f t="shared" si="13"/>
        <v>0</v>
      </c>
      <c r="AD28" s="90">
        <f t="shared" si="13"/>
        <v>0</v>
      </c>
      <c r="AE28" s="90">
        <f t="shared" si="13"/>
        <v>0</v>
      </c>
      <c r="AF28" s="90">
        <f t="shared" si="13"/>
        <v>0</v>
      </c>
      <c r="AG28" s="90">
        <f t="shared" si="13"/>
        <v>0</v>
      </c>
      <c r="AH28" s="90">
        <f t="shared" si="13"/>
        <v>0</v>
      </c>
      <c r="AI28" s="90">
        <f t="shared" si="13"/>
        <v>0</v>
      </c>
      <c r="AJ28" s="90">
        <f t="shared" si="13"/>
        <v>0</v>
      </c>
      <c r="AK28" s="90">
        <f t="shared" si="13"/>
        <v>0</v>
      </c>
      <c r="AL28" s="90">
        <f t="shared" si="13"/>
        <v>0</v>
      </c>
      <c r="AM28" s="90">
        <f t="shared" si="13"/>
        <v>0</v>
      </c>
      <c r="AN28" s="90">
        <f t="shared" si="13"/>
        <v>0</v>
      </c>
      <c r="AO28" s="90">
        <f t="shared" si="13"/>
        <v>0</v>
      </c>
      <c r="AP28" s="90">
        <f t="shared" si="13"/>
        <v>0</v>
      </c>
      <c r="AQ28" s="90">
        <f t="shared" si="13"/>
        <v>0</v>
      </c>
      <c r="AR28" s="90">
        <f t="shared" si="13"/>
        <v>0</v>
      </c>
      <c r="AS28" s="90">
        <f t="shared" si="13"/>
        <v>0</v>
      </c>
      <c r="AT28" s="90">
        <f t="shared" si="13"/>
        <v>0</v>
      </c>
      <c r="AU28" s="90">
        <f t="shared" si="13"/>
        <v>0</v>
      </c>
      <c r="AV28" s="90">
        <f t="shared" si="13"/>
        <v>0</v>
      </c>
      <c r="AW28" s="90">
        <f t="shared" si="13"/>
        <v>0</v>
      </c>
      <c r="AX28" s="90">
        <f t="shared" si="13"/>
        <v>0</v>
      </c>
      <c r="AY28" s="90">
        <f t="shared" si="13"/>
        <v>0</v>
      </c>
      <c r="AZ28" s="90">
        <f t="shared" si="13"/>
        <v>0</v>
      </c>
      <c r="BA28" s="90">
        <f t="shared" si="13"/>
        <v>0</v>
      </c>
      <c r="BB28" s="90">
        <f t="shared" si="13"/>
        <v>0</v>
      </c>
      <c r="BC28" s="90">
        <f t="shared" si="13"/>
        <v>0</v>
      </c>
      <c r="BD28" s="90">
        <f t="shared" si="13"/>
        <v>0</v>
      </c>
      <c r="BE28" s="90">
        <f t="shared" si="13"/>
        <v>0</v>
      </c>
      <c r="BF28" s="90">
        <f t="shared" si="13"/>
        <v>0</v>
      </c>
      <c r="BG28" s="90">
        <f t="shared" si="13"/>
        <v>0</v>
      </c>
      <c r="BH28" s="90">
        <f t="shared" si="13"/>
        <v>0</v>
      </c>
      <c r="BI28" s="90">
        <f t="shared" si="13"/>
        <v>0</v>
      </c>
      <c r="BJ28" s="90">
        <f t="shared" si="13"/>
        <v>0</v>
      </c>
      <c r="BK28" s="90">
        <f t="shared" si="13"/>
        <v>0</v>
      </c>
      <c r="BL28" s="90">
        <f t="shared" si="13"/>
        <v>0</v>
      </c>
      <c r="BM28" s="90">
        <f t="shared" si="13"/>
        <v>0</v>
      </c>
      <c r="BN28" s="90">
        <f t="shared" si="13"/>
        <v>0</v>
      </c>
      <c r="BO28" s="90">
        <f t="shared" si="13"/>
        <v>0</v>
      </c>
      <c r="BP28" s="90">
        <f t="shared" si="13"/>
        <v>0</v>
      </c>
      <c r="BQ28" s="90">
        <f t="shared" si="13"/>
        <v>0</v>
      </c>
      <c r="BR28" s="90">
        <f t="shared" ref="BR28:DU28" si="14">SUM(BR29:BR30)</f>
        <v>0</v>
      </c>
      <c r="BS28" s="90">
        <f t="shared" si="14"/>
        <v>0</v>
      </c>
      <c r="BT28" s="90">
        <f t="shared" si="14"/>
        <v>0</v>
      </c>
      <c r="BU28" s="90">
        <f t="shared" si="14"/>
        <v>0</v>
      </c>
      <c r="BV28" s="90">
        <f t="shared" si="14"/>
        <v>0</v>
      </c>
      <c r="BW28" s="90">
        <f t="shared" si="14"/>
        <v>0</v>
      </c>
      <c r="BX28" s="90">
        <f t="shared" si="14"/>
        <v>0</v>
      </c>
      <c r="BY28" s="90">
        <f t="shared" si="14"/>
        <v>0</v>
      </c>
      <c r="BZ28" s="90">
        <f t="shared" si="14"/>
        <v>0</v>
      </c>
      <c r="CA28" s="90">
        <f t="shared" si="14"/>
        <v>0</v>
      </c>
      <c r="CB28" s="90">
        <f t="shared" si="14"/>
        <v>0</v>
      </c>
      <c r="CC28" s="90">
        <f t="shared" si="14"/>
        <v>0</v>
      </c>
      <c r="CD28" s="90">
        <f t="shared" si="14"/>
        <v>0</v>
      </c>
      <c r="CE28" s="90">
        <f t="shared" si="14"/>
        <v>0</v>
      </c>
      <c r="CF28" s="90">
        <f t="shared" si="14"/>
        <v>0</v>
      </c>
      <c r="CG28" s="90">
        <f t="shared" si="14"/>
        <v>0</v>
      </c>
      <c r="CH28" s="90">
        <f t="shared" si="14"/>
        <v>0</v>
      </c>
      <c r="CI28" s="90">
        <f t="shared" si="14"/>
        <v>0</v>
      </c>
      <c r="CJ28" s="90">
        <f t="shared" si="14"/>
        <v>0</v>
      </c>
      <c r="CK28" s="90">
        <f t="shared" si="14"/>
        <v>0</v>
      </c>
      <c r="CL28" s="90">
        <f t="shared" si="14"/>
        <v>0</v>
      </c>
      <c r="CM28" s="90">
        <f t="shared" si="14"/>
        <v>0</v>
      </c>
      <c r="CN28" s="90">
        <f t="shared" si="14"/>
        <v>0</v>
      </c>
      <c r="CO28" s="90">
        <f t="shared" si="14"/>
        <v>0</v>
      </c>
      <c r="CP28" s="90">
        <f t="shared" si="14"/>
        <v>0</v>
      </c>
      <c r="CQ28" s="90">
        <f t="shared" si="14"/>
        <v>0</v>
      </c>
      <c r="CR28" s="90">
        <f t="shared" si="14"/>
        <v>0</v>
      </c>
      <c r="CS28" s="90">
        <f t="shared" si="14"/>
        <v>0</v>
      </c>
      <c r="CT28" s="90">
        <f t="shared" si="14"/>
        <v>0</v>
      </c>
      <c r="CU28" s="90">
        <f t="shared" si="14"/>
        <v>0</v>
      </c>
      <c r="CV28" s="90">
        <f t="shared" si="14"/>
        <v>0</v>
      </c>
      <c r="CW28" s="90">
        <f t="shared" si="14"/>
        <v>0</v>
      </c>
      <c r="CX28" s="90">
        <f t="shared" si="14"/>
        <v>0</v>
      </c>
      <c r="CY28" s="90">
        <f t="shared" si="14"/>
        <v>0</v>
      </c>
      <c r="CZ28" s="90">
        <f t="shared" si="14"/>
        <v>0</v>
      </c>
      <c r="DA28" s="90">
        <f t="shared" si="14"/>
        <v>0</v>
      </c>
      <c r="DB28" s="90">
        <f t="shared" si="14"/>
        <v>0</v>
      </c>
      <c r="DC28" s="90">
        <f t="shared" si="14"/>
        <v>0</v>
      </c>
      <c r="DD28" s="90">
        <f t="shared" si="14"/>
        <v>0</v>
      </c>
      <c r="DE28" s="90">
        <f t="shared" si="14"/>
        <v>0</v>
      </c>
      <c r="DF28" s="90">
        <f t="shared" si="14"/>
        <v>0</v>
      </c>
      <c r="DG28" s="90">
        <f t="shared" si="14"/>
        <v>0</v>
      </c>
      <c r="DH28" s="90">
        <f t="shared" si="14"/>
        <v>0</v>
      </c>
      <c r="DI28" s="90">
        <f t="shared" si="14"/>
        <v>0</v>
      </c>
      <c r="DJ28" s="90">
        <f t="shared" si="14"/>
        <v>0</v>
      </c>
      <c r="DK28" s="90">
        <f t="shared" si="14"/>
        <v>0</v>
      </c>
      <c r="DL28" s="90">
        <f t="shared" si="14"/>
        <v>0</v>
      </c>
      <c r="DM28" s="90">
        <f t="shared" si="14"/>
        <v>0</v>
      </c>
      <c r="DN28" s="90">
        <f t="shared" si="14"/>
        <v>0</v>
      </c>
      <c r="DO28" s="90">
        <f t="shared" si="14"/>
        <v>0</v>
      </c>
      <c r="DP28" s="90">
        <f t="shared" si="14"/>
        <v>0</v>
      </c>
      <c r="DQ28" s="90">
        <f t="shared" si="14"/>
        <v>0</v>
      </c>
      <c r="DR28" s="90">
        <f t="shared" si="14"/>
        <v>0</v>
      </c>
      <c r="DS28" s="90">
        <f t="shared" si="14"/>
        <v>0</v>
      </c>
      <c r="DT28" s="90">
        <f t="shared" si="14"/>
        <v>0</v>
      </c>
      <c r="DU28" s="88">
        <f t="shared" si="14"/>
        <v>0</v>
      </c>
    </row>
    <row r="29" spans="1:125" x14ac:dyDescent="0.4">
      <c r="B29" s="39"/>
      <c r="C29" s="55">
        <v>5</v>
      </c>
      <c r="D29" s="62"/>
      <c r="E29" s="59">
        <f>MAX(-D69,-(E14+E17+E26+E23))</f>
        <v>0</v>
      </c>
      <c r="F29" s="59">
        <f>MAX(-E69,-(F14+F17+F26+F23))</f>
        <v>0</v>
      </c>
      <c r="G29" s="59">
        <f t="shared" ref="G29:BR29" si="15">MAX(-F69,-(G14+G17+G26+G23))</f>
        <v>0</v>
      </c>
      <c r="H29" s="59">
        <f t="shared" si="15"/>
        <v>0</v>
      </c>
      <c r="I29" s="59">
        <f t="shared" si="15"/>
        <v>0</v>
      </c>
      <c r="J29" s="59">
        <f t="shared" si="15"/>
        <v>0</v>
      </c>
      <c r="K29" s="59">
        <f t="shared" si="15"/>
        <v>0</v>
      </c>
      <c r="L29" s="59">
        <f t="shared" si="15"/>
        <v>0</v>
      </c>
      <c r="M29" s="59">
        <f t="shared" si="15"/>
        <v>0</v>
      </c>
      <c r="N29" s="59">
        <f t="shared" si="15"/>
        <v>0</v>
      </c>
      <c r="O29" s="59">
        <f t="shared" si="15"/>
        <v>0</v>
      </c>
      <c r="P29" s="59">
        <f t="shared" si="15"/>
        <v>0</v>
      </c>
      <c r="Q29" s="59">
        <f t="shared" si="15"/>
        <v>0</v>
      </c>
      <c r="R29" s="59">
        <f t="shared" si="15"/>
        <v>0</v>
      </c>
      <c r="S29" s="59">
        <f t="shared" si="15"/>
        <v>0</v>
      </c>
      <c r="T29" s="59">
        <f t="shared" si="15"/>
        <v>0</v>
      </c>
      <c r="U29" s="59">
        <f t="shared" si="15"/>
        <v>0</v>
      </c>
      <c r="V29" s="59">
        <f t="shared" si="15"/>
        <v>0</v>
      </c>
      <c r="W29" s="59">
        <f t="shared" si="15"/>
        <v>0</v>
      </c>
      <c r="X29" s="59">
        <f t="shared" si="15"/>
        <v>0</v>
      </c>
      <c r="Y29" s="59">
        <f t="shared" si="15"/>
        <v>0</v>
      </c>
      <c r="Z29" s="59">
        <f t="shared" si="15"/>
        <v>0</v>
      </c>
      <c r="AA29" s="59">
        <f t="shared" si="15"/>
        <v>0</v>
      </c>
      <c r="AB29" s="59">
        <f t="shared" si="15"/>
        <v>0</v>
      </c>
      <c r="AC29" s="59">
        <f t="shared" si="15"/>
        <v>0</v>
      </c>
      <c r="AD29" s="59">
        <f t="shared" si="15"/>
        <v>0</v>
      </c>
      <c r="AE29" s="59">
        <f t="shared" si="15"/>
        <v>0</v>
      </c>
      <c r="AF29" s="59">
        <f t="shared" si="15"/>
        <v>0</v>
      </c>
      <c r="AG29" s="59">
        <f t="shared" si="15"/>
        <v>0</v>
      </c>
      <c r="AH29" s="59">
        <f t="shared" si="15"/>
        <v>0</v>
      </c>
      <c r="AI29" s="59">
        <f t="shared" si="15"/>
        <v>0</v>
      </c>
      <c r="AJ29" s="59">
        <f t="shared" si="15"/>
        <v>0</v>
      </c>
      <c r="AK29" s="59">
        <f t="shared" si="15"/>
        <v>0</v>
      </c>
      <c r="AL29" s="59">
        <f t="shared" si="15"/>
        <v>0</v>
      </c>
      <c r="AM29" s="59">
        <f t="shared" si="15"/>
        <v>0</v>
      </c>
      <c r="AN29" s="59">
        <f t="shared" si="15"/>
        <v>0</v>
      </c>
      <c r="AO29" s="59">
        <f t="shared" si="15"/>
        <v>0</v>
      </c>
      <c r="AP29" s="59">
        <f t="shared" si="15"/>
        <v>0</v>
      </c>
      <c r="AQ29" s="59">
        <f t="shared" si="15"/>
        <v>0</v>
      </c>
      <c r="AR29" s="59">
        <f t="shared" si="15"/>
        <v>0</v>
      </c>
      <c r="AS29" s="59">
        <f t="shared" si="15"/>
        <v>0</v>
      </c>
      <c r="AT29" s="59">
        <f t="shared" si="15"/>
        <v>0</v>
      </c>
      <c r="AU29" s="59">
        <f t="shared" si="15"/>
        <v>0</v>
      </c>
      <c r="AV29" s="59">
        <f t="shared" si="15"/>
        <v>0</v>
      </c>
      <c r="AW29" s="59">
        <f t="shared" si="15"/>
        <v>0</v>
      </c>
      <c r="AX29" s="59">
        <f t="shared" si="15"/>
        <v>0</v>
      </c>
      <c r="AY29" s="59">
        <f t="shared" si="15"/>
        <v>0</v>
      </c>
      <c r="AZ29" s="59">
        <f t="shared" si="15"/>
        <v>0</v>
      </c>
      <c r="BA29" s="59">
        <f t="shared" si="15"/>
        <v>0</v>
      </c>
      <c r="BB29" s="59">
        <f t="shared" si="15"/>
        <v>0</v>
      </c>
      <c r="BC29" s="59">
        <f t="shared" si="15"/>
        <v>0</v>
      </c>
      <c r="BD29" s="59">
        <f t="shared" si="15"/>
        <v>0</v>
      </c>
      <c r="BE29" s="59">
        <f t="shared" si="15"/>
        <v>0</v>
      </c>
      <c r="BF29" s="59">
        <f t="shared" si="15"/>
        <v>0</v>
      </c>
      <c r="BG29" s="59">
        <f t="shared" si="15"/>
        <v>0</v>
      </c>
      <c r="BH29" s="59">
        <f t="shared" si="15"/>
        <v>0</v>
      </c>
      <c r="BI29" s="59">
        <f t="shared" si="15"/>
        <v>0</v>
      </c>
      <c r="BJ29" s="59">
        <f t="shared" si="15"/>
        <v>0</v>
      </c>
      <c r="BK29" s="59">
        <f t="shared" si="15"/>
        <v>0</v>
      </c>
      <c r="BL29" s="59">
        <f t="shared" si="15"/>
        <v>0</v>
      </c>
      <c r="BM29" s="59">
        <f t="shared" si="15"/>
        <v>0</v>
      </c>
      <c r="BN29" s="59">
        <f t="shared" si="15"/>
        <v>0</v>
      </c>
      <c r="BO29" s="59">
        <f t="shared" si="15"/>
        <v>0</v>
      </c>
      <c r="BP29" s="59">
        <f t="shared" si="15"/>
        <v>0</v>
      </c>
      <c r="BQ29" s="59">
        <f t="shared" si="15"/>
        <v>0</v>
      </c>
      <c r="BR29" s="59">
        <f t="shared" si="15"/>
        <v>0</v>
      </c>
      <c r="BS29" s="59">
        <f t="shared" ref="BS29:DU29" si="16">MAX(-BR69,-(BS14+BS17+BS26+BS23))</f>
        <v>0</v>
      </c>
      <c r="BT29" s="59">
        <f t="shared" si="16"/>
        <v>0</v>
      </c>
      <c r="BU29" s="59">
        <f t="shared" si="16"/>
        <v>0</v>
      </c>
      <c r="BV29" s="59">
        <f t="shared" si="16"/>
        <v>0</v>
      </c>
      <c r="BW29" s="59">
        <f t="shared" si="16"/>
        <v>0</v>
      </c>
      <c r="BX29" s="59">
        <f t="shared" si="16"/>
        <v>0</v>
      </c>
      <c r="BY29" s="59">
        <f t="shared" si="16"/>
        <v>0</v>
      </c>
      <c r="BZ29" s="59">
        <f t="shared" si="16"/>
        <v>0</v>
      </c>
      <c r="CA29" s="59">
        <f t="shared" si="16"/>
        <v>0</v>
      </c>
      <c r="CB29" s="59">
        <f t="shared" si="16"/>
        <v>0</v>
      </c>
      <c r="CC29" s="59">
        <f t="shared" si="16"/>
        <v>0</v>
      </c>
      <c r="CD29" s="59">
        <f t="shared" si="16"/>
        <v>0</v>
      </c>
      <c r="CE29" s="59">
        <f t="shared" si="16"/>
        <v>0</v>
      </c>
      <c r="CF29" s="59">
        <f t="shared" si="16"/>
        <v>0</v>
      </c>
      <c r="CG29" s="59">
        <f t="shared" si="16"/>
        <v>0</v>
      </c>
      <c r="CH29" s="59">
        <f t="shared" si="16"/>
        <v>0</v>
      </c>
      <c r="CI29" s="59">
        <f t="shared" si="16"/>
        <v>0</v>
      </c>
      <c r="CJ29" s="59">
        <f t="shared" si="16"/>
        <v>0</v>
      </c>
      <c r="CK29" s="59">
        <f t="shared" si="16"/>
        <v>0</v>
      </c>
      <c r="CL29" s="59">
        <f t="shared" si="16"/>
        <v>0</v>
      </c>
      <c r="CM29" s="59">
        <f t="shared" si="16"/>
        <v>0</v>
      </c>
      <c r="CN29" s="59">
        <f t="shared" si="16"/>
        <v>0</v>
      </c>
      <c r="CO29" s="59">
        <f t="shared" si="16"/>
        <v>0</v>
      </c>
      <c r="CP29" s="59">
        <f t="shared" si="16"/>
        <v>0</v>
      </c>
      <c r="CQ29" s="59">
        <f t="shared" si="16"/>
        <v>0</v>
      </c>
      <c r="CR29" s="59">
        <f t="shared" si="16"/>
        <v>0</v>
      </c>
      <c r="CS29" s="59">
        <f t="shared" si="16"/>
        <v>0</v>
      </c>
      <c r="CT29" s="59">
        <f t="shared" si="16"/>
        <v>0</v>
      </c>
      <c r="CU29" s="59">
        <f t="shared" si="16"/>
        <v>0</v>
      </c>
      <c r="CV29" s="59">
        <f t="shared" si="16"/>
        <v>0</v>
      </c>
      <c r="CW29" s="59">
        <f t="shared" si="16"/>
        <v>0</v>
      </c>
      <c r="CX29" s="59">
        <f t="shared" si="16"/>
        <v>0</v>
      </c>
      <c r="CY29" s="59">
        <f t="shared" si="16"/>
        <v>0</v>
      </c>
      <c r="CZ29" s="59">
        <f t="shared" si="16"/>
        <v>0</v>
      </c>
      <c r="DA29" s="59">
        <f t="shared" si="16"/>
        <v>0</v>
      </c>
      <c r="DB29" s="59">
        <f t="shared" si="16"/>
        <v>0</v>
      </c>
      <c r="DC29" s="59">
        <f t="shared" si="16"/>
        <v>0</v>
      </c>
      <c r="DD29" s="59">
        <f t="shared" si="16"/>
        <v>0</v>
      </c>
      <c r="DE29" s="59">
        <f t="shared" si="16"/>
        <v>0</v>
      </c>
      <c r="DF29" s="59">
        <f t="shared" si="16"/>
        <v>0</v>
      </c>
      <c r="DG29" s="59">
        <f t="shared" si="16"/>
        <v>0</v>
      </c>
      <c r="DH29" s="59">
        <f t="shared" si="16"/>
        <v>0</v>
      </c>
      <c r="DI29" s="59">
        <f t="shared" si="16"/>
        <v>0</v>
      </c>
      <c r="DJ29" s="59">
        <f t="shared" si="16"/>
        <v>0</v>
      </c>
      <c r="DK29" s="59">
        <f t="shared" si="16"/>
        <v>0</v>
      </c>
      <c r="DL29" s="59">
        <f t="shared" si="16"/>
        <v>0</v>
      </c>
      <c r="DM29" s="59">
        <f t="shared" si="16"/>
        <v>0</v>
      </c>
      <c r="DN29" s="59">
        <f t="shared" si="16"/>
        <v>0</v>
      </c>
      <c r="DO29" s="59">
        <f t="shared" si="16"/>
        <v>0</v>
      </c>
      <c r="DP29" s="59">
        <f t="shared" si="16"/>
        <v>0</v>
      </c>
      <c r="DQ29" s="59">
        <f t="shared" si="16"/>
        <v>0</v>
      </c>
      <c r="DR29" s="59">
        <f t="shared" si="16"/>
        <v>0</v>
      </c>
      <c r="DS29" s="59">
        <f t="shared" si="16"/>
        <v>0</v>
      </c>
      <c r="DT29" s="59">
        <f t="shared" si="16"/>
        <v>0</v>
      </c>
      <c r="DU29" s="60">
        <f t="shared" si="16"/>
        <v>0</v>
      </c>
    </row>
    <row r="30" spans="1:125" x14ac:dyDescent="0.4">
      <c r="B30" s="39"/>
      <c r="C30" s="55" t="s">
        <v>61</v>
      </c>
      <c r="D30" s="62"/>
      <c r="E30" s="59">
        <f>MAX(-D70,-(E15+E18+E27+E24))</f>
        <v>0</v>
      </c>
      <c r="F30" s="59">
        <f>MAX(-E70,-(F15+F18+F27+F24))</f>
        <v>0</v>
      </c>
      <c r="G30" s="59">
        <f t="shared" ref="G30:BR30" si="17">MAX(-F70,-(G15+G18+G27+G24))</f>
        <v>0</v>
      </c>
      <c r="H30" s="59">
        <f t="shared" si="17"/>
        <v>0</v>
      </c>
      <c r="I30" s="59">
        <f t="shared" si="17"/>
        <v>0</v>
      </c>
      <c r="J30" s="59">
        <f t="shared" si="17"/>
        <v>0</v>
      </c>
      <c r="K30" s="59">
        <f t="shared" si="17"/>
        <v>0</v>
      </c>
      <c r="L30" s="59">
        <f t="shared" si="17"/>
        <v>0</v>
      </c>
      <c r="M30" s="59">
        <f t="shared" si="17"/>
        <v>0</v>
      </c>
      <c r="N30" s="59">
        <f t="shared" si="17"/>
        <v>0</v>
      </c>
      <c r="O30" s="59">
        <f t="shared" si="17"/>
        <v>0</v>
      </c>
      <c r="P30" s="59">
        <f t="shared" si="17"/>
        <v>0</v>
      </c>
      <c r="Q30" s="59">
        <f t="shared" si="17"/>
        <v>0</v>
      </c>
      <c r="R30" s="59">
        <f t="shared" si="17"/>
        <v>0</v>
      </c>
      <c r="S30" s="59">
        <f t="shared" si="17"/>
        <v>0</v>
      </c>
      <c r="T30" s="59">
        <f t="shared" si="17"/>
        <v>0</v>
      </c>
      <c r="U30" s="59">
        <f t="shared" si="17"/>
        <v>0</v>
      </c>
      <c r="V30" s="59">
        <f t="shared" si="17"/>
        <v>0</v>
      </c>
      <c r="W30" s="59">
        <f t="shared" si="17"/>
        <v>0</v>
      </c>
      <c r="X30" s="59">
        <f t="shared" si="17"/>
        <v>0</v>
      </c>
      <c r="Y30" s="59">
        <f t="shared" si="17"/>
        <v>0</v>
      </c>
      <c r="Z30" s="59">
        <f t="shared" si="17"/>
        <v>0</v>
      </c>
      <c r="AA30" s="59">
        <f t="shared" si="17"/>
        <v>0</v>
      </c>
      <c r="AB30" s="59">
        <f t="shared" si="17"/>
        <v>0</v>
      </c>
      <c r="AC30" s="59">
        <f t="shared" si="17"/>
        <v>0</v>
      </c>
      <c r="AD30" s="59">
        <f t="shared" si="17"/>
        <v>0</v>
      </c>
      <c r="AE30" s="59">
        <f t="shared" si="17"/>
        <v>0</v>
      </c>
      <c r="AF30" s="59">
        <f t="shared" si="17"/>
        <v>0</v>
      </c>
      <c r="AG30" s="59">
        <f t="shared" si="17"/>
        <v>0</v>
      </c>
      <c r="AH30" s="59">
        <f t="shared" si="17"/>
        <v>0</v>
      </c>
      <c r="AI30" s="59">
        <f t="shared" si="17"/>
        <v>0</v>
      </c>
      <c r="AJ30" s="59">
        <f t="shared" si="17"/>
        <v>0</v>
      </c>
      <c r="AK30" s="59">
        <f t="shared" si="17"/>
        <v>0</v>
      </c>
      <c r="AL30" s="59">
        <f t="shared" si="17"/>
        <v>0</v>
      </c>
      <c r="AM30" s="59">
        <f t="shared" si="17"/>
        <v>0</v>
      </c>
      <c r="AN30" s="59">
        <f t="shared" si="17"/>
        <v>0</v>
      </c>
      <c r="AO30" s="59">
        <f t="shared" si="17"/>
        <v>0</v>
      </c>
      <c r="AP30" s="59">
        <f t="shared" si="17"/>
        <v>0</v>
      </c>
      <c r="AQ30" s="59">
        <f t="shared" si="17"/>
        <v>0</v>
      </c>
      <c r="AR30" s="59">
        <f t="shared" si="17"/>
        <v>0</v>
      </c>
      <c r="AS30" s="59">
        <f t="shared" si="17"/>
        <v>0</v>
      </c>
      <c r="AT30" s="59">
        <f t="shared" si="17"/>
        <v>0</v>
      </c>
      <c r="AU30" s="59">
        <f t="shared" si="17"/>
        <v>0</v>
      </c>
      <c r="AV30" s="59">
        <f t="shared" si="17"/>
        <v>0</v>
      </c>
      <c r="AW30" s="59">
        <f t="shared" si="17"/>
        <v>0</v>
      </c>
      <c r="AX30" s="59">
        <f t="shared" si="17"/>
        <v>0</v>
      </c>
      <c r="AY30" s="59">
        <f t="shared" si="17"/>
        <v>0</v>
      </c>
      <c r="AZ30" s="59">
        <f t="shared" si="17"/>
        <v>0</v>
      </c>
      <c r="BA30" s="59">
        <f t="shared" si="17"/>
        <v>0</v>
      </c>
      <c r="BB30" s="59">
        <f t="shared" si="17"/>
        <v>0</v>
      </c>
      <c r="BC30" s="59">
        <f t="shared" si="17"/>
        <v>0</v>
      </c>
      <c r="BD30" s="59">
        <f t="shared" si="17"/>
        <v>0</v>
      </c>
      <c r="BE30" s="59">
        <f t="shared" si="17"/>
        <v>0</v>
      </c>
      <c r="BF30" s="59">
        <f t="shared" si="17"/>
        <v>0</v>
      </c>
      <c r="BG30" s="59">
        <f t="shared" si="17"/>
        <v>0</v>
      </c>
      <c r="BH30" s="59">
        <f t="shared" si="17"/>
        <v>0</v>
      </c>
      <c r="BI30" s="59">
        <f t="shared" si="17"/>
        <v>0</v>
      </c>
      <c r="BJ30" s="59">
        <f t="shared" si="17"/>
        <v>0</v>
      </c>
      <c r="BK30" s="59">
        <f t="shared" si="17"/>
        <v>0</v>
      </c>
      <c r="BL30" s="59">
        <f t="shared" si="17"/>
        <v>0</v>
      </c>
      <c r="BM30" s="59">
        <f t="shared" si="17"/>
        <v>0</v>
      </c>
      <c r="BN30" s="59">
        <f t="shared" si="17"/>
        <v>0</v>
      </c>
      <c r="BO30" s="59">
        <f t="shared" si="17"/>
        <v>0</v>
      </c>
      <c r="BP30" s="59">
        <f t="shared" si="17"/>
        <v>0</v>
      </c>
      <c r="BQ30" s="59">
        <f t="shared" si="17"/>
        <v>0</v>
      </c>
      <c r="BR30" s="59">
        <f t="shared" si="17"/>
        <v>0</v>
      </c>
      <c r="BS30" s="59">
        <f t="shared" ref="BS30:DU30" si="18">MAX(-BR70,-(BS15+BS18+BS27+BS24))</f>
        <v>0</v>
      </c>
      <c r="BT30" s="59">
        <f t="shared" si="18"/>
        <v>0</v>
      </c>
      <c r="BU30" s="59">
        <f t="shared" si="18"/>
        <v>0</v>
      </c>
      <c r="BV30" s="59">
        <f t="shared" si="18"/>
        <v>0</v>
      </c>
      <c r="BW30" s="59">
        <f t="shared" si="18"/>
        <v>0</v>
      </c>
      <c r="BX30" s="59">
        <f t="shared" si="18"/>
        <v>0</v>
      </c>
      <c r="BY30" s="59">
        <f t="shared" si="18"/>
        <v>0</v>
      </c>
      <c r="BZ30" s="59">
        <f t="shared" si="18"/>
        <v>0</v>
      </c>
      <c r="CA30" s="59">
        <f t="shared" si="18"/>
        <v>0</v>
      </c>
      <c r="CB30" s="59">
        <f t="shared" si="18"/>
        <v>0</v>
      </c>
      <c r="CC30" s="59">
        <f t="shared" si="18"/>
        <v>0</v>
      </c>
      <c r="CD30" s="59">
        <f t="shared" si="18"/>
        <v>0</v>
      </c>
      <c r="CE30" s="59">
        <f t="shared" si="18"/>
        <v>0</v>
      </c>
      <c r="CF30" s="59">
        <f t="shared" si="18"/>
        <v>0</v>
      </c>
      <c r="CG30" s="59">
        <f t="shared" si="18"/>
        <v>0</v>
      </c>
      <c r="CH30" s="59">
        <f t="shared" si="18"/>
        <v>0</v>
      </c>
      <c r="CI30" s="59">
        <f t="shared" si="18"/>
        <v>0</v>
      </c>
      <c r="CJ30" s="59">
        <f t="shared" si="18"/>
        <v>0</v>
      </c>
      <c r="CK30" s="59">
        <f t="shared" si="18"/>
        <v>0</v>
      </c>
      <c r="CL30" s="59">
        <f t="shared" si="18"/>
        <v>0</v>
      </c>
      <c r="CM30" s="59">
        <f t="shared" si="18"/>
        <v>0</v>
      </c>
      <c r="CN30" s="59">
        <f t="shared" si="18"/>
        <v>0</v>
      </c>
      <c r="CO30" s="59">
        <f t="shared" si="18"/>
        <v>0</v>
      </c>
      <c r="CP30" s="59">
        <f t="shared" si="18"/>
        <v>0</v>
      </c>
      <c r="CQ30" s="59">
        <f t="shared" si="18"/>
        <v>0</v>
      </c>
      <c r="CR30" s="59">
        <f t="shared" si="18"/>
        <v>0</v>
      </c>
      <c r="CS30" s="59">
        <f t="shared" si="18"/>
        <v>0</v>
      </c>
      <c r="CT30" s="59">
        <f t="shared" si="18"/>
        <v>0</v>
      </c>
      <c r="CU30" s="59">
        <f t="shared" si="18"/>
        <v>0</v>
      </c>
      <c r="CV30" s="59">
        <f t="shared" si="18"/>
        <v>0</v>
      </c>
      <c r="CW30" s="59">
        <f t="shared" si="18"/>
        <v>0</v>
      </c>
      <c r="CX30" s="59">
        <f t="shared" si="18"/>
        <v>0</v>
      </c>
      <c r="CY30" s="59">
        <f t="shared" si="18"/>
        <v>0</v>
      </c>
      <c r="CZ30" s="59">
        <f t="shared" si="18"/>
        <v>0</v>
      </c>
      <c r="DA30" s="59">
        <f t="shared" si="18"/>
        <v>0</v>
      </c>
      <c r="DB30" s="59">
        <f t="shared" si="18"/>
        <v>0</v>
      </c>
      <c r="DC30" s="59">
        <f t="shared" si="18"/>
        <v>0</v>
      </c>
      <c r="DD30" s="59">
        <f t="shared" si="18"/>
        <v>0</v>
      </c>
      <c r="DE30" s="59">
        <f t="shared" si="18"/>
        <v>0</v>
      </c>
      <c r="DF30" s="59">
        <f t="shared" si="18"/>
        <v>0</v>
      </c>
      <c r="DG30" s="59">
        <f t="shared" si="18"/>
        <v>0</v>
      </c>
      <c r="DH30" s="59">
        <f t="shared" si="18"/>
        <v>0</v>
      </c>
      <c r="DI30" s="59">
        <f t="shared" si="18"/>
        <v>0</v>
      </c>
      <c r="DJ30" s="59">
        <f t="shared" si="18"/>
        <v>0</v>
      </c>
      <c r="DK30" s="59">
        <f t="shared" si="18"/>
        <v>0</v>
      </c>
      <c r="DL30" s="59">
        <f t="shared" si="18"/>
        <v>0</v>
      </c>
      <c r="DM30" s="59">
        <f t="shared" si="18"/>
        <v>0</v>
      </c>
      <c r="DN30" s="59">
        <f t="shared" si="18"/>
        <v>0</v>
      </c>
      <c r="DO30" s="59">
        <f t="shared" si="18"/>
        <v>0</v>
      </c>
      <c r="DP30" s="59">
        <f t="shared" si="18"/>
        <v>0</v>
      </c>
      <c r="DQ30" s="59">
        <f t="shared" si="18"/>
        <v>0</v>
      </c>
      <c r="DR30" s="59">
        <f t="shared" si="18"/>
        <v>0</v>
      </c>
      <c r="DS30" s="59">
        <f t="shared" si="18"/>
        <v>0</v>
      </c>
      <c r="DT30" s="59">
        <f t="shared" si="18"/>
        <v>0</v>
      </c>
      <c r="DU30" s="60">
        <f t="shared" si="18"/>
        <v>0</v>
      </c>
    </row>
    <row r="31" spans="1:125" x14ac:dyDescent="0.4">
      <c r="B31" s="74" t="s">
        <v>39</v>
      </c>
      <c r="D31" s="62"/>
      <c r="E31" s="90">
        <f>SUM(E32:E33)</f>
        <v>670000</v>
      </c>
      <c r="F31" s="90">
        <f t="shared" ref="F31:BQ31" si="19">SUM(F32:F33)</f>
        <v>663233</v>
      </c>
      <c r="G31" s="90">
        <f t="shared" si="19"/>
        <v>656534.34669999999</v>
      </c>
      <c r="H31" s="90">
        <f t="shared" si="19"/>
        <v>649903.34979832999</v>
      </c>
      <c r="I31" s="90">
        <f t="shared" si="19"/>
        <v>643339.32596536691</v>
      </c>
      <c r="J31" s="90">
        <f t="shared" si="19"/>
        <v>636841.5987731166</v>
      </c>
      <c r="K31" s="90">
        <f t="shared" si="19"/>
        <v>630409.49862550816</v>
      </c>
      <c r="L31" s="90">
        <f t="shared" si="19"/>
        <v>624042.36268939055</v>
      </c>
      <c r="M31" s="90">
        <f t="shared" si="19"/>
        <v>617739.5348262277</v>
      </c>
      <c r="N31" s="90">
        <f t="shared" si="19"/>
        <v>611500.3655244828</v>
      </c>
      <c r="O31" s="90">
        <f t="shared" si="19"/>
        <v>605324.21183268563</v>
      </c>
      <c r="P31" s="90">
        <f t="shared" si="19"/>
        <v>599210.43729317549</v>
      </c>
      <c r="Q31" s="90">
        <f t="shared" si="19"/>
        <v>593158.41187651444</v>
      </c>
      <c r="R31" s="90">
        <f t="shared" si="19"/>
        <v>587167.51191656152</v>
      </c>
      <c r="S31" s="90">
        <f t="shared" si="19"/>
        <v>581237.12004620431</v>
      </c>
      <c r="T31" s="90">
        <f t="shared" si="19"/>
        <v>575366.62513373757</v>
      </c>
      <c r="U31" s="90">
        <f t="shared" si="19"/>
        <v>569555.42221988679</v>
      </c>
      <c r="V31" s="90">
        <f t="shared" si="19"/>
        <v>563802.91245546599</v>
      </c>
      <c r="W31" s="90">
        <f t="shared" si="19"/>
        <v>558108.50303966575</v>
      </c>
      <c r="X31" s="90">
        <f t="shared" si="19"/>
        <v>552471.6071589652</v>
      </c>
      <c r="Y31" s="90">
        <f t="shared" si="19"/>
        <v>546891.6439266596</v>
      </c>
      <c r="Z31" s="90">
        <f t="shared" si="19"/>
        <v>541368.03832300042</v>
      </c>
      <c r="AA31" s="90">
        <f t="shared" si="19"/>
        <v>535900.22113593807</v>
      </c>
      <c r="AB31" s="90">
        <f t="shared" si="19"/>
        <v>530487.62890246511</v>
      </c>
      <c r="AC31" s="90">
        <f t="shared" si="19"/>
        <v>525129.70385055023</v>
      </c>
      <c r="AD31" s="90">
        <f t="shared" si="19"/>
        <v>519825.89384165965</v>
      </c>
      <c r="AE31" s="90">
        <f t="shared" si="19"/>
        <v>514575.65231385885</v>
      </c>
      <c r="AF31" s="90">
        <f t="shared" si="19"/>
        <v>509378.43822548888</v>
      </c>
      <c r="AG31" s="90">
        <f t="shared" si="19"/>
        <v>504233.71599941142</v>
      </c>
      <c r="AH31" s="90">
        <f t="shared" si="19"/>
        <v>499140.95546781737</v>
      </c>
      <c r="AI31" s="90">
        <f t="shared" si="19"/>
        <v>494099.63181759242</v>
      </c>
      <c r="AJ31" s="90">
        <f t="shared" si="19"/>
        <v>489109.22553623474</v>
      </c>
      <c r="AK31" s="90">
        <f t="shared" si="19"/>
        <v>484169.2223583188</v>
      </c>
      <c r="AL31" s="90">
        <f t="shared" si="19"/>
        <v>479279.11321249977</v>
      </c>
      <c r="AM31" s="90">
        <f t="shared" si="19"/>
        <v>474438.39416905353</v>
      </c>
      <c r="AN31" s="90">
        <f t="shared" si="19"/>
        <v>469646.56638794614</v>
      </c>
      <c r="AO31" s="90">
        <f t="shared" si="19"/>
        <v>464903.13606742787</v>
      </c>
      <c r="AP31" s="90">
        <f t="shared" si="19"/>
        <v>460207.61439314683</v>
      </c>
      <c r="AQ31" s="90">
        <f t="shared" si="19"/>
        <v>455559.51748777606</v>
      </c>
      <c r="AR31" s="90">
        <f t="shared" si="19"/>
        <v>450958.36636114953</v>
      </c>
      <c r="AS31" s="90">
        <f t="shared" si="19"/>
        <v>446403.68686090194</v>
      </c>
      <c r="AT31" s="90">
        <f t="shared" si="19"/>
        <v>441895.00962360681</v>
      </c>
      <c r="AU31" s="90">
        <f t="shared" si="19"/>
        <v>437431.8700264084</v>
      </c>
      <c r="AV31" s="90">
        <f t="shared" si="19"/>
        <v>433013.80813914171</v>
      </c>
      <c r="AW31" s="90">
        <f t="shared" si="19"/>
        <v>428640.36867693637</v>
      </c>
      <c r="AX31" s="90">
        <f t="shared" si="19"/>
        <v>424311.10095329926</v>
      </c>
      <c r="AY31" s="90">
        <f t="shared" si="19"/>
        <v>420025.55883367098</v>
      </c>
      <c r="AZ31" s="90">
        <f t="shared" si="19"/>
        <v>415783.30068945087</v>
      </c>
      <c r="BA31" s="90">
        <f t="shared" si="19"/>
        <v>411583.8893524874</v>
      </c>
      <c r="BB31" s="90">
        <f t="shared" si="19"/>
        <v>407426.8920700273</v>
      </c>
      <c r="BC31" s="90">
        <f t="shared" si="19"/>
        <v>403311.88046012004</v>
      </c>
      <c r="BD31" s="90">
        <f t="shared" si="19"/>
        <v>399238.43046747282</v>
      </c>
      <c r="BE31" s="90">
        <f t="shared" si="19"/>
        <v>395206.12231975136</v>
      </c>
      <c r="BF31" s="90">
        <f t="shared" si="19"/>
        <v>391214.54048432189</v>
      </c>
      <c r="BG31" s="90">
        <f t="shared" si="19"/>
        <v>387263.27362543024</v>
      </c>
      <c r="BH31" s="90">
        <f t="shared" si="19"/>
        <v>383351.91456181341</v>
      </c>
      <c r="BI31" s="90">
        <f t="shared" si="19"/>
        <v>379480.06022473914</v>
      </c>
      <c r="BJ31" s="90">
        <f t="shared" si="19"/>
        <v>375647.31161646929</v>
      </c>
      <c r="BK31" s="90">
        <f t="shared" si="19"/>
        <v>371853.27376914292</v>
      </c>
      <c r="BL31" s="90">
        <f t="shared" si="19"/>
        <v>368097.55570407456</v>
      </c>
      <c r="BM31" s="90">
        <f t="shared" si="19"/>
        <v>364379.77039146348</v>
      </c>
      <c r="BN31" s="90">
        <f t="shared" si="19"/>
        <v>360699.5347105097</v>
      </c>
      <c r="BO31" s="90">
        <f t="shared" si="19"/>
        <v>357056.46940993355</v>
      </c>
      <c r="BP31" s="90">
        <f t="shared" si="19"/>
        <v>353450.19906889315</v>
      </c>
      <c r="BQ31" s="90">
        <f t="shared" si="19"/>
        <v>349880.35205829737</v>
      </c>
      <c r="BR31" s="90">
        <f t="shared" ref="BR31:DU31" si="20">SUM(BR32:BR33)</f>
        <v>346346.56050250854</v>
      </c>
      <c r="BS31" s="90">
        <f t="shared" si="20"/>
        <v>342848.46024143317</v>
      </c>
      <c r="BT31" s="90">
        <f t="shared" si="20"/>
        <v>339385.69079299469</v>
      </c>
      <c r="BU31" s="90">
        <f t="shared" si="20"/>
        <v>335957.89531598543</v>
      </c>
      <c r="BV31" s="90">
        <f t="shared" si="20"/>
        <v>332564.72057329398</v>
      </c>
      <c r="BW31" s="90">
        <f t="shared" si="20"/>
        <v>329205.81689550373</v>
      </c>
      <c r="BX31" s="90">
        <f t="shared" si="20"/>
        <v>325880.83814485912</v>
      </c>
      <c r="BY31" s="90">
        <f t="shared" si="20"/>
        <v>322589.44167959603</v>
      </c>
      <c r="BZ31" s="90">
        <f t="shared" si="20"/>
        <v>319331.28831863217</v>
      </c>
      <c r="CA31" s="90">
        <f t="shared" si="20"/>
        <v>316106.04230661393</v>
      </c>
      <c r="CB31" s="90">
        <f t="shared" si="20"/>
        <v>312913.37127931713</v>
      </c>
      <c r="CC31" s="90">
        <f t="shared" si="20"/>
        <v>309752.94622939604</v>
      </c>
      <c r="CD31" s="90">
        <f t="shared" si="20"/>
        <v>306624.44147247908</v>
      </c>
      <c r="CE31" s="90">
        <f t="shared" si="20"/>
        <v>303527.53461360704</v>
      </c>
      <c r="CF31" s="90">
        <f t="shared" si="20"/>
        <v>300461.90651400964</v>
      </c>
      <c r="CG31" s="90">
        <f t="shared" si="20"/>
        <v>297427.24125821819</v>
      </c>
      <c r="CH31" s="90">
        <f t="shared" si="20"/>
        <v>294423.22612151015</v>
      </c>
      <c r="CI31" s="90">
        <f t="shared" si="20"/>
        <v>291449.55153768288</v>
      </c>
      <c r="CJ31" s="90">
        <f t="shared" si="20"/>
        <v>288505.91106715228</v>
      </c>
      <c r="CK31" s="90">
        <f t="shared" si="20"/>
        <v>285592.00136537408</v>
      </c>
      <c r="CL31" s="90">
        <f t="shared" si="20"/>
        <v>282707.52215158381</v>
      </c>
      <c r="CM31" s="90">
        <f t="shared" si="20"/>
        <v>279852.17617785279</v>
      </c>
      <c r="CN31" s="90">
        <f t="shared" si="20"/>
        <v>277025.66919845651</v>
      </c>
      <c r="CO31" s="90">
        <f t="shared" si="20"/>
        <v>274227.70993955206</v>
      </c>
      <c r="CP31" s="90">
        <f t="shared" si="20"/>
        <v>271458.01006916258</v>
      </c>
      <c r="CQ31" s="90">
        <f t="shared" si="20"/>
        <v>268716.28416746407</v>
      </c>
      <c r="CR31" s="90">
        <f t="shared" si="20"/>
        <v>266002.24969737267</v>
      </c>
      <c r="CS31" s="90">
        <f t="shared" si="20"/>
        <v>263315.62697542924</v>
      </c>
      <c r="CT31" s="90">
        <f t="shared" si="20"/>
        <v>260656.13914297739</v>
      </c>
      <c r="CU31" s="90">
        <f t="shared" si="20"/>
        <v>258023.51213763334</v>
      </c>
      <c r="CV31" s="90">
        <f t="shared" si="20"/>
        <v>255417.47466504324</v>
      </c>
      <c r="CW31" s="90">
        <f t="shared" si="20"/>
        <v>252837.75817092627</v>
      </c>
      <c r="CX31" s="90">
        <f t="shared" si="20"/>
        <v>250284.09681339993</v>
      </c>
      <c r="CY31" s="90">
        <f t="shared" si="20"/>
        <v>247756.22743558459</v>
      </c>
      <c r="CZ31" s="90">
        <f t="shared" si="20"/>
        <v>245253.88953848518</v>
      </c>
      <c r="DA31" s="90">
        <f t="shared" si="20"/>
        <v>242776.82525414648</v>
      </c>
      <c r="DB31" s="90">
        <f t="shared" si="20"/>
        <v>240324.77931907959</v>
      </c>
      <c r="DC31" s="90">
        <f t="shared" si="20"/>
        <v>237897.4990479569</v>
      </c>
      <c r="DD31" s="90">
        <f t="shared" si="20"/>
        <v>235494.73430757254</v>
      </c>
      <c r="DE31" s="90">
        <f t="shared" si="20"/>
        <v>233116.23749106607</v>
      </c>
      <c r="DF31" s="90">
        <f t="shared" si="20"/>
        <v>230761.76349240632</v>
      </c>
      <c r="DG31" s="90">
        <f t="shared" si="20"/>
        <v>228431.069681133</v>
      </c>
      <c r="DH31" s="90">
        <f t="shared" si="20"/>
        <v>226123.91587735355</v>
      </c>
      <c r="DI31" s="90">
        <f t="shared" si="20"/>
        <v>223840.06432699229</v>
      </c>
      <c r="DJ31" s="90">
        <f t="shared" si="20"/>
        <v>221579.27967728965</v>
      </c>
      <c r="DK31" s="90">
        <f t="shared" si="20"/>
        <v>219341.32895254903</v>
      </c>
      <c r="DL31" s="90">
        <f t="shared" si="20"/>
        <v>217125.98153012828</v>
      </c>
      <c r="DM31" s="90">
        <f t="shared" si="20"/>
        <v>214933.00911667402</v>
      </c>
      <c r="DN31" s="90">
        <f t="shared" si="20"/>
        <v>212762.18572459559</v>
      </c>
      <c r="DO31" s="90">
        <f t="shared" si="20"/>
        <v>210613.28764877719</v>
      </c>
      <c r="DP31" s="90">
        <f t="shared" si="20"/>
        <v>208486.09344352453</v>
      </c>
      <c r="DQ31" s="90">
        <f t="shared" si="20"/>
        <v>206380.38389974492</v>
      </c>
      <c r="DR31" s="90">
        <f t="shared" si="20"/>
        <v>204295.94202235751</v>
      </c>
      <c r="DS31" s="90">
        <f t="shared" si="20"/>
        <v>202232.55300793171</v>
      </c>
      <c r="DT31" s="90">
        <f t="shared" si="20"/>
        <v>200190.00422255159</v>
      </c>
      <c r="DU31" s="88">
        <f t="shared" si="20"/>
        <v>1201140.0253353093</v>
      </c>
    </row>
    <row r="32" spans="1:125" x14ac:dyDescent="0.4">
      <c r="B32" s="74"/>
      <c r="C32" s="55" t="s">
        <v>60</v>
      </c>
      <c r="D32" s="62"/>
      <c r="E32" s="59">
        <f>IF(E68&gt;0,0,MAX(0,E14+E17+E23+E26+E29))</f>
        <v>600000</v>
      </c>
      <c r="F32" s="59">
        <f t="shared" ref="F32:BQ32" si="21">IF(F68&gt;0,0,MAX(0,F14+F17+F23+F26+F29))</f>
        <v>593940</v>
      </c>
      <c r="G32" s="59">
        <f t="shared" si="21"/>
        <v>587941.20600000001</v>
      </c>
      <c r="H32" s="59">
        <f t="shared" si="21"/>
        <v>582002.99981940002</v>
      </c>
      <c r="I32" s="59">
        <f t="shared" si="21"/>
        <v>576124.76952122408</v>
      </c>
      <c r="J32" s="59">
        <f t="shared" si="21"/>
        <v>570305.90934905969</v>
      </c>
      <c r="K32" s="59">
        <f t="shared" si="21"/>
        <v>564545.81966463418</v>
      </c>
      <c r="L32" s="59">
        <f t="shared" si="21"/>
        <v>558843.90688602137</v>
      </c>
      <c r="M32" s="59">
        <f t="shared" si="21"/>
        <v>553199.58342647261</v>
      </c>
      <c r="N32" s="59">
        <f t="shared" si="21"/>
        <v>547612.26763386524</v>
      </c>
      <c r="O32" s="59">
        <f t="shared" si="21"/>
        <v>542081.38373076322</v>
      </c>
      <c r="P32" s="59">
        <f t="shared" si="21"/>
        <v>536606.3617550825</v>
      </c>
      <c r="Q32" s="59">
        <f t="shared" si="21"/>
        <v>531186.63750135619</v>
      </c>
      <c r="R32" s="59">
        <f t="shared" si="21"/>
        <v>525821.65246259246</v>
      </c>
      <c r="S32" s="59">
        <f t="shared" si="21"/>
        <v>520510.85377272026</v>
      </c>
      <c r="T32" s="59">
        <f t="shared" si="21"/>
        <v>515253.69414961577</v>
      </c>
      <c r="U32" s="59">
        <f t="shared" si="21"/>
        <v>510049.63183870463</v>
      </c>
      <c r="V32" s="59">
        <f t="shared" si="21"/>
        <v>504898.1305571337</v>
      </c>
      <c r="W32" s="59">
        <f t="shared" si="21"/>
        <v>499798.65943850664</v>
      </c>
      <c r="X32" s="59">
        <f t="shared" si="21"/>
        <v>494750.69297817774</v>
      </c>
      <c r="Y32" s="59">
        <f t="shared" si="21"/>
        <v>489753.71097909816</v>
      </c>
      <c r="Z32" s="59">
        <f t="shared" si="21"/>
        <v>484807.1984982093</v>
      </c>
      <c r="AA32" s="59">
        <f t="shared" si="21"/>
        <v>479910.64579337736</v>
      </c>
      <c r="AB32" s="59">
        <f t="shared" si="21"/>
        <v>475063.54827086424</v>
      </c>
      <c r="AC32" s="59">
        <f t="shared" si="21"/>
        <v>470265.40643332852</v>
      </c>
      <c r="AD32" s="59">
        <f t="shared" si="21"/>
        <v>465515.72582835192</v>
      </c>
      <c r="AE32" s="59">
        <f t="shared" si="21"/>
        <v>460814.01699748554</v>
      </c>
      <c r="AF32" s="59">
        <f t="shared" si="21"/>
        <v>456159.79542581091</v>
      </c>
      <c r="AG32" s="59">
        <f t="shared" si="21"/>
        <v>451552.58149201021</v>
      </c>
      <c r="AH32" s="59">
        <f t="shared" si="21"/>
        <v>446991.90041894093</v>
      </c>
      <c r="AI32" s="59">
        <f t="shared" si="21"/>
        <v>442477.28222470963</v>
      </c>
      <c r="AJ32" s="59">
        <f t="shared" si="21"/>
        <v>438008.26167424006</v>
      </c>
      <c r="AK32" s="59">
        <f t="shared" si="21"/>
        <v>433584.37823133025</v>
      </c>
      <c r="AL32" s="59">
        <f t="shared" si="21"/>
        <v>429205.17601119383</v>
      </c>
      <c r="AM32" s="59">
        <f t="shared" si="21"/>
        <v>424870.20373348077</v>
      </c>
      <c r="AN32" s="59">
        <f t="shared" si="21"/>
        <v>420579.01467577263</v>
      </c>
      <c r="AO32" s="59">
        <f t="shared" si="21"/>
        <v>416331.16662754735</v>
      </c>
      <c r="AP32" s="59">
        <f t="shared" si="21"/>
        <v>412126.22184460913</v>
      </c>
      <c r="AQ32" s="59">
        <f t="shared" si="21"/>
        <v>407963.74700397858</v>
      </c>
      <c r="AR32" s="59">
        <f t="shared" si="21"/>
        <v>403843.31315923837</v>
      </c>
      <c r="AS32" s="59">
        <f t="shared" si="21"/>
        <v>399764.49569633009</v>
      </c>
      <c r="AT32" s="59">
        <f t="shared" si="21"/>
        <v>395726.87428979715</v>
      </c>
      <c r="AU32" s="59">
        <f t="shared" si="21"/>
        <v>391730.03285947023</v>
      </c>
      <c r="AV32" s="59">
        <f t="shared" si="21"/>
        <v>387773.55952758959</v>
      </c>
      <c r="AW32" s="59">
        <f t="shared" si="21"/>
        <v>383857.04657636094</v>
      </c>
      <c r="AX32" s="59">
        <f t="shared" si="21"/>
        <v>379980.09040593967</v>
      </c>
      <c r="AY32" s="59">
        <f t="shared" si="21"/>
        <v>376142.29149283969</v>
      </c>
      <c r="AZ32" s="59">
        <f t="shared" si="21"/>
        <v>372343.25434876198</v>
      </c>
      <c r="BA32" s="59">
        <f t="shared" si="21"/>
        <v>368582.58747983951</v>
      </c>
      <c r="BB32" s="59">
        <f t="shared" si="21"/>
        <v>364859.90334629314</v>
      </c>
      <c r="BC32" s="59">
        <f t="shared" si="21"/>
        <v>361174.81832249556</v>
      </c>
      <c r="BD32" s="59">
        <f t="shared" si="21"/>
        <v>357526.95265743835</v>
      </c>
      <c r="BE32" s="59">
        <f t="shared" si="21"/>
        <v>353915.93043559825</v>
      </c>
      <c r="BF32" s="59">
        <f t="shared" si="21"/>
        <v>350341.3795381987</v>
      </c>
      <c r="BG32" s="59">
        <f t="shared" si="21"/>
        <v>346802.93160486291</v>
      </c>
      <c r="BH32" s="59">
        <f t="shared" si="21"/>
        <v>343300.22199565382</v>
      </c>
      <c r="BI32" s="59">
        <f t="shared" si="21"/>
        <v>339832.88975349773</v>
      </c>
      <c r="BJ32" s="59">
        <f t="shared" si="21"/>
        <v>336400.57756698743</v>
      </c>
      <c r="BK32" s="59">
        <f t="shared" si="21"/>
        <v>333002.93173356086</v>
      </c>
      <c r="BL32" s="59">
        <f t="shared" si="21"/>
        <v>329639.60212305188</v>
      </c>
      <c r="BM32" s="59">
        <f t="shared" si="21"/>
        <v>326310.24214160908</v>
      </c>
      <c r="BN32" s="59">
        <f t="shared" si="21"/>
        <v>323014.50869597885</v>
      </c>
      <c r="BO32" s="59">
        <f t="shared" si="21"/>
        <v>319752.06215814943</v>
      </c>
      <c r="BP32" s="59">
        <f t="shared" si="21"/>
        <v>316522.5663303521</v>
      </c>
      <c r="BQ32" s="59">
        <f t="shared" si="21"/>
        <v>313325.68841041555</v>
      </c>
      <c r="BR32" s="59">
        <f t="shared" ref="BR32:DU32" si="22">IF(BR68&gt;0,0,MAX(0,BR14+BR17+BR23+BR26+BR29))</f>
        <v>310161.09895747033</v>
      </c>
      <c r="BS32" s="59">
        <f t="shared" si="22"/>
        <v>307028.47185799986</v>
      </c>
      <c r="BT32" s="59">
        <f t="shared" si="22"/>
        <v>303927.48429223406</v>
      </c>
      <c r="BU32" s="59">
        <f t="shared" si="22"/>
        <v>300857.81670088251</v>
      </c>
      <c r="BV32" s="59">
        <f t="shared" si="22"/>
        <v>297819.15275220358</v>
      </c>
      <c r="BW32" s="59">
        <f t="shared" si="22"/>
        <v>294811.17930940632</v>
      </c>
      <c r="BX32" s="59">
        <f t="shared" si="22"/>
        <v>291833.58639838133</v>
      </c>
      <c r="BY32" s="59">
        <f t="shared" si="22"/>
        <v>288886.06717575766</v>
      </c>
      <c r="BZ32" s="59">
        <f t="shared" si="22"/>
        <v>285968.31789728254</v>
      </c>
      <c r="CA32" s="59">
        <f t="shared" si="22"/>
        <v>283080.03788651997</v>
      </c>
      <c r="CB32" s="59">
        <f t="shared" si="22"/>
        <v>280220.92950386612</v>
      </c>
      <c r="CC32" s="59">
        <f t="shared" si="22"/>
        <v>277390.69811587705</v>
      </c>
      <c r="CD32" s="59">
        <f t="shared" si="22"/>
        <v>274589.05206490669</v>
      </c>
      <c r="CE32" s="59">
        <f t="shared" si="22"/>
        <v>271815.70263905113</v>
      </c>
      <c r="CF32" s="59">
        <f t="shared" si="22"/>
        <v>269070.36404239672</v>
      </c>
      <c r="CG32" s="59">
        <f t="shared" si="22"/>
        <v>266352.75336556853</v>
      </c>
      <c r="CH32" s="59">
        <f t="shared" si="22"/>
        <v>263662.59055657627</v>
      </c>
      <c r="CI32" s="59">
        <f t="shared" si="22"/>
        <v>260999.59839195485</v>
      </c>
      <c r="CJ32" s="59">
        <f t="shared" si="22"/>
        <v>258363.50244819612</v>
      </c>
      <c r="CK32" s="59">
        <f t="shared" si="22"/>
        <v>255754.03107346935</v>
      </c>
      <c r="CL32" s="59">
        <f t="shared" si="22"/>
        <v>253170.91535962731</v>
      </c>
      <c r="CM32" s="59">
        <f t="shared" si="22"/>
        <v>250613.88911449508</v>
      </c>
      <c r="CN32" s="59">
        <f t="shared" si="22"/>
        <v>248082.68883443868</v>
      </c>
      <c r="CO32" s="59">
        <f t="shared" si="22"/>
        <v>245577.05367721085</v>
      </c>
      <c r="CP32" s="59">
        <f t="shared" si="22"/>
        <v>243096.72543507101</v>
      </c>
      <c r="CQ32" s="59">
        <f t="shared" si="22"/>
        <v>240641.44850817681</v>
      </c>
      <c r="CR32" s="59">
        <f t="shared" si="22"/>
        <v>238210.96987824421</v>
      </c>
      <c r="CS32" s="59">
        <f t="shared" si="22"/>
        <v>235805.03908247396</v>
      </c>
      <c r="CT32" s="59">
        <f t="shared" si="22"/>
        <v>233423.40818774098</v>
      </c>
      <c r="CU32" s="59">
        <f t="shared" si="22"/>
        <v>231065.8317650448</v>
      </c>
      <c r="CV32" s="59">
        <f t="shared" si="22"/>
        <v>228732.06686421784</v>
      </c>
      <c r="CW32" s="59">
        <f t="shared" si="22"/>
        <v>226421.87298888923</v>
      </c>
      <c r="CX32" s="59">
        <f t="shared" si="22"/>
        <v>224135.01207170144</v>
      </c>
      <c r="CY32" s="59">
        <f t="shared" si="22"/>
        <v>221871.24844977725</v>
      </c>
      <c r="CZ32" s="59">
        <f t="shared" si="22"/>
        <v>219630.34884043451</v>
      </c>
      <c r="DA32" s="59">
        <f t="shared" si="22"/>
        <v>217412.08231714612</v>
      </c>
      <c r="DB32" s="59">
        <f t="shared" si="22"/>
        <v>215216.22028574295</v>
      </c>
      <c r="DC32" s="59">
        <f t="shared" si="22"/>
        <v>213042.53646085694</v>
      </c>
      <c r="DD32" s="59">
        <f t="shared" si="22"/>
        <v>210890.80684260229</v>
      </c>
      <c r="DE32" s="59">
        <f t="shared" si="22"/>
        <v>208760.80969349202</v>
      </c>
      <c r="DF32" s="59">
        <f t="shared" si="22"/>
        <v>206652.32551558776</v>
      </c>
      <c r="DG32" s="59">
        <f t="shared" si="22"/>
        <v>204565.13702788032</v>
      </c>
      <c r="DH32" s="59">
        <f t="shared" si="22"/>
        <v>202499.02914389872</v>
      </c>
      <c r="DI32" s="59">
        <f t="shared" si="22"/>
        <v>200453.78894954536</v>
      </c>
      <c r="DJ32" s="59">
        <f t="shared" si="22"/>
        <v>198429.20568115494</v>
      </c>
      <c r="DK32" s="59">
        <f t="shared" si="22"/>
        <v>196425.07070377527</v>
      </c>
      <c r="DL32" s="59">
        <f t="shared" si="22"/>
        <v>194441.17748966714</v>
      </c>
      <c r="DM32" s="59">
        <f t="shared" si="22"/>
        <v>192477.32159702151</v>
      </c>
      <c r="DN32" s="59">
        <f t="shared" si="22"/>
        <v>190533.3006488916</v>
      </c>
      <c r="DO32" s="59">
        <f t="shared" si="22"/>
        <v>188608.91431233779</v>
      </c>
      <c r="DP32" s="59">
        <f t="shared" si="22"/>
        <v>186703.96427778318</v>
      </c>
      <c r="DQ32" s="59">
        <f t="shared" si="22"/>
        <v>184818.25423857756</v>
      </c>
      <c r="DR32" s="59">
        <f t="shared" si="22"/>
        <v>182951.58987076793</v>
      </c>
      <c r="DS32" s="59">
        <f t="shared" si="22"/>
        <v>181103.77881307318</v>
      </c>
      <c r="DT32" s="59">
        <f t="shared" si="22"/>
        <v>179274.63064706113</v>
      </c>
      <c r="DU32" s="60">
        <f t="shared" si="22"/>
        <v>1075647.7838823667</v>
      </c>
    </row>
    <row r="33" spans="1:126" x14ac:dyDescent="0.4">
      <c r="B33" s="74"/>
      <c r="C33" s="55" t="s">
        <v>61</v>
      </c>
      <c r="D33" s="62"/>
      <c r="E33" s="59">
        <f>IF(E68&gt;0,0,MAX(0,E15+E18+E24+E27+E30))</f>
        <v>70000</v>
      </c>
      <c r="F33" s="59">
        <f t="shared" ref="F33:BQ33" si="23">IF(F68&gt;0,0,MAX(0,F15+F18+F24+F27+F30))</f>
        <v>69293</v>
      </c>
      <c r="G33" s="59">
        <f t="shared" si="23"/>
        <v>68593.140700000004</v>
      </c>
      <c r="H33" s="59">
        <f t="shared" si="23"/>
        <v>67900.349978929997</v>
      </c>
      <c r="I33" s="59">
        <f t="shared" si="23"/>
        <v>67214.5564441428</v>
      </c>
      <c r="J33" s="59">
        <f t="shared" si="23"/>
        <v>66535.689424056953</v>
      </c>
      <c r="K33" s="59">
        <f t="shared" si="23"/>
        <v>65863.678960873978</v>
      </c>
      <c r="L33" s="59">
        <f t="shared" si="23"/>
        <v>65198.45580336915</v>
      </c>
      <c r="M33" s="59">
        <f t="shared" si="23"/>
        <v>64539.951399755118</v>
      </c>
      <c r="N33" s="59">
        <f t="shared" si="23"/>
        <v>63888.097890617595</v>
      </c>
      <c r="O33" s="59">
        <f t="shared" si="23"/>
        <v>63242.828101922358</v>
      </c>
      <c r="P33" s="59">
        <f t="shared" si="23"/>
        <v>62604.07553809294</v>
      </c>
      <c r="Q33" s="59">
        <f t="shared" si="23"/>
        <v>61971.774375158202</v>
      </c>
      <c r="R33" s="59">
        <f t="shared" si="23"/>
        <v>61345.859453969104</v>
      </c>
      <c r="S33" s="59">
        <f t="shared" si="23"/>
        <v>60726.26627348402</v>
      </c>
      <c r="T33" s="59">
        <f t="shared" si="23"/>
        <v>60112.930984121835</v>
      </c>
      <c r="U33" s="59">
        <f t="shared" si="23"/>
        <v>59505.790381182203</v>
      </c>
      <c r="V33" s="59">
        <f t="shared" si="23"/>
        <v>58904.781898332265</v>
      </c>
      <c r="W33" s="59">
        <f t="shared" si="23"/>
        <v>58309.843601159111</v>
      </c>
      <c r="X33" s="59">
        <f t="shared" si="23"/>
        <v>57720.914180787404</v>
      </c>
      <c r="Y33" s="59">
        <f t="shared" si="23"/>
        <v>57137.93294756145</v>
      </c>
      <c r="Z33" s="59">
        <f t="shared" si="23"/>
        <v>56560.839824791081</v>
      </c>
      <c r="AA33" s="59">
        <f t="shared" si="23"/>
        <v>55989.575342560689</v>
      </c>
      <c r="AB33" s="59">
        <f t="shared" si="23"/>
        <v>55424.080631600824</v>
      </c>
      <c r="AC33" s="59">
        <f t="shared" si="23"/>
        <v>54864.297417221656</v>
      </c>
      <c r="AD33" s="59">
        <f t="shared" si="23"/>
        <v>54310.168013307717</v>
      </c>
      <c r="AE33" s="59">
        <f t="shared" si="23"/>
        <v>53761.635316373307</v>
      </c>
      <c r="AF33" s="59">
        <f t="shared" si="23"/>
        <v>53218.642799677938</v>
      </c>
      <c r="AG33" s="59">
        <f t="shared" si="23"/>
        <v>52681.134507401192</v>
      </c>
      <c r="AH33" s="59">
        <f t="shared" si="23"/>
        <v>52149.055048876442</v>
      </c>
      <c r="AI33" s="59">
        <f t="shared" si="23"/>
        <v>51622.349592882791</v>
      </c>
      <c r="AJ33" s="59">
        <f t="shared" si="23"/>
        <v>51100.963861994678</v>
      </c>
      <c r="AK33" s="59">
        <f t="shared" si="23"/>
        <v>50584.84412698853</v>
      </c>
      <c r="AL33" s="59">
        <f t="shared" si="23"/>
        <v>50073.937201305947</v>
      </c>
      <c r="AM33" s="59">
        <f t="shared" si="23"/>
        <v>49568.19043557276</v>
      </c>
      <c r="AN33" s="59">
        <f t="shared" si="23"/>
        <v>49067.551712173474</v>
      </c>
      <c r="AO33" s="59">
        <f t="shared" si="23"/>
        <v>48571.969439880522</v>
      </c>
      <c r="AP33" s="59">
        <f t="shared" si="23"/>
        <v>48081.392548537726</v>
      </c>
      <c r="AQ33" s="59">
        <f t="shared" si="23"/>
        <v>47595.770483797496</v>
      </c>
      <c r="AR33" s="59">
        <f t="shared" si="23"/>
        <v>47115.053201911142</v>
      </c>
      <c r="AS33" s="59">
        <f t="shared" si="23"/>
        <v>46639.191164571836</v>
      </c>
      <c r="AT33" s="59">
        <f t="shared" si="23"/>
        <v>46168.13533380966</v>
      </c>
      <c r="AU33" s="59">
        <f t="shared" si="23"/>
        <v>45701.837166938181</v>
      </c>
      <c r="AV33" s="59">
        <f t="shared" si="23"/>
        <v>45240.248611552102</v>
      </c>
      <c r="AW33" s="59">
        <f t="shared" si="23"/>
        <v>44783.322100575424</v>
      </c>
      <c r="AX33" s="59">
        <f t="shared" si="23"/>
        <v>44331.010547359612</v>
      </c>
      <c r="AY33" s="59">
        <f t="shared" si="23"/>
        <v>43883.267340831277</v>
      </c>
      <c r="AZ33" s="59">
        <f t="shared" si="23"/>
        <v>43440.046340688881</v>
      </c>
      <c r="BA33" s="59">
        <f t="shared" si="23"/>
        <v>43001.30187264792</v>
      </c>
      <c r="BB33" s="59">
        <f t="shared" si="23"/>
        <v>42566.988723734175</v>
      </c>
      <c r="BC33" s="59">
        <f t="shared" si="23"/>
        <v>42137.06213762446</v>
      </c>
      <c r="BD33" s="59">
        <f t="shared" si="23"/>
        <v>41711.477810034456</v>
      </c>
      <c r="BE33" s="59">
        <f t="shared" si="23"/>
        <v>41290.191884153108</v>
      </c>
      <c r="BF33" s="59">
        <f t="shared" si="23"/>
        <v>40873.160946123164</v>
      </c>
      <c r="BG33" s="59">
        <f t="shared" si="23"/>
        <v>40460.342020567317</v>
      </c>
      <c r="BH33" s="59">
        <f t="shared" si="23"/>
        <v>40051.692566159589</v>
      </c>
      <c r="BI33" s="59">
        <f t="shared" si="23"/>
        <v>39647.170471241378</v>
      </c>
      <c r="BJ33" s="59">
        <f t="shared" si="23"/>
        <v>39246.734049481842</v>
      </c>
      <c r="BK33" s="59">
        <f t="shared" si="23"/>
        <v>38850.342035582078</v>
      </c>
      <c r="BL33" s="59">
        <f t="shared" si="23"/>
        <v>38457.953581022703</v>
      </c>
      <c r="BM33" s="59">
        <f t="shared" si="23"/>
        <v>38069.528249854375</v>
      </c>
      <c r="BN33" s="59">
        <f t="shared" si="23"/>
        <v>37685.026014530842</v>
      </c>
      <c r="BO33" s="59">
        <f t="shared" si="23"/>
        <v>37304.407251784083</v>
      </c>
      <c r="BP33" s="59">
        <f t="shared" si="23"/>
        <v>36927.632738541062</v>
      </c>
      <c r="BQ33" s="59">
        <f t="shared" si="23"/>
        <v>36554.663647881796</v>
      </c>
      <c r="BR33" s="59">
        <f t="shared" ref="BR33:DU33" si="24">IF(BR68&gt;0,0,MAX(0,BR15+BR18+BR24+BR27+BR30))</f>
        <v>36185.46154503819</v>
      </c>
      <c r="BS33" s="59">
        <f t="shared" si="24"/>
        <v>35819.988383433301</v>
      </c>
      <c r="BT33" s="59">
        <f t="shared" si="24"/>
        <v>35458.206500760622</v>
      </c>
      <c r="BU33" s="59">
        <f t="shared" si="24"/>
        <v>35100.078615102939</v>
      </c>
      <c r="BV33" s="59">
        <f t="shared" si="24"/>
        <v>34745.567821090401</v>
      </c>
      <c r="BW33" s="59">
        <f t="shared" si="24"/>
        <v>34394.637586097386</v>
      </c>
      <c r="BX33" s="59">
        <f t="shared" si="24"/>
        <v>34047.251746477799</v>
      </c>
      <c r="BY33" s="59">
        <f t="shared" si="24"/>
        <v>33703.374503838371</v>
      </c>
      <c r="BZ33" s="59">
        <f t="shared" si="24"/>
        <v>33362.970421349601</v>
      </c>
      <c r="CA33" s="59">
        <f t="shared" si="24"/>
        <v>33026.004420093966</v>
      </c>
      <c r="CB33" s="59">
        <f t="shared" si="24"/>
        <v>32692.441775451018</v>
      </c>
      <c r="CC33" s="59">
        <f t="shared" si="24"/>
        <v>32362.248113518963</v>
      </c>
      <c r="CD33" s="59">
        <f t="shared" si="24"/>
        <v>32035.38940757242</v>
      </c>
      <c r="CE33" s="59">
        <f t="shared" si="24"/>
        <v>31711.831974555938</v>
      </c>
      <c r="CF33" s="59">
        <f t="shared" si="24"/>
        <v>31391.542471612924</v>
      </c>
      <c r="CG33" s="59">
        <f t="shared" si="24"/>
        <v>31074.487892649635</v>
      </c>
      <c r="CH33" s="59">
        <f t="shared" si="24"/>
        <v>30760.635564933873</v>
      </c>
      <c r="CI33" s="59">
        <f t="shared" si="24"/>
        <v>30449.953145728039</v>
      </c>
      <c r="CJ33" s="59">
        <f t="shared" si="24"/>
        <v>30142.408618956186</v>
      </c>
      <c r="CK33" s="59">
        <f t="shared" si="24"/>
        <v>29837.970291904727</v>
      </c>
      <c r="CL33" s="59">
        <f t="shared" si="24"/>
        <v>29536.606791956488</v>
      </c>
      <c r="CM33" s="59">
        <f t="shared" si="24"/>
        <v>29238.287063357729</v>
      </c>
      <c r="CN33" s="59">
        <f t="shared" si="24"/>
        <v>28942.980364017818</v>
      </c>
      <c r="CO33" s="59">
        <f t="shared" si="24"/>
        <v>28650.656262341239</v>
      </c>
      <c r="CP33" s="59">
        <f t="shared" si="24"/>
        <v>28361.284634091593</v>
      </c>
      <c r="CQ33" s="59">
        <f t="shared" si="24"/>
        <v>28074.83565928727</v>
      </c>
      <c r="CR33" s="59">
        <f t="shared" si="24"/>
        <v>27791.279819128467</v>
      </c>
      <c r="CS33" s="59">
        <f t="shared" si="24"/>
        <v>27510.587892955271</v>
      </c>
      <c r="CT33" s="59">
        <f t="shared" si="24"/>
        <v>27232.730955236424</v>
      </c>
      <c r="CU33" s="59">
        <f t="shared" si="24"/>
        <v>26957.680372588537</v>
      </c>
      <c r="CV33" s="59">
        <f t="shared" si="24"/>
        <v>26685.407800825393</v>
      </c>
      <c r="CW33" s="59">
        <f t="shared" si="24"/>
        <v>26415.885182037055</v>
      </c>
      <c r="CX33" s="59">
        <f t="shared" si="24"/>
        <v>26149.08474169848</v>
      </c>
      <c r="CY33" s="59">
        <f t="shared" si="24"/>
        <v>25884.978985807324</v>
      </c>
      <c r="CZ33" s="59">
        <f t="shared" si="24"/>
        <v>25623.54069805067</v>
      </c>
      <c r="DA33" s="59">
        <f t="shared" si="24"/>
        <v>25364.742937000359</v>
      </c>
      <c r="DB33" s="59">
        <f t="shared" si="24"/>
        <v>25108.559033336656</v>
      </c>
      <c r="DC33" s="59">
        <f t="shared" si="24"/>
        <v>24854.962587099955</v>
      </c>
      <c r="DD33" s="59">
        <f t="shared" si="24"/>
        <v>24603.927464970246</v>
      </c>
      <c r="DE33" s="59">
        <f t="shared" si="24"/>
        <v>24355.427797574048</v>
      </c>
      <c r="DF33" s="59">
        <f t="shared" si="24"/>
        <v>24109.43797681855</v>
      </c>
      <c r="DG33" s="59">
        <f t="shared" si="24"/>
        <v>23865.932653252683</v>
      </c>
      <c r="DH33" s="59">
        <f t="shared" si="24"/>
        <v>23624.88673345483</v>
      </c>
      <c r="DI33" s="59">
        <f t="shared" si="24"/>
        <v>23386.275377446938</v>
      </c>
      <c r="DJ33" s="59">
        <f t="shared" si="24"/>
        <v>23150.073996134724</v>
      </c>
      <c r="DK33" s="59">
        <f t="shared" si="24"/>
        <v>22916.258248773764</v>
      </c>
      <c r="DL33" s="59">
        <f t="shared" si="24"/>
        <v>22684.804040461149</v>
      </c>
      <c r="DM33" s="59">
        <f t="shared" si="24"/>
        <v>22455.687519652492</v>
      </c>
      <c r="DN33" s="59">
        <f t="shared" si="24"/>
        <v>22228.885075704002</v>
      </c>
      <c r="DO33" s="59">
        <f t="shared" si="24"/>
        <v>22004.373336439392</v>
      </c>
      <c r="DP33" s="59">
        <f t="shared" si="24"/>
        <v>21782.129165741353</v>
      </c>
      <c r="DQ33" s="59">
        <f t="shared" si="24"/>
        <v>21562.129661167364</v>
      </c>
      <c r="DR33" s="59">
        <f t="shared" si="24"/>
        <v>21344.352151589574</v>
      </c>
      <c r="DS33" s="59">
        <f t="shared" si="24"/>
        <v>21128.774194858521</v>
      </c>
      <c r="DT33" s="59">
        <f t="shared" si="24"/>
        <v>20915.373575490448</v>
      </c>
      <c r="DU33" s="60">
        <f t="shared" si="24"/>
        <v>125492.24145294269</v>
      </c>
    </row>
    <row r="34" spans="1:126" x14ac:dyDescent="0.4">
      <c r="B34" s="39"/>
      <c r="D34" s="62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60"/>
    </row>
    <row r="35" spans="1:126" s="19" customFormat="1" x14ac:dyDescent="0.4">
      <c r="A35" s="4"/>
      <c r="B35" s="94" t="s">
        <v>38</v>
      </c>
      <c r="C35" s="98" t="s">
        <v>80</v>
      </c>
      <c r="D35" s="21">
        <f>SUM(D36:D37)</f>
        <v>14840000</v>
      </c>
      <c r="E35" s="20">
        <f>SUM(E36:E37)</f>
        <v>14935481.006832451</v>
      </c>
      <c r="F35" s="20">
        <f t="shared" ref="F35:BQ35" si="25">SUM(F36:F37)</f>
        <v>14361576.341337794</v>
      </c>
      <c r="G35" s="20">
        <f t="shared" si="25"/>
        <v>13790746.155945076</v>
      </c>
      <c r="H35" s="20">
        <f t="shared" si="25"/>
        <v>13222941.885251839</v>
      </c>
      <c r="I35" s="20">
        <f t="shared" si="25"/>
        <v>12658115.341686044</v>
      </c>
      <c r="J35" s="20">
        <f t="shared" si="25"/>
        <v>12096218.710964983</v>
      </c>
      <c r="K35" s="20">
        <f t="shared" si="25"/>
        <v>11537204.547595402</v>
      </c>
      <c r="L35" s="20">
        <f t="shared" si="25"/>
        <v>10981025.77041439</v>
      </c>
      <c r="M35" s="20">
        <f t="shared" si="25"/>
        <v>10427635.65817057</v>
      </c>
      <c r="N35" s="20">
        <f t="shared" si="25"/>
        <v>9876987.8451451566</v>
      </c>
      <c r="O35" s="20">
        <f t="shared" si="25"/>
        <v>9329036.3168124743</v>
      </c>
      <c r="P35" s="20">
        <f t="shared" si="25"/>
        <v>8783735.4055394754</v>
      </c>
      <c r="Q35" s="20">
        <f t="shared" si="25"/>
        <v>8241039.7863238445</v>
      </c>
      <c r="R35" s="20">
        <f t="shared" si="25"/>
        <v>7700904.472570274</v>
      </c>
      <c r="S35" s="20">
        <f t="shared" si="25"/>
        <v>7163284.81190449</v>
      </c>
      <c r="T35" s="20">
        <f t="shared" si="25"/>
        <v>6628136.48202461</v>
      </c>
      <c r="U35" s="20">
        <f t="shared" si="25"/>
        <v>6095415.4865894308</v>
      </c>
      <c r="V35" s="20">
        <f t="shared" si="25"/>
        <v>5565078.1511432417</v>
      </c>
      <c r="W35" s="20">
        <f t="shared" si="25"/>
        <v>5037081.119076753</v>
      </c>
      <c r="X35" s="20">
        <f t="shared" si="25"/>
        <v>4511381.3476237562</v>
      </c>
      <c r="Y35" s="20">
        <f t="shared" si="25"/>
        <v>3987936.1038931101</v>
      </c>
      <c r="Z35" s="20">
        <f t="shared" si="25"/>
        <v>3466702.9609356686</v>
      </c>
      <c r="AA35" s="20">
        <f t="shared" si="25"/>
        <v>2947639.7938457662</v>
      </c>
      <c r="AB35" s="20">
        <f t="shared" si="25"/>
        <v>2430704.7758968761</v>
      </c>
      <c r="AC35" s="20">
        <f t="shared" si="25"/>
        <v>1915856.3747110607</v>
      </c>
      <c r="AD35" s="20">
        <f t="shared" si="25"/>
        <v>1403053.3484618433</v>
      </c>
      <c r="AE35" s="20">
        <f t="shared" si="25"/>
        <v>892254.74211012851</v>
      </c>
      <c r="AF35" s="20">
        <f t="shared" si="25"/>
        <v>383419.88367279957</v>
      </c>
      <c r="AG35" s="20">
        <f t="shared" si="25"/>
        <v>3852.9900800077376</v>
      </c>
      <c r="AH35" s="20">
        <f t="shared" si="25"/>
        <v>-374297.50666536251</v>
      </c>
      <c r="AI35" s="20">
        <f t="shared" si="25"/>
        <v>-751061.46469420975</v>
      </c>
      <c r="AJ35" s="20">
        <f t="shared" si="25"/>
        <v>-1126468.5406357097</v>
      </c>
      <c r="AK35" s="20">
        <f t="shared" si="25"/>
        <v>-1500548.1922963075</v>
      </c>
      <c r="AL35" s="20">
        <f t="shared" si="25"/>
        <v>-1873329.681315792</v>
      </c>
      <c r="AM35" s="20">
        <f t="shared" si="25"/>
        <v>-2244842.0758007159</v>
      </c>
      <c r="AN35" s="20">
        <f t="shared" si="25"/>
        <v>-2615114.25293541</v>
      </c>
      <c r="AO35" s="20">
        <f t="shared" si="25"/>
        <v>-2984174.9015708552</v>
      </c>
      <c r="AP35" s="20">
        <f t="shared" si="25"/>
        <v>-3352052.5247916495</v>
      </c>
      <c r="AQ35" s="20">
        <f t="shared" si="25"/>
        <v>-3718775.4424613328</v>
      </c>
      <c r="AR35" s="20">
        <f t="shared" si="25"/>
        <v>-4084371.7937463024</v>
      </c>
      <c r="AS35" s="20">
        <f t="shared" si="25"/>
        <v>-4448869.5396185769</v>
      </c>
      <c r="AT35" s="20">
        <f t="shared" si="25"/>
        <v>-4812296.4653376359</v>
      </c>
      <c r="AU35" s="20">
        <f t="shared" si="25"/>
        <v>-5174680.1829115869</v>
      </c>
      <c r="AV35" s="20">
        <f t="shared" si="25"/>
        <v>-5536048.1335378848</v>
      </c>
      <c r="AW35" s="20">
        <f t="shared" si="25"/>
        <v>-5896427.590023852</v>
      </c>
      <c r="AX35" s="20">
        <f t="shared" si="25"/>
        <v>-6255845.6591872219</v>
      </c>
      <c r="AY35" s="20">
        <f t="shared" si="25"/>
        <v>-6614329.2842369415</v>
      </c>
      <c r="AZ35" s="20">
        <f t="shared" si="25"/>
        <v>-6971905.2471344518</v>
      </c>
      <c r="BA35" s="20">
        <f t="shared" si="25"/>
        <v>-7328600.1709356951</v>
      </c>
      <c r="BB35" s="20">
        <f t="shared" si="25"/>
        <v>-7684440.5221140375</v>
      </c>
      <c r="BC35" s="20">
        <f t="shared" si="25"/>
        <v>-8039452.6128643695</v>
      </c>
      <c r="BD35" s="20">
        <f t="shared" si="25"/>
        <v>-8393662.603388574</v>
      </c>
      <c r="BE35" s="20">
        <f t="shared" si="25"/>
        <v>-8747096.504162591</v>
      </c>
      <c r="BF35" s="20">
        <f t="shared" si="25"/>
        <v>-9099780.1781852916</v>
      </c>
      <c r="BG35" s="20">
        <f t="shared" si="25"/>
        <v>-9451739.3432093896</v>
      </c>
      <c r="BH35" s="20">
        <f t="shared" si="25"/>
        <v>-9802999.5739545748</v>
      </c>
      <c r="BI35" s="20">
        <f t="shared" si="25"/>
        <v>-10153586.30430311</v>
      </c>
      <c r="BJ35" s="20">
        <f t="shared" si="25"/>
        <v>-10503524.82947807</v>
      </c>
      <c r="BK35" s="20">
        <f t="shared" si="25"/>
        <v>-10852840.30820445</v>
      </c>
      <c r="BL35" s="20">
        <f t="shared" si="25"/>
        <v>-11201557.764853355</v>
      </c>
      <c r="BM35" s="20">
        <f t="shared" si="25"/>
        <v>-11549702.09156942</v>
      </c>
      <c r="BN35" s="20">
        <f t="shared" si="25"/>
        <v>-11897298.050381744</v>
      </c>
      <c r="BO35" s="20">
        <f t="shared" si="25"/>
        <v>-12244370.275298469</v>
      </c>
      <c r="BP35" s="20">
        <f t="shared" si="25"/>
        <v>-12590943.274385219</v>
      </c>
      <c r="BQ35" s="20">
        <f t="shared" si="25"/>
        <v>-12937041.431827629</v>
      </c>
      <c r="BR35" s="20">
        <f t="shared" ref="BR35:DU35" si="26">SUM(BR36:BR37)</f>
        <v>-13282689.009978095</v>
      </c>
      <c r="BS35" s="20">
        <f t="shared" si="26"/>
        <v>-13627910.151386986</v>
      </c>
      <c r="BT35" s="20">
        <f t="shared" si="26"/>
        <v>-13972728.880818505</v>
      </c>
      <c r="BU35" s="20">
        <f t="shared" si="26"/>
        <v>-14317169.107251354</v>
      </c>
      <c r="BV35" s="20">
        <f t="shared" si="26"/>
        <v>-14661254.625864409</v>
      </c>
      <c r="BW35" s="20">
        <f t="shared" si="26"/>
        <v>-15005009.120007617</v>
      </c>
      <c r="BX35" s="20">
        <f t="shared" si="26"/>
        <v>-15348456.163158251</v>
      </c>
      <c r="BY35" s="20">
        <f t="shared" si="26"/>
        <v>-15691619.220862724</v>
      </c>
      <c r="BZ35" s="20">
        <f t="shared" si="26"/>
        <v>-16034521.65266416</v>
      </c>
      <c r="CA35" s="20">
        <f t="shared" si="26"/>
        <v>-16377186.714015877</v>
      </c>
      <c r="CB35" s="20">
        <f t="shared" si="26"/>
        <v>-16719637.558180964</v>
      </c>
      <c r="CC35" s="20">
        <f t="shared" si="26"/>
        <v>-17061897.238118131</v>
      </c>
      <c r="CD35" s="20">
        <f t="shared" si="26"/>
        <v>-17403988.708354015</v>
      </c>
      <c r="CE35" s="20">
        <f t="shared" si="26"/>
        <v>-17745934.826842081</v>
      </c>
      <c r="CF35" s="20">
        <f t="shared" si="26"/>
        <v>-18087758.356808346</v>
      </c>
      <c r="CG35" s="20">
        <f t="shared" si="26"/>
        <v>-18429481.968584023</v>
      </c>
      <c r="CH35" s="20">
        <f t="shared" si="26"/>
        <v>-18771128.241425321</v>
      </c>
      <c r="CI35" s="20">
        <f t="shared" si="26"/>
        <v>-19112719.665320523</v>
      </c>
      <c r="CJ35" s="20">
        <f t="shared" si="26"/>
        <v>-19454278.64278451</v>
      </c>
      <c r="CK35" s="20">
        <f t="shared" si="26"/>
        <v>-19795827.490640946</v>
      </c>
      <c r="CL35" s="20">
        <f t="shared" si="26"/>
        <v>-20137388.441792194</v>
      </c>
      <c r="CM35" s="20">
        <f t="shared" si="26"/>
        <v>-20478983.646977205</v>
      </c>
      <c r="CN35" s="20">
        <f t="shared" si="26"/>
        <v>-20820635.176517516</v>
      </c>
      <c r="CO35" s="20">
        <f t="shared" si="26"/>
        <v>-21162365.022051468</v>
      </c>
      <c r="CP35" s="20">
        <f t="shared" si="26"/>
        <v>-21504195.098256893</v>
      </c>
      <c r="CQ35" s="20">
        <f t="shared" si="26"/>
        <v>-21846147.244562339</v>
      </c>
      <c r="CR35" s="20">
        <f t="shared" si="26"/>
        <v>-22188243.226847023</v>
      </c>
      <c r="CS35" s="20">
        <f t="shared" si="26"/>
        <v>-22530504.73912967</v>
      </c>
      <c r="CT35" s="20">
        <f t="shared" si="26"/>
        <v>-22872953.405246373</v>
      </c>
      <c r="CU35" s="20">
        <f t="shared" si="26"/>
        <v>-23215610.780517668</v>
      </c>
      <c r="CV35" s="20">
        <f t="shared" si="26"/>
        <v>-23558498.353404865</v>
      </c>
      <c r="CW35" s="20">
        <f t="shared" si="26"/>
        <v>-23901637.54715592</v>
      </c>
      <c r="CX35" s="20">
        <f t="shared" si="26"/>
        <v>-24245049.721440904</v>
      </c>
      <c r="CY35" s="20">
        <f t="shared" si="26"/>
        <v>-24588756.173977237</v>
      </c>
      <c r="CZ35" s="20">
        <f t="shared" si="26"/>
        <v>-24932778.142144829</v>
      </c>
      <c r="DA35" s="20">
        <f t="shared" si="26"/>
        <v>-25277136.804591287</v>
      </c>
      <c r="DB35" s="20">
        <f t="shared" si="26"/>
        <v>-25621853.28282731</v>
      </c>
      <c r="DC35" s="20">
        <f t="shared" si="26"/>
        <v>-25966948.64281242</v>
      </c>
      <c r="DD35" s="20">
        <f t="shared" si="26"/>
        <v>-26312443.896531157</v>
      </c>
      <c r="DE35" s="20">
        <f t="shared" si="26"/>
        <v>-26658360.003559891</v>
      </c>
      <c r="DF35" s="20">
        <f t="shared" si="26"/>
        <v>-27004717.872624405</v>
      </c>
      <c r="DG35" s="20">
        <f t="shared" si="26"/>
        <v>-27351538.363148324</v>
      </c>
      <c r="DH35" s="20">
        <f t="shared" si="26"/>
        <v>-27698842.286792584</v>
      </c>
      <c r="DI35" s="20">
        <f t="shared" si="26"/>
        <v>-28046650.408986058</v>
      </c>
      <c r="DJ35" s="20">
        <f t="shared" si="26"/>
        <v>-28394983.450447459</v>
      </c>
      <c r="DK35" s="20">
        <f t="shared" si="26"/>
        <v>-28743862.088698652</v>
      </c>
      <c r="DL35" s="20">
        <f t="shared" si="26"/>
        <v>-29093306.959569536</v>
      </c>
      <c r="DM35" s="20">
        <f t="shared" si="26"/>
        <v>-29443338.658694576</v>
      </c>
      <c r="DN35" s="20">
        <f t="shared" si="26"/>
        <v>-29793977.743001152</v>
      </c>
      <c r="DO35" s="20">
        <f t="shared" si="26"/>
        <v>-30145244.732189842</v>
      </c>
      <c r="DP35" s="20">
        <f t="shared" si="26"/>
        <v>-30497160.110206757</v>
      </c>
      <c r="DQ35" s="20">
        <f t="shared" si="26"/>
        <v>-30849744.326708067</v>
      </c>
      <c r="DR35" s="20">
        <f t="shared" si="26"/>
        <v>-31203017.798516817</v>
      </c>
      <c r="DS35" s="20">
        <f t="shared" si="26"/>
        <v>-31557000.911072217</v>
      </c>
      <c r="DT35" s="20">
        <f t="shared" si="26"/>
        <v>-31911714.019871414</v>
      </c>
      <c r="DU35" s="95">
        <f t="shared" si="26"/>
        <v>-32267177.451903999</v>
      </c>
      <c r="DV35" s="4"/>
    </row>
    <row r="36" spans="1:126" x14ac:dyDescent="0.4">
      <c r="B36" s="39"/>
      <c r="C36" s="55" t="s">
        <v>60</v>
      </c>
      <c r="D36" s="61">
        <f>Assumptions!E24+Assumptions!E28</f>
        <v>13250000</v>
      </c>
      <c r="E36" s="59">
        <f>D36*(1+Assumptions!$E$26)-E7*(1-Assumptions!$E$23)-D53</f>
        <v>13335250.898957545</v>
      </c>
      <c r="F36" s="59">
        <f>E36*(1+Assumptions!$E$26)-F7*(1-Assumptions!$E$23)-E53</f>
        <v>12821050.304765888</v>
      </c>
      <c r="G36" s="59">
        <f>F36*(1+Assumptions!$E$26)-G7*(1-Assumptions!$E$23)-F53</f>
        <v>12309601.328468621</v>
      </c>
      <c r="H36" s="59">
        <f>G36*(1+Assumptions!$E$26)-H7*(1-Assumptions!$E$23)-G53</f>
        <v>11800860.468058126</v>
      </c>
      <c r="I36" s="59">
        <f>H36*(1+Assumptions!$E$26)-I7*(1-Assumptions!$E$23)-H53</f>
        <v>11294784.559814161</v>
      </c>
      <c r="J36" s="59">
        <f>I36*(1+Assumptions!$E$26)-J7*(1-Assumptions!$E$23)-I53</f>
        <v>10791330.774236783</v>
      </c>
      <c r="K36" s="59">
        <f>J36*(1+Assumptions!$E$26)-K7*(1-Assumptions!$E$23)-J53</f>
        <v>10290456.612016169</v>
      </c>
      <c r="L36" s="59">
        <f>K36*(1+Assumptions!$E$26)-L7*(1-Assumptions!$E$23)-K53</f>
        <v>9792119.9000389297</v>
      </c>
      <c r="M36" s="59">
        <f>L36*(1+Assumptions!$E$26)-M7*(1-Assumptions!$E$23)-L53</f>
        <v>9296278.787430523</v>
      </c>
      <c r="N36" s="59">
        <f>M36*(1+Assumptions!$E$26)-N7*(1-Assumptions!$E$23)-M53</f>
        <v>8802891.7416333649</v>
      </c>
      <c r="O36" s="59">
        <f>N36*(1+Assumptions!$E$26)-O7*(1-Assumptions!$E$23)-N53</f>
        <v>8311917.5445202691</v>
      </c>
      <c r="P36" s="59">
        <f>O36*(1+Assumptions!$E$26)-P7*(1-Assumptions!$E$23)-O53</f>
        <v>7823315.2885428146</v>
      </c>
      <c r="Q36" s="59">
        <f>P36*(1+Assumptions!$E$26)-Q7*(1-Assumptions!$E$23)-P53</f>
        <v>7337044.3729142668</v>
      </c>
      <c r="R36" s="59">
        <f>Q36*(1+Assumptions!$E$26)-R7*(1-Assumptions!$E$23)-Q53</f>
        <v>6853064.4998266725</v>
      </c>
      <c r="S36" s="59">
        <f>R36*(1+Assumptions!$E$26)-S7*(1-Assumptions!$E$23)-R53</f>
        <v>6371335.6707017608</v>
      </c>
      <c r="T36" s="59">
        <f>S36*(1+Assumptions!$E$26)-T7*(1-Assumptions!$E$23)-S53</f>
        <v>5891818.1824752744</v>
      </c>
      <c r="U36" s="59">
        <f>T36*(1+Assumptions!$E$26)-U7*(1-Assumptions!$E$23)-T53</f>
        <v>5414472.6239143703</v>
      </c>
      <c r="V36" s="59">
        <f>U36*(1+Assumptions!$E$26)-V7*(1-Assumptions!$E$23)-U53</f>
        <v>4939259.8719677199</v>
      </c>
      <c r="W36" s="59">
        <f>V36*(1+Assumptions!$E$26)-W7*(1-Assumptions!$E$23)-V53</f>
        <v>4466141.0881479578</v>
      </c>
      <c r="X36" s="59">
        <f>W36*(1+Assumptions!$E$26)-X7*(1-Assumptions!$E$23)-W53</f>
        <v>3995077.7149461182</v>
      </c>
      <c r="Y36" s="59">
        <f>X36*(1+Assumptions!$E$26)-Y7*(1-Assumptions!$E$23)-X53</f>
        <v>3526031.4722777074</v>
      </c>
      <c r="Z36" s="59">
        <f>Y36*(1+Assumptions!$E$26)-Z7*(1-Assumptions!$E$23)-Y53</f>
        <v>3058964.3539600638</v>
      </c>
      <c r="AA36" s="59">
        <f>Z36*(1+Assumptions!$E$26)-AA7*(1-Assumptions!$E$23)-Z53</f>
        <v>2593838.6242206604</v>
      </c>
      <c r="AB36" s="59">
        <f>AA36*(1+Assumptions!$E$26)-AB7*(1-Assumptions!$E$23)-AA53</f>
        <v>2130616.8142360086</v>
      </c>
      <c r="AC36" s="59">
        <f>AB36*(1+Assumptions!$E$26)-AC7*(1-Assumptions!$E$23)-AB53</f>
        <v>1669261.7187008185</v>
      </c>
      <c r="AD36" s="59">
        <f>AC36*(1+Assumptions!$E$26)-AD7*(1-Assumptions!$E$23)-AC53</f>
        <v>1209736.3924270871</v>
      </c>
      <c r="AE36" s="59">
        <f>AD36*(1+Assumptions!$E$26)-AE7*(1-Assumptions!$E$23)-AD53</f>
        <v>752004.14697277802</v>
      </c>
      <c r="AF36" s="59">
        <f>AE36*(1+Assumptions!$E$26)-AF7*(1-Assumptions!$E$23)-AE53</f>
        <v>296028.54729976284</v>
      </c>
      <c r="AG36" s="59">
        <f>AF36*(1+Assumptions!$E$26)-AG7*(1-Assumptions!$E$23)-AF53</f>
        <v>-44186.642682848091</v>
      </c>
      <c r="AH36" s="59">
        <f>AG36*(1+Assumptions!$E$26)-AH7*(1-Assumptions!$E$23)-AG53</f>
        <v>-383135.37699133717</v>
      </c>
      <c r="AI36" s="59">
        <f>AH36*(1+Assumptions!$E$26)-AI7*(1-Assumptions!$E$23)-AH53</f>
        <v>-720844.40685731266</v>
      </c>
      <c r="AJ36" s="59">
        <f>AI36*(1+Assumptions!$E$26)-AJ7*(1-Assumptions!$E$23)-AI53</f>
        <v>-1057340.3031441923</v>
      </c>
      <c r="AK36" s="59">
        <f>AJ36*(1+Assumptions!$E$26)-AK7*(1-Assumptions!$E$23)-AJ53</f>
        <v>-1392649.4587468221</v>
      </c>
      <c r="AL36" s="59">
        <f>AK36*(1+Assumptions!$E$26)-AL7*(1-Assumptions!$E$23)-AK53</f>
        <v>-1726798.0909705767</v>
      </c>
      <c r="AM36" s="59">
        <f>AL36*(1+Assumptions!$E$26)-AM7*(1-Assumptions!$E$23)-AL53</f>
        <v>-2059812.2438901733</v>
      </c>
      <c r="AN36" s="59">
        <f>AM36*(1+Assumptions!$E$26)-AN7*(1-Assumptions!$E$23)-AM53</f>
        <v>-2391717.7906884267</v>
      </c>
      <c r="AO36" s="59">
        <f>AN36*(1+Assumptions!$E$26)-AO7*(1-Assumptions!$E$23)-AN53</f>
        <v>-2722540.4359751763</v>
      </c>
      <c r="AP36" s="59">
        <f>AO36*(1+Assumptions!$E$26)-AP7*(1-Assumptions!$E$23)-AO53</f>
        <v>-3052305.7180866031</v>
      </c>
      <c r="AQ36" s="59">
        <f>AP36*(1+Assumptions!$E$26)-AQ7*(1-Assumptions!$E$23)-AP53</f>
        <v>-3381039.011365165</v>
      </c>
      <c r="AR36" s="59">
        <f>AQ36*(1+Assumptions!$E$26)-AR7*(1-Assumptions!$E$23)-AQ53</f>
        <v>-3708765.5284203687</v>
      </c>
      <c r="AS36" s="59">
        <f>AR36*(1+Assumptions!$E$26)-AS7*(1-Assumptions!$E$23)-AR53</f>
        <v>-4035510.3223705972</v>
      </c>
      <c r="AT36" s="59">
        <f>AS36*(1+Assumptions!$E$26)-AT7*(1-Assumptions!$E$23)-AS53</f>
        <v>-4361298.2890662067</v>
      </c>
      <c r="AU36" s="59">
        <f>AT36*(1+Assumptions!$E$26)-AU7*(1-Assumptions!$E$23)-AT53</f>
        <v>-4686154.1692941133</v>
      </c>
      <c r="AV36" s="59">
        <f>AU36*(1+Assumptions!$E$26)-AV7*(1-Assumptions!$E$23)-AU53</f>
        <v>-5010102.5509640723</v>
      </c>
      <c r="AW36" s="59">
        <f>AV36*(1+Assumptions!$E$26)-AW7*(1-Assumptions!$E$23)-AV53</f>
        <v>-5333167.8712768722</v>
      </c>
      <c r="AX36" s="59">
        <f>AW36*(1+Assumptions!$E$26)-AX7*(1-Assumptions!$E$23)-AW53</f>
        <v>-5655374.4188746409</v>
      </c>
      <c r="AY36" s="59">
        <f>AX36*(1+Assumptions!$E$26)-AY7*(1-Assumptions!$E$23)-AX53</f>
        <v>-5976746.3359734779</v>
      </c>
      <c r="AZ36" s="59">
        <f>AY36*(1+Assumptions!$E$26)-AZ7*(1-Assumptions!$E$23)-AY53</f>
        <v>-6297307.6204786133</v>
      </c>
      <c r="BA36" s="59">
        <f>AZ36*(1+Assumptions!$E$26)-BA7*(1-Assumptions!$E$23)-AZ53</f>
        <v>-6617082.1280822987</v>
      </c>
      <c r="BB36" s="59">
        <f>BA36*(1+Assumptions!$E$26)-BB7*(1-Assumptions!$E$23)-BA53</f>
        <v>-6936093.5743446257</v>
      </c>
      <c r="BC36" s="59">
        <f>BB36*(1+Assumptions!$E$26)-BC7*(1-Assumptions!$E$23)-BB53</f>
        <v>-7254365.5367574794</v>
      </c>
      <c r="BD36" s="59">
        <f>BC36*(1+Assumptions!$E$26)-BD7*(1-Assumptions!$E$23)-BC53</f>
        <v>-7571921.45679182</v>
      </c>
      <c r="BE36" s="59">
        <f>BD36*(1+Assumptions!$E$26)-BE7*(1-Assumptions!$E$23)-BD53</f>
        <v>-7888784.6419284791</v>
      </c>
      <c r="BF36" s="59">
        <f>BE36*(1+Assumptions!$E$26)-BF7*(1-Assumptions!$E$23)-BE53</f>
        <v>-8204978.2676726775</v>
      </c>
      <c r="BG36" s="59">
        <f>BF36*(1+Assumptions!$E$26)-BG7*(1-Assumptions!$E$23)-BF53</f>
        <v>-8520525.3795524556</v>
      </c>
      <c r="BH36" s="59">
        <f>BG36*(1+Assumptions!$E$26)-BH7*(1-Assumptions!$E$23)-BG53</f>
        <v>-8835448.8951011915</v>
      </c>
      <c r="BI36" s="59">
        <f>BH36*(1+Assumptions!$E$26)-BI7*(1-Assumptions!$E$23)-BH53</f>
        <v>-9149771.6058244091</v>
      </c>
      <c r="BJ36" s="59">
        <f>BI36*(1+Assumptions!$E$26)-BJ7*(1-Assumptions!$E$23)-BI53</f>
        <v>-9463516.1791510619</v>
      </c>
      <c r="BK36" s="59">
        <f>BJ36*(1+Assumptions!$E$26)-BK7*(1-Assumptions!$E$23)-BJ53</f>
        <v>-9776705.1603694633</v>
      </c>
      <c r="BL36" s="59">
        <f>BK36*(1+Assumptions!$E$26)-BL7*(1-Assumptions!$E$23)-BK53</f>
        <v>-10089360.974548077</v>
      </c>
      <c r="BM36" s="59">
        <f>BL36*(1+Assumptions!$E$26)-BM7*(1-Assumptions!$E$23)-BL53</f>
        <v>-10401505.928441303</v>
      </c>
      <c r="BN36" s="59">
        <f>BM36*(1+Assumptions!$E$26)-BN7*(1-Assumptions!$E$23)-BM53</f>
        <v>-10713162.21238048</v>
      </c>
      <c r="BO36" s="59">
        <f>BN36*(1+Assumptions!$E$26)-BO7*(1-Assumptions!$E$23)-BN53</f>
        <v>-11024351.902150271</v>
      </c>
      <c r="BP36" s="59">
        <f>BO36*(1+Assumptions!$E$26)-BP7*(1-Assumptions!$E$23)-BO53</f>
        <v>-11335096.960850593</v>
      </c>
      <c r="BQ36" s="59">
        <f>BP36*(1+Assumptions!$E$26)-BQ7*(1-Assumptions!$E$23)-BP53</f>
        <v>-11645419.240744278</v>
      </c>
      <c r="BR36" s="59">
        <f>BQ36*(1+Assumptions!$E$26)-BR7*(1-Assumptions!$E$23)-BQ53</f>
        <v>-11955340.485090652</v>
      </c>
      <c r="BS36" s="59">
        <f>BR36*(1+Assumptions!$E$26)-BS7*(1-Assumptions!$E$23)-BR53</f>
        <v>-12264882.32996517</v>
      </c>
      <c r="BT36" s="59">
        <f>BS36*(1+Assumptions!$E$26)-BT7*(1-Assumptions!$E$23)-BS53</f>
        <v>-12574066.306065315</v>
      </c>
      <c r="BU36" s="59">
        <f>BT36*(1+Assumptions!$E$26)-BU7*(1-Assumptions!$E$23)-BT53</f>
        <v>-12882913.840502895</v>
      </c>
      <c r="BV36" s="59">
        <f>BU36*(1+Assumptions!$E$26)-BV7*(1-Assumptions!$E$23)-BU53</f>
        <v>-13191446.258582933</v>
      </c>
      <c r="BW36" s="59">
        <f>BV36*(1+Assumptions!$E$26)-BW7*(1-Assumptions!$E$23)-BV53</f>
        <v>-13499684.785569301</v>
      </c>
      <c r="BX36" s="59">
        <f>BW36*(1+Assumptions!$E$26)-BX7*(1-Assumptions!$E$23)-BW53</f>
        <v>-13807650.548437264</v>
      </c>
      <c r="BY36" s="59">
        <f>BX36*(1+Assumptions!$E$26)-BY7*(1-Assumptions!$E$23)-BX53</f>
        <v>-14115364.5776131</v>
      </c>
      <c r="BZ36" s="59">
        <f>BY36*(1+Assumptions!$E$26)-BZ7*(1-Assumptions!$E$23)-BY53</f>
        <v>-14422847.808700958</v>
      </c>
      <c r="CA36" s="59">
        <f>BZ36*(1+Assumptions!$E$26)-CA7*(1-Assumptions!$E$23)-BZ53</f>
        <v>-14730121.084197098</v>
      </c>
      <c r="CB36" s="59">
        <f>CA36*(1+Assumptions!$E$26)-CB7*(1-Assumptions!$E$23)-CA53</f>
        <v>-15037205.155191708</v>
      </c>
      <c r="CC36" s="59">
        <f>CB36*(1+Assumptions!$E$26)-CC7*(1-Assumptions!$E$23)-CB53</f>
        <v>-15344120.683058409</v>
      </c>
      <c r="CD36" s="59">
        <f>CC36*(1+Assumptions!$E$26)-CD7*(1-Assumptions!$E$23)-CC53</f>
        <v>-15650888.241131641</v>
      </c>
      <c r="CE36" s="59">
        <f>CD36*(1+Assumptions!$E$26)-CE7*(1-Assumptions!$E$23)-CD53</f>
        <v>-15957528.316372059</v>
      </c>
      <c r="CF36" s="59">
        <f>CE36*(1+Assumptions!$E$26)-CF7*(1-Assumptions!$E$23)-CE53</f>
        <v>-16264061.311020117</v>
      </c>
      <c r="CG36" s="59">
        <f>CF36*(1+Assumptions!$E$26)-CG7*(1-Assumptions!$E$23)-CF53</f>
        <v>-16570507.54423796</v>
      </c>
      <c r="CH36" s="59">
        <f>CG36*(1+Assumptions!$E$26)-CH7*(1-Assumptions!$E$23)-CG53</f>
        <v>-16876887.2537398</v>
      </c>
      <c r="CI36" s="59">
        <f>CH36*(1+Assumptions!$E$26)-CI7*(1-Assumptions!$E$23)-CH53</f>
        <v>-17183220.597410928</v>
      </c>
      <c r="CJ36" s="59">
        <f>CI36*(1+Assumptions!$E$26)-CJ7*(1-Assumptions!$E$23)-CI53</f>
        <v>-17489527.654915467</v>
      </c>
      <c r="CK36" s="59">
        <f>CJ36*(1+Assumptions!$E$26)-CK7*(1-Assumptions!$E$23)-CJ53</f>
        <v>-17795828.429293077</v>
      </c>
      <c r="CL36" s="59">
        <f>CK36*(1+Assumptions!$E$26)-CL7*(1-Assumptions!$E$23)-CK53</f>
        <v>-18102142.848544706</v>
      </c>
      <c r="CM36" s="59">
        <f>CL36*(1+Assumptions!$E$26)-CM7*(1-Assumptions!$E$23)-CL53</f>
        <v>-18408490.767207544</v>
      </c>
      <c r="CN36" s="59">
        <f>CM36*(1+Assumptions!$E$26)-CN7*(1-Assumptions!$E$23)-CM53</f>
        <v>-18714891.96791935</v>
      </c>
      <c r="CO36" s="59">
        <f>CN36*(1+Assumptions!$E$26)-CO7*(1-Assumptions!$E$23)-CN53</f>
        <v>-19021366.162972234</v>
      </c>
      <c r="CP36" s="59">
        <f>CO36*(1+Assumptions!$E$26)-CP7*(1-Assumptions!$E$23)-CO53</f>
        <v>-19327932.995856106</v>
      </c>
      <c r="CQ36" s="59">
        <f>CP36*(1+Assumptions!$E$26)-CQ7*(1-Assumptions!$E$23)-CP53</f>
        <v>-19634612.042791877</v>
      </c>
      <c r="CR36" s="59">
        <f>CQ36*(1+Assumptions!$E$26)-CR7*(1-Assumptions!$E$23)-CQ53</f>
        <v>-19941422.814254571</v>
      </c>
      <c r="CS36" s="59">
        <f>CR36*(1+Assumptions!$E$26)-CS7*(1-Assumptions!$E$23)-CR53</f>
        <v>-20248384.756486479</v>
      </c>
      <c r="CT36" s="59">
        <f>CS36*(1+Assumptions!$E$26)-CT7*(1-Assumptions!$E$23)-CS53</f>
        <v>-20555517.253000502</v>
      </c>
      <c r="CU36" s="59">
        <f>CT36*(1+Assumptions!$E$26)-CU7*(1-Assumptions!$E$23)-CT53</f>
        <v>-20862839.626073807</v>
      </c>
      <c r="CV36" s="59">
        <f>CU36*(1+Assumptions!$E$26)-CV7*(1-Assumptions!$E$23)-CU53</f>
        <v>-21170371.138231922</v>
      </c>
      <c r="CW36" s="59">
        <f>CV36*(1+Assumptions!$E$26)-CW7*(1-Assumptions!$E$23)-CV53</f>
        <v>-21478130.993723419</v>
      </c>
      <c r="CX36" s="59">
        <f>CW36*(1+Assumptions!$E$26)-CX7*(1-Assumptions!$E$23)-CW53</f>
        <v>-21786138.3399853</v>
      </c>
      <c r="CY36" s="59">
        <f>CX36*(1+Assumptions!$E$26)-CY7*(1-Assumptions!$E$23)-CX53</f>
        <v>-22094412.269099243</v>
      </c>
      <c r="CZ36" s="59">
        <f>CY36*(1+Assumptions!$E$26)-CZ7*(1-Assumptions!$E$23)-CY53</f>
        <v>-22402971.819238789</v>
      </c>
      <c r="DA36" s="59">
        <f>CZ36*(1+Assumptions!$E$26)-DA7*(1-Assumptions!$E$23)-CZ53</f>
        <v>-22711835.976107657</v>
      </c>
      <c r="DB36" s="59">
        <f>DA36*(1+Assumptions!$E$26)-DB7*(1-Assumptions!$E$23)-DA53</f>
        <v>-23021023.674369249</v>
      </c>
      <c r="DC36" s="59">
        <f>DB36*(1+Assumptions!$E$26)-DC7*(1-Assumptions!$E$23)-DB53</f>
        <v>-23330553.799067549</v>
      </c>
      <c r="DD36" s="59">
        <f>DC36*(1+Assumptions!$E$26)-DD7*(1-Assumptions!$E$23)-DC53</f>
        <v>-23640445.187039446</v>
      </c>
      <c r="DE36" s="59">
        <f>DD36*(1+Assumptions!$E$26)-DE7*(1-Assumptions!$E$23)-DD53</f>
        <v>-23950716.628318693</v>
      </c>
      <c r="DF36" s="59">
        <f>DE36*(1+Assumptions!$E$26)-DF7*(1-Assumptions!$E$23)-DE53</f>
        <v>-24261386.867531575</v>
      </c>
      <c r="DG36" s="59">
        <f>DF36*(1+Assumptions!$E$26)-DG7*(1-Assumptions!$E$23)-DF53</f>
        <v>-24572474.605284408</v>
      </c>
      <c r="DH36" s="59">
        <f>DG36*(1+Assumptions!$E$26)-DH7*(1-Assumptions!$E$23)-DG53</f>
        <v>-24883998.499543011</v>
      </c>
      <c r="DI36" s="59">
        <f>DH36*(1+Assumptions!$E$26)-DI7*(1-Assumptions!$E$23)-DH53</f>
        <v>-25195977.167004276</v>
      </c>
      <c r="DJ36" s="59">
        <f>DI36*(1+Assumptions!$E$26)-DJ7*(1-Assumptions!$E$23)-DI53</f>
        <v>-25508429.184459899</v>
      </c>
      <c r="DK36" s="59">
        <f>DJ36*(1+Assumptions!$E$26)-DK7*(1-Assumptions!$E$23)-DJ53</f>
        <v>-25821373.090152469</v>
      </c>
      <c r="DL36" s="59">
        <f>DK36*(1+Assumptions!$E$26)-DL7*(1-Assumptions!$E$23)-DK53</f>
        <v>-26134827.385123972</v>
      </c>
      <c r="DM36" s="59">
        <f>DL36*(1+Assumptions!$E$26)-DM7*(1-Assumptions!$E$23)-DL53</f>
        <v>-26448810.534556855</v>
      </c>
      <c r="DN36" s="59">
        <f>DM36*(1+Assumptions!$E$26)-DN7*(1-Assumptions!$E$23)-DM53</f>
        <v>-26763340.969107736</v>
      </c>
      <c r="DO36" s="59">
        <f>DN36*(1+Assumptions!$E$26)-DO7*(1-Assumptions!$E$23)-DN53</f>
        <v>-27078437.086233933</v>
      </c>
      <c r="DP36" s="59">
        <f>DO36*(1+Assumptions!$E$26)-DP7*(1-Assumptions!$E$23)-DO53</f>
        <v>-27394117.251512848</v>
      </c>
      <c r="DQ36" s="59">
        <f>DP36*(1+Assumptions!$E$26)-DQ7*(1-Assumptions!$E$23)-DP53</f>
        <v>-27710399.799954385</v>
      </c>
      <c r="DR36" s="59">
        <f>DQ36*(1+Assumptions!$E$26)-DR7*(1-Assumptions!$E$23)-DQ53</f>
        <v>-28027303.037306454</v>
      </c>
      <c r="DS36" s="59">
        <f>DR36*(1+Assumptions!$E$26)-DS7*(1-Assumptions!$E$23)-DR53</f>
        <v>-28344845.24135375</v>
      </c>
      <c r="DT36" s="59">
        <f>DS36*(1+Assumptions!$E$26)-DT7*(1-Assumptions!$E$23)-DS53</f>
        <v>-28663044.663209815</v>
      </c>
      <c r="DU36" s="60">
        <f>DT36*(1+Assumptions!$E$26)-DU7*(1-Assumptions!$E$23)-DT53</f>
        <v>-28981919.528602578</v>
      </c>
    </row>
    <row r="37" spans="1:126" s="2" customFormat="1" x14ac:dyDescent="0.4">
      <c r="A37" s="1"/>
      <c r="B37" s="92"/>
      <c r="C37" s="63" t="s">
        <v>61</v>
      </c>
      <c r="D37" s="65">
        <f>+Assumptions!F24+Assumptions!F28</f>
        <v>1590000</v>
      </c>
      <c r="E37" s="59">
        <f>D37*(1+Assumptions!$F$26)-E8*(1-Assumptions!$F$23)-D54</f>
        <v>1600230.1078749055</v>
      </c>
      <c r="F37" s="59">
        <f>E37*(1+Assumptions!$F$26)-F8*(1-Assumptions!$F$23)-E54</f>
        <v>1540526.0365719066</v>
      </c>
      <c r="G37" s="59">
        <f>F37*(1+Assumptions!$F$26)-G8*(1-Assumptions!$F$23)-F54</f>
        <v>1481144.8274764544</v>
      </c>
      <c r="H37" s="59">
        <f>G37*(1+Assumptions!$F$26)-H8*(1-Assumptions!$F$23)-G54</f>
        <v>1422081.4171937136</v>
      </c>
      <c r="I37" s="59">
        <f>H37*(1+Assumptions!$F$26)-I8*(1-Assumptions!$F$23)-H54</f>
        <v>1363330.7818718841</v>
      </c>
      <c r="J37" s="59">
        <f>I37*(1+Assumptions!$F$26)-J8*(1-Assumptions!$F$23)-I54</f>
        <v>1304887.9367281997</v>
      </c>
      <c r="K37" s="59">
        <f>J37*(1+Assumptions!$F$26)-K8*(1-Assumptions!$F$23)-J54</f>
        <v>1246747.9355792322</v>
      </c>
      <c r="L37" s="59">
        <f>K37*(1+Assumptions!$F$26)-L8*(1-Assumptions!$F$23)-K54</f>
        <v>1188905.8703754595</v>
      </c>
      <c r="M37" s="59">
        <f>L37*(1+Assumptions!$F$26)-M8*(1-Assumptions!$F$23)-L54</f>
        <v>1131356.870740046</v>
      </c>
      <c r="N37" s="59">
        <f>M37*(1+Assumptions!$F$26)-N8*(1-Assumptions!$F$23)-M54</f>
        <v>1074096.1035117914</v>
      </c>
      <c r="O37" s="59">
        <f>N37*(1+Assumptions!$F$26)-O8*(1-Assumptions!$F$23)-N54</f>
        <v>1017118.7722922061</v>
      </c>
      <c r="P37" s="59">
        <f>O37*(1+Assumptions!$F$26)-P8*(1-Assumptions!$F$23)-O54</f>
        <v>960420.11699666141</v>
      </c>
      <c r="Q37" s="59">
        <f>P37*(1+Assumptions!$F$26)-Q8*(1-Assumptions!$F$23)-P54</f>
        <v>903995.41340957792</v>
      </c>
      <c r="R37" s="59">
        <f>Q37*(1+Assumptions!$F$26)-R8*(1-Assumptions!$F$23)-Q54</f>
        <v>847839.97274360189</v>
      </c>
      <c r="S37" s="59">
        <f>R37*(1+Assumptions!$F$26)-S8*(1-Assumptions!$F$23)-R54</f>
        <v>791949.14120272966</v>
      </c>
      <c r="T37" s="59">
        <f>S37*(1+Assumptions!$F$26)-T8*(1-Assumptions!$F$23)-S54</f>
        <v>736318.29954933538</v>
      </c>
      <c r="U37" s="59">
        <f>T37*(1+Assumptions!$F$26)-U8*(1-Assumptions!$F$23)-T54</f>
        <v>680942.86267506052</v>
      </c>
      <c r="V37" s="59">
        <f>U37*(1+Assumptions!$F$26)-V8*(1-Assumptions!$F$23)-U54</f>
        <v>625818.27917552157</v>
      </c>
      <c r="W37" s="59">
        <f>V37*(1+Assumptions!$F$26)-W8*(1-Assumptions!$F$23)-V54</f>
        <v>570940.03092879511</v>
      </c>
      <c r="X37" s="59">
        <f>W37*(1+Assumptions!$F$26)-X8*(1-Assumptions!$F$23)-W54</f>
        <v>516303.63267763815</v>
      </c>
      <c r="Y37" s="59">
        <f>X37*(1+Assumptions!$F$26)-Y8*(1-Assumptions!$F$23)-X54</f>
        <v>461904.63161540282</v>
      </c>
      <c r="Z37" s="59">
        <f>Y37*(1+Assumptions!$F$26)-Z8*(1-Assumptions!$F$23)-Y54</f>
        <v>407738.6069756049</v>
      </c>
      <c r="AA37" s="59">
        <f>Z37*(1+Assumptions!$F$26)-AA8*(1-Assumptions!$F$23)-Z54</f>
        <v>353801.16962510574</v>
      </c>
      <c r="AB37" s="59">
        <f>AA37*(1+Assumptions!$F$26)-AB8*(1-Assumptions!$F$23)-AA54</f>
        <v>300087.96166086738</v>
      </c>
      <c r="AC37" s="59">
        <f>AB37*(1+Assumptions!$F$26)-AC8*(1-Assumptions!$F$23)-AB54</f>
        <v>246594.65601024212</v>
      </c>
      <c r="AD37" s="59">
        <f>AC37*(1+Assumptions!$F$26)-AD8*(1-Assumptions!$F$23)-AC54</f>
        <v>193316.95603475629</v>
      </c>
      <c r="AE37" s="59">
        <f>AD37*(1+Assumptions!$F$26)-AE8*(1-Assumptions!$F$23)-AD54</f>
        <v>140250.59513735044</v>
      </c>
      <c r="AF37" s="59">
        <f>AE37*(1+Assumptions!$F$26)-AF8*(1-Assumptions!$F$23)-AE54</f>
        <v>87391.336373036727</v>
      </c>
      <c r="AG37" s="59">
        <f>AF37*(1+Assumptions!$F$26)-AG8*(1-Assumptions!$F$23)-AF54</f>
        <v>48039.632762855828</v>
      </c>
      <c r="AH37" s="59">
        <f>AG37*(1+Assumptions!$F$26)-AH8*(1-Assumptions!$F$23)-AG54</f>
        <v>8837.8703259746617</v>
      </c>
      <c r="AI37" s="59">
        <f>AH37*(1+Assumptions!$F$26)-AI8*(1-Assumptions!$F$23)-AH54</f>
        <v>-30217.057836897045</v>
      </c>
      <c r="AJ37" s="59">
        <f>AI37*(1+Assumptions!$F$26)-AJ8*(1-Assumptions!$F$23)-AI54</f>
        <v>-69128.237491517444</v>
      </c>
      <c r="AK37" s="59">
        <f>AJ37*(1+Assumptions!$F$26)-AK8*(1-Assumptions!$F$23)-AJ54</f>
        <v>-107898.73354948535</v>
      </c>
      <c r="AL37" s="59">
        <f>AK37*(1+Assumptions!$F$26)-AL8*(1-Assumptions!$F$23)-AK54</f>
        <v>-146531.59034521537</v>
      </c>
      <c r="AM37" s="59">
        <f>AL37*(1+Assumptions!$F$26)-AM8*(1-Assumptions!$F$23)-AL54</f>
        <v>-185029.83191054265</v>
      </c>
      <c r="AN37" s="59">
        <f>AM37*(1+Assumptions!$F$26)-AN8*(1-Assumptions!$F$23)-AM54</f>
        <v>-223396.46224698352</v>
      </c>
      <c r="AO37" s="59">
        <f>AN37*(1+Assumptions!$F$26)-AO8*(1-Assumptions!$F$23)-AN54</f>
        <v>-261634.46559567895</v>
      </c>
      <c r="AP37" s="59">
        <f>AO37*(1+Assumptions!$F$26)-AP8*(1-Assumptions!$F$23)-AO54</f>
        <v>-299746.80670504662</v>
      </c>
      <c r="AQ37" s="59">
        <f>AP37*(1+Assumptions!$F$26)-AQ8*(1-Assumptions!$F$23)-AP54</f>
        <v>-337736.43109616759</v>
      </c>
      <c r="AR37" s="59">
        <f>AQ37*(1+Assumptions!$F$26)-AR8*(1-Assumptions!$F$23)-AQ54</f>
        <v>-375606.26532593358</v>
      </c>
      <c r="AS37" s="59">
        <f>AR37*(1+Assumptions!$F$26)-AS8*(1-Assumptions!$F$23)-AR54</f>
        <v>-413359.21724797989</v>
      </c>
      <c r="AT37" s="59">
        <f>AS37*(1+Assumptions!$F$26)-AT8*(1-Assumptions!$F$23)-AS54</f>
        <v>-450998.17627142975</v>
      </c>
      <c r="AU37" s="59">
        <f>AT37*(1+Assumptions!$F$26)-AU8*(1-Assumptions!$F$23)-AT54</f>
        <v>-488526.01361747406</v>
      </c>
      <c r="AV37" s="59">
        <f>AU37*(1+Assumptions!$F$26)-AV8*(1-Assumptions!$F$23)-AU54</f>
        <v>-525945.58257381245</v>
      </c>
      <c r="AW37" s="59">
        <f>AV37*(1+Assumptions!$F$26)-AW8*(1-Assumptions!$F$23)-AV54</f>
        <v>-563259.71874697972</v>
      </c>
      <c r="AX37" s="59">
        <f>AW37*(1+Assumptions!$F$26)-AX8*(1-Assumptions!$F$23)-AW54</f>
        <v>-600471.24031258142</v>
      </c>
      <c r="AY37" s="59">
        <f>AX37*(1+Assumptions!$F$26)-AY8*(1-Assumptions!$F$23)-AX54</f>
        <v>-637582.94826346345</v>
      </c>
      <c r="AZ37" s="59">
        <f>AY37*(1+Assumptions!$F$26)-AZ8*(1-Assumptions!$F$23)-AY54</f>
        <v>-674597.6266558388</v>
      </c>
      <c r="BA37" s="59">
        <f>AZ37*(1+Assumptions!$F$26)-BA8*(1-Assumptions!$F$23)-AZ54</f>
        <v>-711518.04285339604</v>
      </c>
      <c r="BB37" s="59">
        <f>BA37*(1+Assumptions!$F$26)-BB8*(1-Assumptions!$F$23)-BA54</f>
        <v>-748346.94776941149</v>
      </c>
      <c r="BC37" s="59">
        <f>BB37*(1+Assumptions!$F$26)-BC8*(1-Assumptions!$F$23)-BB54</f>
        <v>-785087.07610688976</v>
      </c>
      <c r="BD37" s="59">
        <f>BC37*(1+Assumptions!$F$26)-BD8*(1-Assumptions!$F$23)-BC54</f>
        <v>-821741.14659675432</v>
      </c>
      <c r="BE37" s="59">
        <f>BD37*(1+Assumptions!$F$26)-BE8*(1-Assumptions!$F$23)-BD54</f>
        <v>-858311.86223411246</v>
      </c>
      <c r="BF37" s="59">
        <f>BE37*(1+Assumptions!$F$26)-BF8*(1-Assumptions!$F$23)-BE54</f>
        <v>-894801.91051261465</v>
      </c>
      <c r="BG37" s="59">
        <f>BF37*(1+Assumptions!$F$26)-BG8*(1-Assumptions!$F$23)-BF54</f>
        <v>-931213.96365693375</v>
      </c>
      <c r="BH37" s="59">
        <f>BG37*(1+Assumptions!$F$26)-BH8*(1-Assumptions!$F$23)-BG54</f>
        <v>-967550.67885338364</v>
      </c>
      <c r="BI37" s="59">
        <f>BH37*(1+Assumptions!$F$26)-BI8*(1-Assumptions!$F$23)-BH54</f>
        <v>-1003814.6984787002</v>
      </c>
      <c r="BJ37" s="59">
        <f>BI37*(1+Assumptions!$F$26)-BJ8*(1-Assumptions!$F$23)-BI54</f>
        <v>-1040008.6503270073</v>
      </c>
      <c r="BK37" s="59">
        <f>BJ37*(1+Assumptions!$F$26)-BK8*(1-Assumptions!$F$23)-BJ54</f>
        <v>-1076135.1478349867</v>
      </c>
      <c r="BL37" s="59">
        <f>BK37*(1+Assumptions!$F$26)-BL8*(1-Assumptions!$F$23)-BK54</f>
        <v>-1112196.7903052764</v>
      </c>
      <c r="BM37" s="59">
        <f>BL37*(1+Assumptions!$F$26)-BM8*(1-Assumptions!$F$23)-BL54</f>
        <v>-1148196.1631281169</v>
      </c>
      <c r="BN37" s="59">
        <f>BM37*(1+Assumptions!$F$26)-BN8*(1-Assumptions!$F$23)-BM54</f>
        <v>-1184135.8380012643</v>
      </c>
      <c r="BO37" s="59">
        <f>BN37*(1+Assumptions!$F$26)-BO8*(1-Assumptions!$F$23)-BN54</f>
        <v>-1220018.3731481966</v>
      </c>
      <c r="BP37" s="59">
        <f>BO37*(1+Assumptions!$F$26)-BP8*(1-Assumptions!$F$23)-BO54</f>
        <v>-1255846.3135346274</v>
      </c>
      <c r="BQ37" s="59">
        <f>BP37*(1+Assumptions!$F$26)-BQ8*(1-Assumptions!$F$23)-BP54</f>
        <v>-1291622.1910833518</v>
      </c>
      <c r="BR37" s="59">
        <f>BQ37*(1+Assumptions!$F$26)-BR8*(1-Assumptions!$F$23)-BQ54</f>
        <v>-1327348.5248874421</v>
      </c>
      <c r="BS37" s="59">
        <f>BR37*(1+Assumptions!$F$26)-BS8*(1-Assumptions!$F$23)-BR54</f>
        <v>-1363027.8214218151</v>
      </c>
      <c r="BT37" s="59">
        <f>BS37*(1+Assumptions!$F$26)-BT8*(1-Assumptions!$F$23)-BS54</f>
        <v>-1398662.5747531904</v>
      </c>
      <c r="BU37" s="59">
        <f>BT37*(1+Assumptions!$F$26)-BU8*(1-Assumptions!$F$23)-BT54</f>
        <v>-1434255.2667484577</v>
      </c>
      <c r="BV37" s="59">
        <f>BU37*(1+Assumptions!$F$26)-BV8*(1-Assumptions!$F$23)-BU54</f>
        <v>-1469808.3672814753</v>
      </c>
      <c r="BW37" s="59">
        <f>BV37*(1+Assumptions!$F$26)-BW8*(1-Assumptions!$F$23)-BV54</f>
        <v>-1505324.3344383172</v>
      </c>
      <c r="BX37" s="59">
        <f>BW37*(1+Assumptions!$F$26)-BX8*(1-Assumptions!$F$23)-BW54</f>
        <v>-1540805.6147209872</v>
      </c>
      <c r="BY37" s="59">
        <f>BX37*(1+Assumptions!$F$26)-BY8*(1-Assumptions!$F$23)-BX54</f>
        <v>-1576254.6432496228</v>
      </c>
      <c r="BZ37" s="59">
        <f>BY37*(1+Assumptions!$F$26)-BZ8*(1-Assumptions!$F$23)-BY54</f>
        <v>-1611673.8439632026</v>
      </c>
      <c r="CA37" s="59">
        <f>BZ37*(1+Assumptions!$F$26)-CA8*(1-Assumptions!$F$23)-BZ54</f>
        <v>-1647065.629818779</v>
      </c>
      <c r="CB37" s="59">
        <f>CA37*(1+Assumptions!$F$26)-CB8*(1-Assumptions!$F$23)-CA54</f>
        <v>-1682432.4029892553</v>
      </c>
      <c r="CC37" s="59">
        <f>CB37*(1+Assumptions!$F$26)-CC8*(1-Assumptions!$F$23)-CB54</f>
        <v>-1717776.5550597219</v>
      </c>
      <c r="CD37" s="59">
        <f>CC37*(1+Assumptions!$F$26)-CD8*(1-Assumptions!$F$23)-CC54</f>
        <v>-1753100.4672223732</v>
      </c>
      <c r="CE37" s="59">
        <f>CD37*(1+Assumptions!$F$26)-CE8*(1-Assumptions!$F$23)-CD54</f>
        <v>-1788406.5104700222</v>
      </c>
      <c r="CF37" s="59">
        <f>CE37*(1+Assumptions!$F$26)-CF8*(1-Assumptions!$F$23)-CE54</f>
        <v>-1823697.0457882294</v>
      </c>
      <c r="CG37" s="59">
        <f>CF37*(1+Assumptions!$F$26)-CG8*(1-Assumptions!$F$23)-CF54</f>
        <v>-1858974.4243460649</v>
      </c>
      <c r="CH37" s="59">
        <f>CG37*(1+Assumptions!$F$26)-CH8*(1-Assumptions!$F$23)-CG54</f>
        <v>-1894240.9876855211</v>
      </c>
      <c r="CI37" s="59">
        <f>CH37*(1+Assumptions!$F$26)-CI8*(1-Assumptions!$F$23)-CH54</f>
        <v>-1929499.0679095928</v>
      </c>
      <c r="CJ37" s="59">
        <f>CI37*(1+Assumptions!$F$26)-CJ8*(1-Assumptions!$F$23)-CI54</f>
        <v>-1964750.9878690427</v>
      </c>
      <c r="CK37" s="59">
        <f>CJ37*(1+Assumptions!$F$26)-CK8*(1-Assumptions!$F$23)-CJ54</f>
        <v>-1999999.0613478683</v>
      </c>
      <c r="CL37" s="59">
        <f>CK37*(1+Assumptions!$F$26)-CL8*(1-Assumptions!$F$23)-CK54</f>
        <v>-2035245.5932474877</v>
      </c>
      <c r="CM37" s="59">
        <f>CL37*(1+Assumptions!$F$26)-CM8*(1-Assumptions!$F$23)-CL54</f>
        <v>-2070492.879769661</v>
      </c>
      <c r="CN37" s="59">
        <f>CM37*(1+Assumptions!$F$26)-CN8*(1-Assumptions!$F$23)-CM54</f>
        <v>-2105743.2085981648</v>
      </c>
      <c r="CO37" s="59">
        <f>CN37*(1+Assumptions!$F$26)-CO8*(1-Assumptions!$F$23)-CN54</f>
        <v>-2140998.8590792338</v>
      </c>
      <c r="CP37" s="59">
        <f>CO37*(1+Assumptions!$F$26)-CP8*(1-Assumptions!$F$23)-CO54</f>
        <v>-2176262.1024007886</v>
      </c>
      <c r="CQ37" s="59">
        <f>CP37*(1+Assumptions!$F$26)-CQ8*(1-Assumptions!$F$23)-CP54</f>
        <v>-2211535.2017704635</v>
      </c>
      <c r="CR37" s="59">
        <f>CQ37*(1+Assumptions!$F$26)-CR8*(1-Assumptions!$F$23)-CQ54</f>
        <v>-2246820.4125924525</v>
      </c>
      <c r="CS37" s="59">
        <f>CR37*(1+Assumptions!$F$26)-CS8*(1-Assumptions!$F$23)-CR54</f>
        <v>-2282119.9826431889</v>
      </c>
      <c r="CT37" s="59">
        <f>CS37*(1+Assumptions!$F$26)-CT8*(1-Assumptions!$F$23)-CS54</f>
        <v>-2317436.1522458722</v>
      </c>
      <c r="CU37" s="59">
        <f>CT37*(1+Assumptions!$F$26)-CU8*(1-Assumptions!$F$23)-CT54</f>
        <v>-2352771.1544438601</v>
      </c>
      <c r="CV37" s="59">
        <f>CU37*(1+Assumptions!$F$26)-CV8*(1-Assumptions!$F$23)-CU54</f>
        <v>-2388127.2151729409</v>
      </c>
      <c r="CW37" s="59">
        <f>CV37*(1+Assumptions!$F$26)-CW8*(1-Assumptions!$F$23)-CV54</f>
        <v>-2423506.5534325014</v>
      </c>
      <c r="CX37" s="59">
        <f>CW37*(1+Assumptions!$F$26)-CX8*(1-Assumptions!$F$23)-CW54</f>
        <v>-2458911.3814556049</v>
      </c>
      <c r="CY37" s="59">
        <f>CX37*(1+Assumptions!$F$26)-CY8*(1-Assumptions!$F$23)-CX54</f>
        <v>-2494343.9048779942</v>
      </c>
      <c r="CZ37" s="59">
        <f>CY37*(1+Assumptions!$F$26)-CZ8*(1-Assumptions!$F$23)-CY54</f>
        <v>-2529806.3229060383</v>
      </c>
      <c r="DA37" s="59">
        <f>CZ37*(1+Assumptions!$F$26)-DA8*(1-Assumptions!$F$23)-CZ54</f>
        <v>-2565300.8284836309</v>
      </c>
      <c r="DB37" s="59">
        <f>DA37*(1+Assumptions!$F$26)-DB8*(1-Assumptions!$F$23)-DA54</f>
        <v>-2600829.6084580617</v>
      </c>
      <c r="DC37" s="59">
        <f>DB37*(1+Assumptions!$F$26)-DC8*(1-Assumptions!$F$23)-DB54</f>
        <v>-2636394.8437448717</v>
      </c>
      <c r="DD37" s="59">
        <f>DC37*(1+Assumptions!$F$26)-DD8*(1-Assumptions!$F$23)-DC54</f>
        <v>-2671998.7094917092</v>
      </c>
      <c r="DE37" s="59">
        <f>DD37*(1+Assumptions!$F$26)-DE8*(1-Assumptions!$F$23)-DD54</f>
        <v>-2707643.3752411967</v>
      </c>
      <c r="DF37" s="59">
        <f>DE37*(1+Assumptions!$F$26)-DF8*(1-Assumptions!$F$23)-DE54</f>
        <v>-2743331.0050928304</v>
      </c>
      <c r="DG37" s="59">
        <f>DF37*(1+Assumptions!$F$26)-DG8*(1-Assumptions!$F$23)-DF54</f>
        <v>-2779063.7578639174</v>
      </c>
      <c r="DH37" s="59">
        <f>DG37*(1+Assumptions!$F$26)-DH8*(1-Assumptions!$F$23)-DG54</f>
        <v>-2814843.7872495726</v>
      </c>
      <c r="DI37" s="59">
        <f>DH37*(1+Assumptions!$F$26)-DI8*(1-Assumptions!$F$23)-DH54</f>
        <v>-2850673.2419817834</v>
      </c>
      <c r="DJ37" s="59">
        <f>DI37*(1+Assumptions!$F$26)-DJ8*(1-Assumptions!$F$23)-DI54</f>
        <v>-2886554.2659875606</v>
      </c>
      <c r="DK37" s="59">
        <f>DJ37*(1+Assumptions!$F$26)-DK8*(1-Assumptions!$F$23)-DJ54</f>
        <v>-2922488.9985461845</v>
      </c>
      <c r="DL37" s="59">
        <f>DK37*(1+Assumptions!$F$26)-DL8*(1-Assumptions!$F$23)-DK54</f>
        <v>-2958479.5744455648</v>
      </c>
      <c r="DM37" s="59">
        <f>DL37*(1+Assumptions!$F$26)-DM8*(1-Assumptions!$F$23)-DL54</f>
        <v>-2994528.1241377234</v>
      </c>
      <c r="DN37" s="59">
        <f>DM37*(1+Assumptions!$F$26)-DN8*(1-Assumptions!$F$23)-DM54</f>
        <v>-3030636.7738934173</v>
      </c>
      <c r="DO37" s="59">
        <f>DN37*(1+Assumptions!$F$26)-DO8*(1-Assumptions!$F$23)-DN54</f>
        <v>-3066807.645955909</v>
      </c>
      <c r="DP37" s="59">
        <f>DO37*(1+Assumptions!$F$26)-DP8*(1-Assumptions!$F$23)-DO54</f>
        <v>-3103042.8586939075</v>
      </c>
      <c r="DQ37" s="59">
        <f>DP37*(1+Assumptions!$F$26)-DQ8*(1-Assumptions!$F$23)-DP54</f>
        <v>-3139344.5267536812</v>
      </c>
      <c r="DR37" s="59">
        <f>DQ37*(1+Assumptions!$F$26)-DR8*(1-Assumptions!$F$23)-DQ54</f>
        <v>-3175714.7612103648</v>
      </c>
      <c r="DS37" s="59">
        <f>DR37*(1+Assumptions!$F$26)-DS8*(1-Assumptions!$F$23)-DR54</f>
        <v>-3212155.6697184667</v>
      </c>
      <c r="DT37" s="59">
        <f>DS37*(1+Assumptions!$F$26)-DT8*(1-Assumptions!$F$23)-DS54</f>
        <v>-3248669.3566615973</v>
      </c>
      <c r="DU37" s="60">
        <f>DT37*(1+Assumptions!$F$26)-DU8*(1-Assumptions!$F$23)-DT54</f>
        <v>-3285257.9233014216</v>
      </c>
      <c r="DV37" s="1"/>
    </row>
    <row r="38" spans="1:126" s="19" customFormat="1" x14ac:dyDescent="0.4">
      <c r="A38" s="4" t="s">
        <v>36</v>
      </c>
      <c r="B38" s="99" t="s">
        <v>38</v>
      </c>
      <c r="C38" s="100" t="s">
        <v>81</v>
      </c>
      <c r="D38" s="104"/>
      <c r="E38" s="20">
        <f>SUM(E39:E40)</f>
        <v>670000</v>
      </c>
      <c r="F38" s="20">
        <f t="shared" ref="F38:BQ38" si="27">SUM(F39:F40)</f>
        <v>663233</v>
      </c>
      <c r="G38" s="20">
        <f t="shared" si="27"/>
        <v>656534.34669999999</v>
      </c>
      <c r="H38" s="20">
        <f t="shared" si="27"/>
        <v>649903.34979832999</v>
      </c>
      <c r="I38" s="20">
        <f t="shared" si="27"/>
        <v>643339.32596536691</v>
      </c>
      <c r="J38" s="20">
        <f t="shared" si="27"/>
        <v>636841.5987731166</v>
      </c>
      <c r="K38" s="20">
        <f t="shared" si="27"/>
        <v>630409.49862550816</v>
      </c>
      <c r="L38" s="20">
        <f t="shared" si="27"/>
        <v>624042.36268939055</v>
      </c>
      <c r="M38" s="20">
        <f t="shared" si="27"/>
        <v>617739.5348262277</v>
      </c>
      <c r="N38" s="20">
        <f t="shared" si="27"/>
        <v>611500.3655244828</v>
      </c>
      <c r="O38" s="20">
        <f t="shared" si="27"/>
        <v>605324.21183268563</v>
      </c>
      <c r="P38" s="20">
        <f t="shared" si="27"/>
        <v>599210.43729317549</v>
      </c>
      <c r="Q38" s="20">
        <f t="shared" si="27"/>
        <v>593158.41187651444</v>
      </c>
      <c r="R38" s="20">
        <f t="shared" si="27"/>
        <v>587167.51191656152</v>
      </c>
      <c r="S38" s="20">
        <f t="shared" si="27"/>
        <v>581237.12004620431</v>
      </c>
      <c r="T38" s="20">
        <f t="shared" si="27"/>
        <v>575366.62513373757</v>
      </c>
      <c r="U38" s="20">
        <f t="shared" si="27"/>
        <v>569555.42221988679</v>
      </c>
      <c r="V38" s="20">
        <f t="shared" si="27"/>
        <v>563802.91245546599</v>
      </c>
      <c r="W38" s="20">
        <f t="shared" si="27"/>
        <v>558108.50303966575</v>
      </c>
      <c r="X38" s="20">
        <f t="shared" si="27"/>
        <v>552471.6071589652</v>
      </c>
      <c r="Y38" s="20">
        <f t="shared" si="27"/>
        <v>546891.6439266596</v>
      </c>
      <c r="Z38" s="20">
        <f t="shared" si="27"/>
        <v>541368.03832300042</v>
      </c>
      <c r="AA38" s="20">
        <f t="shared" si="27"/>
        <v>535900.22113593807</v>
      </c>
      <c r="AB38" s="20">
        <f t="shared" si="27"/>
        <v>530487.62890246511</v>
      </c>
      <c r="AC38" s="20">
        <f t="shared" si="27"/>
        <v>525129.70385055023</v>
      </c>
      <c r="AD38" s="20">
        <f t="shared" si="27"/>
        <v>519825.89384165965</v>
      </c>
      <c r="AE38" s="20">
        <f t="shared" si="27"/>
        <v>514575.65231385885</v>
      </c>
      <c r="AF38" s="20">
        <f t="shared" si="27"/>
        <v>0</v>
      </c>
      <c r="AG38" s="20">
        <f t="shared" si="27"/>
        <v>0</v>
      </c>
      <c r="AH38" s="20">
        <f t="shared" si="27"/>
        <v>0</v>
      </c>
      <c r="AI38" s="20">
        <f t="shared" si="27"/>
        <v>0</v>
      </c>
      <c r="AJ38" s="20">
        <f t="shared" si="27"/>
        <v>0</v>
      </c>
      <c r="AK38" s="20">
        <f t="shared" si="27"/>
        <v>0</v>
      </c>
      <c r="AL38" s="20">
        <f t="shared" si="27"/>
        <v>0</v>
      </c>
      <c r="AM38" s="20">
        <f t="shared" si="27"/>
        <v>0</v>
      </c>
      <c r="AN38" s="20">
        <f t="shared" si="27"/>
        <v>0</v>
      </c>
      <c r="AO38" s="20">
        <f t="shared" si="27"/>
        <v>0</v>
      </c>
      <c r="AP38" s="20">
        <f t="shared" si="27"/>
        <v>0</v>
      </c>
      <c r="AQ38" s="20">
        <f t="shared" si="27"/>
        <v>0</v>
      </c>
      <c r="AR38" s="20">
        <f t="shared" si="27"/>
        <v>0</v>
      </c>
      <c r="AS38" s="20">
        <f t="shared" si="27"/>
        <v>0</v>
      </c>
      <c r="AT38" s="20">
        <f t="shared" si="27"/>
        <v>0</v>
      </c>
      <c r="AU38" s="20">
        <f t="shared" si="27"/>
        <v>0</v>
      </c>
      <c r="AV38" s="20">
        <f t="shared" si="27"/>
        <v>0</v>
      </c>
      <c r="AW38" s="20">
        <f t="shared" si="27"/>
        <v>0</v>
      </c>
      <c r="AX38" s="20">
        <f t="shared" si="27"/>
        <v>0</v>
      </c>
      <c r="AY38" s="20">
        <f t="shared" si="27"/>
        <v>0</v>
      </c>
      <c r="AZ38" s="20">
        <f t="shared" si="27"/>
        <v>0</v>
      </c>
      <c r="BA38" s="20">
        <f t="shared" si="27"/>
        <v>0</v>
      </c>
      <c r="BB38" s="20">
        <f t="shared" si="27"/>
        <v>0</v>
      </c>
      <c r="BC38" s="20">
        <f t="shared" si="27"/>
        <v>0</v>
      </c>
      <c r="BD38" s="20">
        <f t="shared" si="27"/>
        <v>0</v>
      </c>
      <c r="BE38" s="20">
        <f t="shared" si="27"/>
        <v>0</v>
      </c>
      <c r="BF38" s="20">
        <f t="shared" si="27"/>
        <v>0</v>
      </c>
      <c r="BG38" s="20">
        <f t="shared" si="27"/>
        <v>0</v>
      </c>
      <c r="BH38" s="20">
        <f t="shared" si="27"/>
        <v>0</v>
      </c>
      <c r="BI38" s="20">
        <f t="shared" si="27"/>
        <v>0</v>
      </c>
      <c r="BJ38" s="20">
        <f t="shared" si="27"/>
        <v>0</v>
      </c>
      <c r="BK38" s="20">
        <f t="shared" si="27"/>
        <v>0</v>
      </c>
      <c r="BL38" s="20">
        <f t="shared" si="27"/>
        <v>0</v>
      </c>
      <c r="BM38" s="20">
        <f t="shared" si="27"/>
        <v>0</v>
      </c>
      <c r="BN38" s="20">
        <f t="shared" si="27"/>
        <v>0</v>
      </c>
      <c r="BO38" s="20">
        <f t="shared" si="27"/>
        <v>0</v>
      </c>
      <c r="BP38" s="20">
        <f t="shared" si="27"/>
        <v>0</v>
      </c>
      <c r="BQ38" s="20">
        <f t="shared" si="27"/>
        <v>0</v>
      </c>
      <c r="BR38" s="20">
        <f t="shared" ref="BR38:DU38" si="28">SUM(BR39:BR40)</f>
        <v>0</v>
      </c>
      <c r="BS38" s="20">
        <f t="shared" si="28"/>
        <v>0</v>
      </c>
      <c r="BT38" s="20">
        <f t="shared" si="28"/>
        <v>0</v>
      </c>
      <c r="BU38" s="20">
        <f t="shared" si="28"/>
        <v>0</v>
      </c>
      <c r="BV38" s="20">
        <f t="shared" si="28"/>
        <v>0</v>
      </c>
      <c r="BW38" s="20">
        <f t="shared" si="28"/>
        <v>0</v>
      </c>
      <c r="BX38" s="20">
        <f t="shared" si="28"/>
        <v>0</v>
      </c>
      <c r="BY38" s="20">
        <f t="shared" si="28"/>
        <v>0</v>
      </c>
      <c r="BZ38" s="20">
        <f t="shared" si="28"/>
        <v>0</v>
      </c>
      <c r="CA38" s="20">
        <f t="shared" si="28"/>
        <v>0</v>
      </c>
      <c r="CB38" s="20">
        <f t="shared" si="28"/>
        <v>0</v>
      </c>
      <c r="CC38" s="20">
        <f t="shared" si="28"/>
        <v>0</v>
      </c>
      <c r="CD38" s="20">
        <f t="shared" si="28"/>
        <v>0</v>
      </c>
      <c r="CE38" s="20">
        <f t="shared" si="28"/>
        <v>0</v>
      </c>
      <c r="CF38" s="20">
        <f t="shared" si="28"/>
        <v>0</v>
      </c>
      <c r="CG38" s="20">
        <f t="shared" si="28"/>
        <v>0</v>
      </c>
      <c r="CH38" s="20">
        <f t="shared" si="28"/>
        <v>0</v>
      </c>
      <c r="CI38" s="20">
        <f t="shared" si="28"/>
        <v>0</v>
      </c>
      <c r="CJ38" s="20">
        <f t="shared" si="28"/>
        <v>0</v>
      </c>
      <c r="CK38" s="20">
        <f t="shared" si="28"/>
        <v>0</v>
      </c>
      <c r="CL38" s="20">
        <f t="shared" si="28"/>
        <v>0</v>
      </c>
      <c r="CM38" s="20">
        <f t="shared" si="28"/>
        <v>0</v>
      </c>
      <c r="CN38" s="20">
        <f t="shared" si="28"/>
        <v>0</v>
      </c>
      <c r="CO38" s="20">
        <f t="shared" si="28"/>
        <v>0</v>
      </c>
      <c r="CP38" s="20">
        <f t="shared" si="28"/>
        <v>0</v>
      </c>
      <c r="CQ38" s="20">
        <f t="shared" si="28"/>
        <v>0</v>
      </c>
      <c r="CR38" s="20">
        <f t="shared" si="28"/>
        <v>0</v>
      </c>
      <c r="CS38" s="20">
        <f t="shared" si="28"/>
        <v>0</v>
      </c>
      <c r="CT38" s="20">
        <f t="shared" si="28"/>
        <v>0</v>
      </c>
      <c r="CU38" s="20">
        <f t="shared" si="28"/>
        <v>0</v>
      </c>
      <c r="CV38" s="20">
        <f t="shared" si="28"/>
        <v>0</v>
      </c>
      <c r="CW38" s="20">
        <f t="shared" si="28"/>
        <v>0</v>
      </c>
      <c r="CX38" s="20">
        <f t="shared" si="28"/>
        <v>0</v>
      </c>
      <c r="CY38" s="20">
        <f t="shared" si="28"/>
        <v>0</v>
      </c>
      <c r="CZ38" s="20">
        <f t="shared" si="28"/>
        <v>0</v>
      </c>
      <c r="DA38" s="20">
        <f t="shared" si="28"/>
        <v>0</v>
      </c>
      <c r="DB38" s="20">
        <f t="shared" si="28"/>
        <v>0</v>
      </c>
      <c r="DC38" s="20">
        <f t="shared" si="28"/>
        <v>0</v>
      </c>
      <c r="DD38" s="20">
        <f t="shared" si="28"/>
        <v>0</v>
      </c>
      <c r="DE38" s="20">
        <f t="shared" si="28"/>
        <v>0</v>
      </c>
      <c r="DF38" s="20">
        <f t="shared" si="28"/>
        <v>0</v>
      </c>
      <c r="DG38" s="20">
        <f t="shared" si="28"/>
        <v>0</v>
      </c>
      <c r="DH38" s="20">
        <f t="shared" si="28"/>
        <v>0</v>
      </c>
      <c r="DI38" s="20">
        <f t="shared" si="28"/>
        <v>0</v>
      </c>
      <c r="DJ38" s="20">
        <f t="shared" si="28"/>
        <v>0</v>
      </c>
      <c r="DK38" s="20">
        <f t="shared" si="28"/>
        <v>0</v>
      </c>
      <c r="DL38" s="20">
        <f t="shared" si="28"/>
        <v>0</v>
      </c>
      <c r="DM38" s="20">
        <f t="shared" si="28"/>
        <v>0</v>
      </c>
      <c r="DN38" s="20">
        <f t="shared" si="28"/>
        <v>0</v>
      </c>
      <c r="DO38" s="20">
        <f t="shared" si="28"/>
        <v>0</v>
      </c>
      <c r="DP38" s="20">
        <f t="shared" si="28"/>
        <v>0</v>
      </c>
      <c r="DQ38" s="20">
        <f t="shared" si="28"/>
        <v>0</v>
      </c>
      <c r="DR38" s="20">
        <f t="shared" si="28"/>
        <v>0</v>
      </c>
      <c r="DS38" s="20">
        <f t="shared" si="28"/>
        <v>0</v>
      </c>
      <c r="DT38" s="20">
        <f t="shared" si="28"/>
        <v>0</v>
      </c>
      <c r="DU38" s="95">
        <f t="shared" si="28"/>
        <v>0</v>
      </c>
      <c r="DV38" s="4"/>
    </row>
    <row r="39" spans="1:126" x14ac:dyDescent="0.4">
      <c r="B39" s="39"/>
      <c r="C39" s="55" t="s">
        <v>60</v>
      </c>
      <c r="D39" s="105"/>
      <c r="E39" s="59">
        <f>IF(D35&gt;D60,E32,0)</f>
        <v>600000</v>
      </c>
      <c r="F39" s="59">
        <f t="shared" ref="F39:BQ39" si="29">IF(E35&gt;E60,F32,0)</f>
        <v>593940</v>
      </c>
      <c r="G39" s="59">
        <f t="shared" si="29"/>
        <v>587941.20600000001</v>
      </c>
      <c r="H39" s="59">
        <f t="shared" si="29"/>
        <v>582002.99981940002</v>
      </c>
      <c r="I39" s="59">
        <f t="shared" si="29"/>
        <v>576124.76952122408</v>
      </c>
      <c r="J39" s="59">
        <f t="shared" si="29"/>
        <v>570305.90934905969</v>
      </c>
      <c r="K39" s="59">
        <f t="shared" si="29"/>
        <v>564545.81966463418</v>
      </c>
      <c r="L39" s="59">
        <f t="shared" si="29"/>
        <v>558843.90688602137</v>
      </c>
      <c r="M39" s="59">
        <f t="shared" si="29"/>
        <v>553199.58342647261</v>
      </c>
      <c r="N39" s="59">
        <f t="shared" si="29"/>
        <v>547612.26763386524</v>
      </c>
      <c r="O39" s="59">
        <f t="shared" si="29"/>
        <v>542081.38373076322</v>
      </c>
      <c r="P39" s="59">
        <f t="shared" si="29"/>
        <v>536606.3617550825</v>
      </c>
      <c r="Q39" s="59">
        <f t="shared" si="29"/>
        <v>531186.63750135619</v>
      </c>
      <c r="R39" s="59">
        <f t="shared" si="29"/>
        <v>525821.65246259246</v>
      </c>
      <c r="S39" s="59">
        <f t="shared" si="29"/>
        <v>520510.85377272026</v>
      </c>
      <c r="T39" s="59">
        <f t="shared" si="29"/>
        <v>515253.69414961577</v>
      </c>
      <c r="U39" s="59">
        <f t="shared" si="29"/>
        <v>510049.63183870463</v>
      </c>
      <c r="V39" s="59">
        <f t="shared" si="29"/>
        <v>504898.1305571337</v>
      </c>
      <c r="W39" s="59">
        <f t="shared" si="29"/>
        <v>499798.65943850664</v>
      </c>
      <c r="X39" s="59">
        <f t="shared" si="29"/>
        <v>494750.69297817774</v>
      </c>
      <c r="Y39" s="59">
        <f t="shared" si="29"/>
        <v>489753.71097909816</v>
      </c>
      <c r="Z39" s="59">
        <f t="shared" si="29"/>
        <v>484807.1984982093</v>
      </c>
      <c r="AA39" s="59">
        <f t="shared" si="29"/>
        <v>479910.64579337736</v>
      </c>
      <c r="AB39" s="59">
        <f t="shared" si="29"/>
        <v>475063.54827086424</v>
      </c>
      <c r="AC39" s="59">
        <f t="shared" si="29"/>
        <v>470265.40643332852</v>
      </c>
      <c r="AD39" s="59">
        <f t="shared" si="29"/>
        <v>465515.72582835192</v>
      </c>
      <c r="AE39" s="59">
        <f t="shared" si="29"/>
        <v>460814.01699748554</v>
      </c>
      <c r="AF39" s="59">
        <f t="shared" si="29"/>
        <v>0</v>
      </c>
      <c r="AG39" s="59">
        <f t="shared" si="29"/>
        <v>0</v>
      </c>
      <c r="AH39" s="59">
        <f t="shared" si="29"/>
        <v>0</v>
      </c>
      <c r="AI39" s="59">
        <f t="shared" si="29"/>
        <v>0</v>
      </c>
      <c r="AJ39" s="59">
        <f t="shared" si="29"/>
        <v>0</v>
      </c>
      <c r="AK39" s="59">
        <f t="shared" si="29"/>
        <v>0</v>
      </c>
      <c r="AL39" s="59">
        <f t="shared" si="29"/>
        <v>0</v>
      </c>
      <c r="AM39" s="59">
        <f t="shared" si="29"/>
        <v>0</v>
      </c>
      <c r="AN39" s="59">
        <f t="shared" si="29"/>
        <v>0</v>
      </c>
      <c r="AO39" s="59">
        <f t="shared" si="29"/>
        <v>0</v>
      </c>
      <c r="AP39" s="59">
        <f t="shared" si="29"/>
        <v>0</v>
      </c>
      <c r="AQ39" s="59">
        <f t="shared" si="29"/>
        <v>0</v>
      </c>
      <c r="AR39" s="59">
        <f t="shared" si="29"/>
        <v>0</v>
      </c>
      <c r="AS39" s="59">
        <f t="shared" si="29"/>
        <v>0</v>
      </c>
      <c r="AT39" s="59">
        <f t="shared" si="29"/>
        <v>0</v>
      </c>
      <c r="AU39" s="59">
        <f t="shared" si="29"/>
        <v>0</v>
      </c>
      <c r="AV39" s="59">
        <f t="shared" si="29"/>
        <v>0</v>
      </c>
      <c r="AW39" s="59">
        <f t="shared" si="29"/>
        <v>0</v>
      </c>
      <c r="AX39" s="59">
        <f t="shared" si="29"/>
        <v>0</v>
      </c>
      <c r="AY39" s="59">
        <f t="shared" si="29"/>
        <v>0</v>
      </c>
      <c r="AZ39" s="59">
        <f t="shared" si="29"/>
        <v>0</v>
      </c>
      <c r="BA39" s="59">
        <f t="shared" si="29"/>
        <v>0</v>
      </c>
      <c r="BB39" s="59">
        <f t="shared" si="29"/>
        <v>0</v>
      </c>
      <c r="BC39" s="59">
        <f t="shared" si="29"/>
        <v>0</v>
      </c>
      <c r="BD39" s="59">
        <f t="shared" si="29"/>
        <v>0</v>
      </c>
      <c r="BE39" s="59">
        <f t="shared" si="29"/>
        <v>0</v>
      </c>
      <c r="BF39" s="59">
        <f t="shared" si="29"/>
        <v>0</v>
      </c>
      <c r="BG39" s="59">
        <f t="shared" si="29"/>
        <v>0</v>
      </c>
      <c r="BH39" s="59">
        <f t="shared" si="29"/>
        <v>0</v>
      </c>
      <c r="BI39" s="59">
        <f t="shared" si="29"/>
        <v>0</v>
      </c>
      <c r="BJ39" s="59">
        <f t="shared" si="29"/>
        <v>0</v>
      </c>
      <c r="BK39" s="59">
        <f t="shared" si="29"/>
        <v>0</v>
      </c>
      <c r="BL39" s="59">
        <f t="shared" si="29"/>
        <v>0</v>
      </c>
      <c r="BM39" s="59">
        <f t="shared" si="29"/>
        <v>0</v>
      </c>
      <c r="BN39" s="59">
        <f t="shared" si="29"/>
        <v>0</v>
      </c>
      <c r="BO39" s="59">
        <f t="shared" si="29"/>
        <v>0</v>
      </c>
      <c r="BP39" s="59">
        <f t="shared" si="29"/>
        <v>0</v>
      </c>
      <c r="BQ39" s="59">
        <f t="shared" si="29"/>
        <v>0</v>
      </c>
      <c r="BR39" s="59">
        <f t="shared" ref="BR39:DU39" si="30">IF(BQ35&gt;BQ60,BR32,0)</f>
        <v>0</v>
      </c>
      <c r="BS39" s="59">
        <f t="shared" si="30"/>
        <v>0</v>
      </c>
      <c r="BT39" s="59">
        <f t="shared" si="30"/>
        <v>0</v>
      </c>
      <c r="BU39" s="59">
        <f t="shared" si="30"/>
        <v>0</v>
      </c>
      <c r="BV39" s="59">
        <f t="shared" si="30"/>
        <v>0</v>
      </c>
      <c r="BW39" s="59">
        <f t="shared" si="30"/>
        <v>0</v>
      </c>
      <c r="BX39" s="59">
        <f t="shared" si="30"/>
        <v>0</v>
      </c>
      <c r="BY39" s="59">
        <f t="shared" si="30"/>
        <v>0</v>
      </c>
      <c r="BZ39" s="59">
        <f t="shared" si="30"/>
        <v>0</v>
      </c>
      <c r="CA39" s="59">
        <f t="shared" si="30"/>
        <v>0</v>
      </c>
      <c r="CB39" s="59">
        <f t="shared" si="30"/>
        <v>0</v>
      </c>
      <c r="CC39" s="59">
        <f t="shared" si="30"/>
        <v>0</v>
      </c>
      <c r="CD39" s="59">
        <f t="shared" si="30"/>
        <v>0</v>
      </c>
      <c r="CE39" s="59">
        <f t="shared" si="30"/>
        <v>0</v>
      </c>
      <c r="CF39" s="59">
        <f t="shared" si="30"/>
        <v>0</v>
      </c>
      <c r="CG39" s="59">
        <f t="shared" si="30"/>
        <v>0</v>
      </c>
      <c r="CH39" s="59">
        <f t="shared" si="30"/>
        <v>0</v>
      </c>
      <c r="CI39" s="59">
        <f t="shared" si="30"/>
        <v>0</v>
      </c>
      <c r="CJ39" s="59">
        <f t="shared" si="30"/>
        <v>0</v>
      </c>
      <c r="CK39" s="59">
        <f t="shared" si="30"/>
        <v>0</v>
      </c>
      <c r="CL39" s="59">
        <f t="shared" si="30"/>
        <v>0</v>
      </c>
      <c r="CM39" s="59">
        <f t="shared" si="30"/>
        <v>0</v>
      </c>
      <c r="CN39" s="59">
        <f t="shared" si="30"/>
        <v>0</v>
      </c>
      <c r="CO39" s="59">
        <f t="shared" si="30"/>
        <v>0</v>
      </c>
      <c r="CP39" s="59">
        <f t="shared" si="30"/>
        <v>0</v>
      </c>
      <c r="CQ39" s="59">
        <f t="shared" si="30"/>
        <v>0</v>
      </c>
      <c r="CR39" s="59">
        <f t="shared" si="30"/>
        <v>0</v>
      </c>
      <c r="CS39" s="59">
        <f t="shared" si="30"/>
        <v>0</v>
      </c>
      <c r="CT39" s="59">
        <f t="shared" si="30"/>
        <v>0</v>
      </c>
      <c r="CU39" s="59">
        <f t="shared" si="30"/>
        <v>0</v>
      </c>
      <c r="CV39" s="59">
        <f t="shared" si="30"/>
        <v>0</v>
      </c>
      <c r="CW39" s="59">
        <f t="shared" si="30"/>
        <v>0</v>
      </c>
      <c r="CX39" s="59">
        <f t="shared" si="30"/>
        <v>0</v>
      </c>
      <c r="CY39" s="59">
        <f t="shared" si="30"/>
        <v>0</v>
      </c>
      <c r="CZ39" s="59">
        <f t="shared" si="30"/>
        <v>0</v>
      </c>
      <c r="DA39" s="59">
        <f t="shared" si="30"/>
        <v>0</v>
      </c>
      <c r="DB39" s="59">
        <f t="shared" si="30"/>
        <v>0</v>
      </c>
      <c r="DC39" s="59">
        <f t="shared" si="30"/>
        <v>0</v>
      </c>
      <c r="DD39" s="59">
        <f t="shared" si="30"/>
        <v>0</v>
      </c>
      <c r="DE39" s="59">
        <f t="shared" si="30"/>
        <v>0</v>
      </c>
      <c r="DF39" s="59">
        <f t="shared" si="30"/>
        <v>0</v>
      </c>
      <c r="DG39" s="59">
        <f t="shared" si="30"/>
        <v>0</v>
      </c>
      <c r="DH39" s="59">
        <f t="shared" si="30"/>
        <v>0</v>
      </c>
      <c r="DI39" s="59">
        <f t="shared" si="30"/>
        <v>0</v>
      </c>
      <c r="DJ39" s="59">
        <f t="shared" si="30"/>
        <v>0</v>
      </c>
      <c r="DK39" s="59">
        <f t="shared" si="30"/>
        <v>0</v>
      </c>
      <c r="DL39" s="59">
        <f t="shared" si="30"/>
        <v>0</v>
      </c>
      <c r="DM39" s="59">
        <f t="shared" si="30"/>
        <v>0</v>
      </c>
      <c r="DN39" s="59">
        <f t="shared" si="30"/>
        <v>0</v>
      </c>
      <c r="DO39" s="59">
        <f t="shared" si="30"/>
        <v>0</v>
      </c>
      <c r="DP39" s="59">
        <f t="shared" si="30"/>
        <v>0</v>
      </c>
      <c r="DQ39" s="59">
        <f t="shared" si="30"/>
        <v>0</v>
      </c>
      <c r="DR39" s="59">
        <f t="shared" si="30"/>
        <v>0</v>
      </c>
      <c r="DS39" s="59">
        <f t="shared" si="30"/>
        <v>0</v>
      </c>
      <c r="DT39" s="59">
        <f t="shared" si="30"/>
        <v>0</v>
      </c>
      <c r="DU39" s="60">
        <f t="shared" si="30"/>
        <v>0</v>
      </c>
    </row>
    <row r="40" spans="1:126" s="2" customFormat="1" x14ac:dyDescent="0.4">
      <c r="A40" s="1"/>
      <c r="B40" s="92"/>
      <c r="C40" s="63" t="s">
        <v>61</v>
      </c>
      <c r="D40" s="106"/>
      <c r="E40" s="59">
        <f>IF(D35&gt;D60,E33,0)</f>
        <v>70000</v>
      </c>
      <c r="F40" s="59">
        <f t="shared" ref="F40:BQ40" si="31">IF(E35&gt;E60,F33,0)</f>
        <v>69293</v>
      </c>
      <c r="G40" s="59">
        <f t="shared" si="31"/>
        <v>68593.140700000004</v>
      </c>
      <c r="H40" s="59">
        <f t="shared" si="31"/>
        <v>67900.349978929997</v>
      </c>
      <c r="I40" s="59">
        <f t="shared" si="31"/>
        <v>67214.5564441428</v>
      </c>
      <c r="J40" s="59">
        <f t="shared" si="31"/>
        <v>66535.689424056953</v>
      </c>
      <c r="K40" s="59">
        <f t="shared" si="31"/>
        <v>65863.678960873978</v>
      </c>
      <c r="L40" s="59">
        <f t="shared" si="31"/>
        <v>65198.45580336915</v>
      </c>
      <c r="M40" s="59">
        <f t="shared" si="31"/>
        <v>64539.951399755118</v>
      </c>
      <c r="N40" s="59">
        <f t="shared" si="31"/>
        <v>63888.097890617595</v>
      </c>
      <c r="O40" s="59">
        <f t="shared" si="31"/>
        <v>63242.828101922358</v>
      </c>
      <c r="P40" s="59">
        <f t="shared" si="31"/>
        <v>62604.07553809294</v>
      </c>
      <c r="Q40" s="59">
        <f t="shared" si="31"/>
        <v>61971.774375158202</v>
      </c>
      <c r="R40" s="59">
        <f t="shared" si="31"/>
        <v>61345.859453969104</v>
      </c>
      <c r="S40" s="59">
        <f t="shared" si="31"/>
        <v>60726.26627348402</v>
      </c>
      <c r="T40" s="59">
        <f t="shared" si="31"/>
        <v>60112.930984121835</v>
      </c>
      <c r="U40" s="59">
        <f t="shared" si="31"/>
        <v>59505.790381182203</v>
      </c>
      <c r="V40" s="59">
        <f t="shared" si="31"/>
        <v>58904.781898332265</v>
      </c>
      <c r="W40" s="59">
        <f t="shared" si="31"/>
        <v>58309.843601159111</v>
      </c>
      <c r="X40" s="59">
        <f t="shared" si="31"/>
        <v>57720.914180787404</v>
      </c>
      <c r="Y40" s="59">
        <f t="shared" si="31"/>
        <v>57137.93294756145</v>
      </c>
      <c r="Z40" s="59">
        <f t="shared" si="31"/>
        <v>56560.839824791081</v>
      </c>
      <c r="AA40" s="59">
        <f t="shared" si="31"/>
        <v>55989.575342560689</v>
      </c>
      <c r="AB40" s="59">
        <f t="shared" si="31"/>
        <v>55424.080631600824</v>
      </c>
      <c r="AC40" s="59">
        <f t="shared" si="31"/>
        <v>54864.297417221656</v>
      </c>
      <c r="AD40" s="59">
        <f t="shared" si="31"/>
        <v>54310.168013307717</v>
      </c>
      <c r="AE40" s="59">
        <f t="shared" si="31"/>
        <v>53761.635316373307</v>
      </c>
      <c r="AF40" s="59">
        <f t="shared" si="31"/>
        <v>0</v>
      </c>
      <c r="AG40" s="59">
        <f t="shared" si="31"/>
        <v>0</v>
      </c>
      <c r="AH40" s="59">
        <f t="shared" si="31"/>
        <v>0</v>
      </c>
      <c r="AI40" s="59">
        <f t="shared" si="31"/>
        <v>0</v>
      </c>
      <c r="AJ40" s="59">
        <f t="shared" si="31"/>
        <v>0</v>
      </c>
      <c r="AK40" s="59">
        <f t="shared" si="31"/>
        <v>0</v>
      </c>
      <c r="AL40" s="59">
        <f t="shared" si="31"/>
        <v>0</v>
      </c>
      <c r="AM40" s="59">
        <f t="shared" si="31"/>
        <v>0</v>
      </c>
      <c r="AN40" s="59">
        <f t="shared" si="31"/>
        <v>0</v>
      </c>
      <c r="AO40" s="59">
        <f t="shared" si="31"/>
        <v>0</v>
      </c>
      <c r="AP40" s="59">
        <f t="shared" si="31"/>
        <v>0</v>
      </c>
      <c r="AQ40" s="59">
        <f t="shared" si="31"/>
        <v>0</v>
      </c>
      <c r="AR40" s="59">
        <f t="shared" si="31"/>
        <v>0</v>
      </c>
      <c r="AS40" s="59">
        <f t="shared" si="31"/>
        <v>0</v>
      </c>
      <c r="AT40" s="59">
        <f t="shared" si="31"/>
        <v>0</v>
      </c>
      <c r="AU40" s="59">
        <f t="shared" si="31"/>
        <v>0</v>
      </c>
      <c r="AV40" s="59">
        <f t="shared" si="31"/>
        <v>0</v>
      </c>
      <c r="AW40" s="59">
        <f t="shared" si="31"/>
        <v>0</v>
      </c>
      <c r="AX40" s="59">
        <f t="shared" si="31"/>
        <v>0</v>
      </c>
      <c r="AY40" s="59">
        <f t="shared" si="31"/>
        <v>0</v>
      </c>
      <c r="AZ40" s="59">
        <f t="shared" si="31"/>
        <v>0</v>
      </c>
      <c r="BA40" s="59">
        <f t="shared" si="31"/>
        <v>0</v>
      </c>
      <c r="BB40" s="59">
        <f t="shared" si="31"/>
        <v>0</v>
      </c>
      <c r="BC40" s="59">
        <f t="shared" si="31"/>
        <v>0</v>
      </c>
      <c r="BD40" s="59">
        <f t="shared" si="31"/>
        <v>0</v>
      </c>
      <c r="BE40" s="59">
        <f t="shared" si="31"/>
        <v>0</v>
      </c>
      <c r="BF40" s="59">
        <f t="shared" si="31"/>
        <v>0</v>
      </c>
      <c r="BG40" s="59">
        <f t="shared" si="31"/>
        <v>0</v>
      </c>
      <c r="BH40" s="59">
        <f t="shared" si="31"/>
        <v>0</v>
      </c>
      <c r="BI40" s="59">
        <f t="shared" si="31"/>
        <v>0</v>
      </c>
      <c r="BJ40" s="59">
        <f t="shared" si="31"/>
        <v>0</v>
      </c>
      <c r="BK40" s="59">
        <f t="shared" si="31"/>
        <v>0</v>
      </c>
      <c r="BL40" s="59">
        <f t="shared" si="31"/>
        <v>0</v>
      </c>
      <c r="BM40" s="59">
        <f t="shared" si="31"/>
        <v>0</v>
      </c>
      <c r="BN40" s="59">
        <f t="shared" si="31"/>
        <v>0</v>
      </c>
      <c r="BO40" s="59">
        <f t="shared" si="31"/>
        <v>0</v>
      </c>
      <c r="BP40" s="59">
        <f t="shared" si="31"/>
        <v>0</v>
      </c>
      <c r="BQ40" s="59">
        <f t="shared" si="31"/>
        <v>0</v>
      </c>
      <c r="BR40" s="59">
        <f t="shared" ref="BR40:DU40" si="32">IF(BQ35&gt;BQ60,BR33,0)</f>
        <v>0</v>
      </c>
      <c r="BS40" s="59">
        <f t="shared" si="32"/>
        <v>0</v>
      </c>
      <c r="BT40" s="59">
        <f t="shared" si="32"/>
        <v>0</v>
      </c>
      <c r="BU40" s="59">
        <f t="shared" si="32"/>
        <v>0</v>
      </c>
      <c r="BV40" s="59">
        <f t="shared" si="32"/>
        <v>0</v>
      </c>
      <c r="BW40" s="59">
        <f t="shared" si="32"/>
        <v>0</v>
      </c>
      <c r="BX40" s="59">
        <f t="shared" si="32"/>
        <v>0</v>
      </c>
      <c r="BY40" s="59">
        <f t="shared" si="32"/>
        <v>0</v>
      </c>
      <c r="BZ40" s="59">
        <f t="shared" si="32"/>
        <v>0</v>
      </c>
      <c r="CA40" s="59">
        <f t="shared" si="32"/>
        <v>0</v>
      </c>
      <c r="CB40" s="59">
        <f t="shared" si="32"/>
        <v>0</v>
      </c>
      <c r="CC40" s="59">
        <f t="shared" si="32"/>
        <v>0</v>
      </c>
      <c r="CD40" s="59">
        <f t="shared" si="32"/>
        <v>0</v>
      </c>
      <c r="CE40" s="59">
        <f t="shared" si="32"/>
        <v>0</v>
      </c>
      <c r="CF40" s="59">
        <f t="shared" si="32"/>
        <v>0</v>
      </c>
      <c r="CG40" s="59">
        <f t="shared" si="32"/>
        <v>0</v>
      </c>
      <c r="CH40" s="59">
        <f t="shared" si="32"/>
        <v>0</v>
      </c>
      <c r="CI40" s="59">
        <f t="shared" si="32"/>
        <v>0</v>
      </c>
      <c r="CJ40" s="59">
        <f t="shared" si="32"/>
        <v>0</v>
      </c>
      <c r="CK40" s="59">
        <f t="shared" si="32"/>
        <v>0</v>
      </c>
      <c r="CL40" s="59">
        <f t="shared" si="32"/>
        <v>0</v>
      </c>
      <c r="CM40" s="59">
        <f t="shared" si="32"/>
        <v>0</v>
      </c>
      <c r="CN40" s="59">
        <f t="shared" si="32"/>
        <v>0</v>
      </c>
      <c r="CO40" s="59">
        <f t="shared" si="32"/>
        <v>0</v>
      </c>
      <c r="CP40" s="59">
        <f t="shared" si="32"/>
        <v>0</v>
      </c>
      <c r="CQ40" s="59">
        <f t="shared" si="32"/>
        <v>0</v>
      </c>
      <c r="CR40" s="59">
        <f t="shared" si="32"/>
        <v>0</v>
      </c>
      <c r="CS40" s="59">
        <f t="shared" si="32"/>
        <v>0</v>
      </c>
      <c r="CT40" s="59">
        <f t="shared" si="32"/>
        <v>0</v>
      </c>
      <c r="CU40" s="59">
        <f t="shared" si="32"/>
        <v>0</v>
      </c>
      <c r="CV40" s="59">
        <f t="shared" si="32"/>
        <v>0</v>
      </c>
      <c r="CW40" s="59">
        <f t="shared" si="32"/>
        <v>0</v>
      </c>
      <c r="CX40" s="59">
        <f t="shared" si="32"/>
        <v>0</v>
      </c>
      <c r="CY40" s="59">
        <f t="shared" si="32"/>
        <v>0</v>
      </c>
      <c r="CZ40" s="59">
        <f t="shared" si="32"/>
        <v>0</v>
      </c>
      <c r="DA40" s="59">
        <f t="shared" si="32"/>
        <v>0</v>
      </c>
      <c r="DB40" s="59">
        <f t="shared" si="32"/>
        <v>0</v>
      </c>
      <c r="DC40" s="59">
        <f t="shared" si="32"/>
        <v>0</v>
      </c>
      <c r="DD40" s="59">
        <f t="shared" si="32"/>
        <v>0</v>
      </c>
      <c r="DE40" s="59">
        <f t="shared" si="32"/>
        <v>0</v>
      </c>
      <c r="DF40" s="59">
        <f t="shared" si="32"/>
        <v>0</v>
      </c>
      <c r="DG40" s="59">
        <f t="shared" si="32"/>
        <v>0</v>
      </c>
      <c r="DH40" s="59">
        <f t="shared" si="32"/>
        <v>0</v>
      </c>
      <c r="DI40" s="59">
        <f t="shared" si="32"/>
        <v>0</v>
      </c>
      <c r="DJ40" s="59">
        <f t="shared" si="32"/>
        <v>0</v>
      </c>
      <c r="DK40" s="59">
        <f t="shared" si="32"/>
        <v>0</v>
      </c>
      <c r="DL40" s="59">
        <f t="shared" si="32"/>
        <v>0</v>
      </c>
      <c r="DM40" s="59">
        <f t="shared" si="32"/>
        <v>0</v>
      </c>
      <c r="DN40" s="59">
        <f t="shared" si="32"/>
        <v>0</v>
      </c>
      <c r="DO40" s="59">
        <f t="shared" si="32"/>
        <v>0</v>
      </c>
      <c r="DP40" s="59">
        <f t="shared" si="32"/>
        <v>0</v>
      </c>
      <c r="DQ40" s="59">
        <f t="shared" si="32"/>
        <v>0</v>
      </c>
      <c r="DR40" s="59">
        <f t="shared" si="32"/>
        <v>0</v>
      </c>
      <c r="DS40" s="59">
        <f t="shared" si="32"/>
        <v>0</v>
      </c>
      <c r="DT40" s="59">
        <f t="shared" si="32"/>
        <v>0</v>
      </c>
      <c r="DU40" s="60">
        <f t="shared" si="32"/>
        <v>0</v>
      </c>
      <c r="DV40" s="1"/>
    </row>
    <row r="41" spans="1:126" s="19" customFormat="1" x14ac:dyDescent="0.4">
      <c r="A41" s="4" t="s">
        <v>36</v>
      </c>
      <c r="B41" s="94"/>
      <c r="C41" s="19" t="s">
        <v>82</v>
      </c>
      <c r="D41" s="104"/>
      <c r="E41" s="20">
        <f>SUM(E42:E43)</f>
        <v>0</v>
      </c>
      <c r="F41" s="20">
        <f t="shared" ref="F41:BQ41" si="33">SUM(F42:F43)</f>
        <v>0</v>
      </c>
      <c r="G41" s="20">
        <f t="shared" si="33"/>
        <v>0</v>
      </c>
      <c r="H41" s="20">
        <f t="shared" si="33"/>
        <v>0</v>
      </c>
      <c r="I41" s="20">
        <f t="shared" si="33"/>
        <v>0</v>
      </c>
      <c r="J41" s="20">
        <f t="shared" si="33"/>
        <v>0</v>
      </c>
      <c r="K41" s="20">
        <f t="shared" si="33"/>
        <v>0</v>
      </c>
      <c r="L41" s="20">
        <f t="shared" si="33"/>
        <v>0</v>
      </c>
      <c r="M41" s="20">
        <f t="shared" si="33"/>
        <v>0</v>
      </c>
      <c r="N41" s="20">
        <f t="shared" si="33"/>
        <v>0</v>
      </c>
      <c r="O41" s="20">
        <f t="shared" si="33"/>
        <v>0</v>
      </c>
      <c r="P41" s="20">
        <f t="shared" si="33"/>
        <v>0</v>
      </c>
      <c r="Q41" s="20">
        <f t="shared" si="33"/>
        <v>0</v>
      </c>
      <c r="R41" s="20">
        <f t="shared" si="33"/>
        <v>0</v>
      </c>
      <c r="S41" s="20">
        <f t="shared" si="33"/>
        <v>0</v>
      </c>
      <c r="T41" s="20">
        <f t="shared" si="33"/>
        <v>0</v>
      </c>
      <c r="U41" s="20">
        <f t="shared" si="33"/>
        <v>0</v>
      </c>
      <c r="V41" s="20">
        <f t="shared" si="33"/>
        <v>0</v>
      </c>
      <c r="W41" s="20">
        <f t="shared" si="33"/>
        <v>0</v>
      </c>
      <c r="X41" s="20">
        <f t="shared" si="33"/>
        <v>0</v>
      </c>
      <c r="Y41" s="20">
        <f t="shared" si="33"/>
        <v>0</v>
      </c>
      <c r="Z41" s="20">
        <f t="shared" si="33"/>
        <v>0</v>
      </c>
      <c r="AA41" s="20">
        <f t="shared" si="33"/>
        <v>0</v>
      </c>
      <c r="AB41" s="20">
        <f t="shared" si="33"/>
        <v>0</v>
      </c>
      <c r="AC41" s="20">
        <f t="shared" si="33"/>
        <v>0</v>
      </c>
      <c r="AD41" s="20">
        <f t="shared" si="33"/>
        <v>0</v>
      </c>
      <c r="AE41" s="20">
        <f t="shared" si="33"/>
        <v>0</v>
      </c>
      <c r="AF41" s="20">
        <f t="shared" si="33"/>
        <v>509378.43822548888</v>
      </c>
      <c r="AG41" s="20">
        <f t="shared" si="33"/>
        <v>504233.71599941142</v>
      </c>
      <c r="AH41" s="20">
        <f t="shared" si="33"/>
        <v>499140.95546781737</v>
      </c>
      <c r="AI41" s="20">
        <f t="shared" si="33"/>
        <v>494099.63181759242</v>
      </c>
      <c r="AJ41" s="20">
        <f t="shared" si="33"/>
        <v>489109.22553623474</v>
      </c>
      <c r="AK41" s="20">
        <f t="shared" si="33"/>
        <v>484169.2223583188</v>
      </c>
      <c r="AL41" s="20">
        <f t="shared" si="33"/>
        <v>479279.11321249977</v>
      </c>
      <c r="AM41" s="20">
        <f t="shared" si="33"/>
        <v>474438.39416905353</v>
      </c>
      <c r="AN41" s="20">
        <f t="shared" si="33"/>
        <v>469646.56638794614</v>
      </c>
      <c r="AO41" s="20">
        <f t="shared" si="33"/>
        <v>464903.13606742787</v>
      </c>
      <c r="AP41" s="20">
        <f t="shared" si="33"/>
        <v>460207.61439314683</v>
      </c>
      <c r="AQ41" s="20">
        <f t="shared" si="33"/>
        <v>455559.51748777606</v>
      </c>
      <c r="AR41" s="20">
        <f t="shared" si="33"/>
        <v>450958.36636114953</v>
      </c>
      <c r="AS41" s="20">
        <f t="shared" si="33"/>
        <v>446403.68686090194</v>
      </c>
      <c r="AT41" s="20">
        <f t="shared" si="33"/>
        <v>441895.00962360681</v>
      </c>
      <c r="AU41" s="20">
        <f t="shared" si="33"/>
        <v>437431.8700264084</v>
      </c>
      <c r="AV41" s="20">
        <f t="shared" si="33"/>
        <v>433013.80813914171</v>
      </c>
      <c r="AW41" s="20">
        <f t="shared" si="33"/>
        <v>428640.36867693637</v>
      </c>
      <c r="AX41" s="20">
        <f t="shared" si="33"/>
        <v>424311.10095329926</v>
      </c>
      <c r="AY41" s="20">
        <f t="shared" si="33"/>
        <v>420025.55883367098</v>
      </c>
      <c r="AZ41" s="20">
        <f t="shared" si="33"/>
        <v>415783.30068945087</v>
      </c>
      <c r="BA41" s="20">
        <f t="shared" si="33"/>
        <v>411583.8893524874</v>
      </c>
      <c r="BB41" s="20">
        <f t="shared" si="33"/>
        <v>407426.8920700273</v>
      </c>
      <c r="BC41" s="20">
        <f t="shared" si="33"/>
        <v>403311.88046012004</v>
      </c>
      <c r="BD41" s="20">
        <f t="shared" si="33"/>
        <v>399238.43046747282</v>
      </c>
      <c r="BE41" s="20">
        <f t="shared" si="33"/>
        <v>395206.12231975136</v>
      </c>
      <c r="BF41" s="20">
        <f t="shared" si="33"/>
        <v>391214.54048432189</v>
      </c>
      <c r="BG41" s="20">
        <f t="shared" si="33"/>
        <v>387263.27362543024</v>
      </c>
      <c r="BH41" s="20">
        <f t="shared" si="33"/>
        <v>383351.91456181341</v>
      </c>
      <c r="BI41" s="20">
        <f t="shared" si="33"/>
        <v>379480.06022473914</v>
      </c>
      <c r="BJ41" s="20">
        <f t="shared" si="33"/>
        <v>375647.31161646929</v>
      </c>
      <c r="BK41" s="20">
        <f t="shared" si="33"/>
        <v>371853.27376914292</v>
      </c>
      <c r="BL41" s="20">
        <f t="shared" si="33"/>
        <v>368097.55570407456</v>
      </c>
      <c r="BM41" s="20">
        <f t="shared" si="33"/>
        <v>364379.77039146348</v>
      </c>
      <c r="BN41" s="20">
        <f t="shared" si="33"/>
        <v>360699.5347105097</v>
      </c>
      <c r="BO41" s="20">
        <f t="shared" si="33"/>
        <v>357056.46940993355</v>
      </c>
      <c r="BP41" s="20">
        <f t="shared" si="33"/>
        <v>353450.19906889315</v>
      </c>
      <c r="BQ41" s="20">
        <f t="shared" si="33"/>
        <v>349880.35205829737</v>
      </c>
      <c r="BR41" s="20">
        <f t="shared" ref="BR41:DU41" si="34">SUM(BR42:BR43)</f>
        <v>346346.56050250854</v>
      </c>
      <c r="BS41" s="20">
        <f t="shared" si="34"/>
        <v>342848.46024143317</v>
      </c>
      <c r="BT41" s="20">
        <f t="shared" si="34"/>
        <v>339385.69079299469</v>
      </c>
      <c r="BU41" s="20">
        <f t="shared" si="34"/>
        <v>335957.89531598543</v>
      </c>
      <c r="BV41" s="20">
        <f t="shared" si="34"/>
        <v>332564.72057329398</v>
      </c>
      <c r="BW41" s="20">
        <f t="shared" si="34"/>
        <v>329205.81689550373</v>
      </c>
      <c r="BX41" s="20">
        <f t="shared" si="34"/>
        <v>325880.83814485912</v>
      </c>
      <c r="BY41" s="20">
        <f t="shared" si="34"/>
        <v>322589.44167959603</v>
      </c>
      <c r="BZ41" s="20">
        <f t="shared" si="34"/>
        <v>319331.28831863217</v>
      </c>
      <c r="CA41" s="20">
        <f t="shared" si="34"/>
        <v>316106.04230661393</v>
      </c>
      <c r="CB41" s="20">
        <f t="shared" si="34"/>
        <v>312913.37127931713</v>
      </c>
      <c r="CC41" s="20">
        <f t="shared" si="34"/>
        <v>309752.94622939604</v>
      </c>
      <c r="CD41" s="20">
        <f t="shared" si="34"/>
        <v>306624.44147247908</v>
      </c>
      <c r="CE41" s="20">
        <f t="shared" si="34"/>
        <v>303527.53461360704</v>
      </c>
      <c r="CF41" s="20">
        <f t="shared" si="34"/>
        <v>300461.90651400964</v>
      </c>
      <c r="CG41" s="20">
        <f t="shared" si="34"/>
        <v>297427.24125821819</v>
      </c>
      <c r="CH41" s="20">
        <f t="shared" si="34"/>
        <v>294423.22612151015</v>
      </c>
      <c r="CI41" s="20">
        <f t="shared" si="34"/>
        <v>291449.55153768288</v>
      </c>
      <c r="CJ41" s="20">
        <f t="shared" si="34"/>
        <v>288505.91106715228</v>
      </c>
      <c r="CK41" s="20">
        <f t="shared" si="34"/>
        <v>285592.00136537408</v>
      </c>
      <c r="CL41" s="20">
        <f t="shared" si="34"/>
        <v>282707.52215158381</v>
      </c>
      <c r="CM41" s="20">
        <f t="shared" si="34"/>
        <v>279852.17617785279</v>
      </c>
      <c r="CN41" s="20">
        <f t="shared" si="34"/>
        <v>277025.66919845651</v>
      </c>
      <c r="CO41" s="20">
        <f t="shared" si="34"/>
        <v>274227.70993955206</v>
      </c>
      <c r="CP41" s="20">
        <f t="shared" si="34"/>
        <v>271458.01006916258</v>
      </c>
      <c r="CQ41" s="20">
        <f t="shared" si="34"/>
        <v>268716.28416746407</v>
      </c>
      <c r="CR41" s="20">
        <f t="shared" si="34"/>
        <v>266002.24969737267</v>
      </c>
      <c r="CS41" s="20">
        <f t="shared" si="34"/>
        <v>263315.62697542924</v>
      </c>
      <c r="CT41" s="20">
        <f t="shared" si="34"/>
        <v>260656.13914297739</v>
      </c>
      <c r="CU41" s="20">
        <f t="shared" si="34"/>
        <v>258023.51213763334</v>
      </c>
      <c r="CV41" s="20">
        <f t="shared" si="34"/>
        <v>255417.47466504324</v>
      </c>
      <c r="CW41" s="20">
        <f t="shared" si="34"/>
        <v>252837.75817092627</v>
      </c>
      <c r="CX41" s="20">
        <f t="shared" si="34"/>
        <v>250284.09681339993</v>
      </c>
      <c r="CY41" s="20">
        <f t="shared" si="34"/>
        <v>247756.22743558459</v>
      </c>
      <c r="CZ41" s="20">
        <f t="shared" si="34"/>
        <v>245253.88953848518</v>
      </c>
      <c r="DA41" s="20">
        <f t="shared" si="34"/>
        <v>242776.82525414648</v>
      </c>
      <c r="DB41" s="20">
        <f t="shared" si="34"/>
        <v>240324.77931907959</v>
      </c>
      <c r="DC41" s="20">
        <f t="shared" si="34"/>
        <v>237897.4990479569</v>
      </c>
      <c r="DD41" s="20">
        <f t="shared" si="34"/>
        <v>235494.73430757254</v>
      </c>
      <c r="DE41" s="20">
        <f t="shared" si="34"/>
        <v>233116.23749106607</v>
      </c>
      <c r="DF41" s="20">
        <f t="shared" si="34"/>
        <v>230761.76349240632</v>
      </c>
      <c r="DG41" s="20">
        <f t="shared" si="34"/>
        <v>228431.069681133</v>
      </c>
      <c r="DH41" s="20">
        <f t="shared" si="34"/>
        <v>226123.91587735355</v>
      </c>
      <c r="DI41" s="20">
        <f t="shared" si="34"/>
        <v>223840.06432699229</v>
      </c>
      <c r="DJ41" s="20">
        <f t="shared" si="34"/>
        <v>221579.27967728965</v>
      </c>
      <c r="DK41" s="20">
        <f t="shared" si="34"/>
        <v>219341.32895254903</v>
      </c>
      <c r="DL41" s="20">
        <f t="shared" si="34"/>
        <v>217125.98153012828</v>
      </c>
      <c r="DM41" s="20">
        <f t="shared" si="34"/>
        <v>214933.00911667402</v>
      </c>
      <c r="DN41" s="20">
        <f t="shared" si="34"/>
        <v>212762.18572459559</v>
      </c>
      <c r="DO41" s="20">
        <f t="shared" si="34"/>
        <v>210613.28764877719</v>
      </c>
      <c r="DP41" s="20">
        <f t="shared" si="34"/>
        <v>208486.09344352453</v>
      </c>
      <c r="DQ41" s="20">
        <f t="shared" si="34"/>
        <v>206380.38389974492</v>
      </c>
      <c r="DR41" s="20">
        <f t="shared" si="34"/>
        <v>204295.94202235751</v>
      </c>
      <c r="DS41" s="20">
        <f t="shared" si="34"/>
        <v>202232.55300793171</v>
      </c>
      <c r="DT41" s="20">
        <f t="shared" si="34"/>
        <v>200190.00422255159</v>
      </c>
      <c r="DU41" s="95">
        <f t="shared" si="34"/>
        <v>1201140.0253353093</v>
      </c>
      <c r="DV41" s="4"/>
    </row>
    <row r="42" spans="1:126" x14ac:dyDescent="0.4">
      <c r="B42" s="39"/>
      <c r="C42" s="55" t="s">
        <v>60</v>
      </c>
      <c r="D42" s="105"/>
      <c r="E42" s="59">
        <f>IF(E68&gt;0,0,E32-E39)</f>
        <v>0</v>
      </c>
      <c r="F42" s="59">
        <f t="shared" ref="F42:BQ42" si="35">IF(F68&gt;0,0,F32-F39)</f>
        <v>0</v>
      </c>
      <c r="G42" s="59">
        <f t="shared" si="35"/>
        <v>0</v>
      </c>
      <c r="H42" s="59">
        <f t="shared" si="35"/>
        <v>0</v>
      </c>
      <c r="I42" s="59">
        <f t="shared" si="35"/>
        <v>0</v>
      </c>
      <c r="J42" s="59">
        <f t="shared" si="35"/>
        <v>0</v>
      </c>
      <c r="K42" s="59">
        <f t="shared" si="35"/>
        <v>0</v>
      </c>
      <c r="L42" s="59">
        <f t="shared" si="35"/>
        <v>0</v>
      </c>
      <c r="M42" s="59">
        <f t="shared" si="35"/>
        <v>0</v>
      </c>
      <c r="N42" s="59">
        <f t="shared" si="35"/>
        <v>0</v>
      </c>
      <c r="O42" s="59">
        <f t="shared" si="35"/>
        <v>0</v>
      </c>
      <c r="P42" s="59">
        <f t="shared" si="35"/>
        <v>0</v>
      </c>
      <c r="Q42" s="59">
        <f t="shared" si="35"/>
        <v>0</v>
      </c>
      <c r="R42" s="59">
        <f t="shared" si="35"/>
        <v>0</v>
      </c>
      <c r="S42" s="59">
        <f t="shared" si="35"/>
        <v>0</v>
      </c>
      <c r="T42" s="59">
        <f t="shared" si="35"/>
        <v>0</v>
      </c>
      <c r="U42" s="59">
        <f t="shared" si="35"/>
        <v>0</v>
      </c>
      <c r="V42" s="59">
        <f t="shared" si="35"/>
        <v>0</v>
      </c>
      <c r="W42" s="59">
        <f t="shared" si="35"/>
        <v>0</v>
      </c>
      <c r="X42" s="59">
        <f t="shared" si="35"/>
        <v>0</v>
      </c>
      <c r="Y42" s="59">
        <f t="shared" si="35"/>
        <v>0</v>
      </c>
      <c r="Z42" s="59">
        <f t="shared" si="35"/>
        <v>0</v>
      </c>
      <c r="AA42" s="59">
        <f t="shared" si="35"/>
        <v>0</v>
      </c>
      <c r="AB42" s="59">
        <f t="shared" si="35"/>
        <v>0</v>
      </c>
      <c r="AC42" s="59">
        <f t="shared" si="35"/>
        <v>0</v>
      </c>
      <c r="AD42" s="59">
        <f t="shared" si="35"/>
        <v>0</v>
      </c>
      <c r="AE42" s="59">
        <f t="shared" si="35"/>
        <v>0</v>
      </c>
      <c r="AF42" s="59">
        <f t="shared" si="35"/>
        <v>456159.79542581091</v>
      </c>
      <c r="AG42" s="59">
        <f t="shared" si="35"/>
        <v>451552.58149201021</v>
      </c>
      <c r="AH42" s="59">
        <f t="shared" si="35"/>
        <v>446991.90041894093</v>
      </c>
      <c r="AI42" s="59">
        <f t="shared" si="35"/>
        <v>442477.28222470963</v>
      </c>
      <c r="AJ42" s="59">
        <f t="shared" si="35"/>
        <v>438008.26167424006</v>
      </c>
      <c r="AK42" s="59">
        <f t="shared" si="35"/>
        <v>433584.37823133025</v>
      </c>
      <c r="AL42" s="59">
        <f t="shared" si="35"/>
        <v>429205.17601119383</v>
      </c>
      <c r="AM42" s="59">
        <f t="shared" si="35"/>
        <v>424870.20373348077</v>
      </c>
      <c r="AN42" s="59">
        <f t="shared" si="35"/>
        <v>420579.01467577263</v>
      </c>
      <c r="AO42" s="59">
        <f t="shared" si="35"/>
        <v>416331.16662754735</v>
      </c>
      <c r="AP42" s="59">
        <f t="shared" si="35"/>
        <v>412126.22184460913</v>
      </c>
      <c r="AQ42" s="59">
        <f t="shared" si="35"/>
        <v>407963.74700397858</v>
      </c>
      <c r="AR42" s="59">
        <f t="shared" si="35"/>
        <v>403843.31315923837</v>
      </c>
      <c r="AS42" s="59">
        <f t="shared" si="35"/>
        <v>399764.49569633009</v>
      </c>
      <c r="AT42" s="59">
        <f t="shared" si="35"/>
        <v>395726.87428979715</v>
      </c>
      <c r="AU42" s="59">
        <f t="shared" si="35"/>
        <v>391730.03285947023</v>
      </c>
      <c r="AV42" s="59">
        <f t="shared" si="35"/>
        <v>387773.55952758959</v>
      </c>
      <c r="AW42" s="59">
        <f t="shared" si="35"/>
        <v>383857.04657636094</v>
      </c>
      <c r="AX42" s="59">
        <f t="shared" si="35"/>
        <v>379980.09040593967</v>
      </c>
      <c r="AY42" s="59">
        <f t="shared" si="35"/>
        <v>376142.29149283969</v>
      </c>
      <c r="AZ42" s="59">
        <f t="shared" si="35"/>
        <v>372343.25434876198</v>
      </c>
      <c r="BA42" s="59">
        <f t="shared" si="35"/>
        <v>368582.58747983951</v>
      </c>
      <c r="BB42" s="59">
        <f t="shared" si="35"/>
        <v>364859.90334629314</v>
      </c>
      <c r="BC42" s="59">
        <f t="shared" si="35"/>
        <v>361174.81832249556</v>
      </c>
      <c r="BD42" s="59">
        <f t="shared" si="35"/>
        <v>357526.95265743835</v>
      </c>
      <c r="BE42" s="59">
        <f t="shared" si="35"/>
        <v>353915.93043559825</v>
      </c>
      <c r="BF42" s="59">
        <f t="shared" si="35"/>
        <v>350341.3795381987</v>
      </c>
      <c r="BG42" s="59">
        <f t="shared" si="35"/>
        <v>346802.93160486291</v>
      </c>
      <c r="BH42" s="59">
        <f t="shared" si="35"/>
        <v>343300.22199565382</v>
      </c>
      <c r="BI42" s="59">
        <f t="shared" si="35"/>
        <v>339832.88975349773</v>
      </c>
      <c r="BJ42" s="59">
        <f t="shared" si="35"/>
        <v>336400.57756698743</v>
      </c>
      <c r="BK42" s="59">
        <f t="shared" si="35"/>
        <v>333002.93173356086</v>
      </c>
      <c r="BL42" s="59">
        <f t="shared" si="35"/>
        <v>329639.60212305188</v>
      </c>
      <c r="BM42" s="59">
        <f t="shared" si="35"/>
        <v>326310.24214160908</v>
      </c>
      <c r="BN42" s="59">
        <f t="shared" si="35"/>
        <v>323014.50869597885</v>
      </c>
      <c r="BO42" s="59">
        <f t="shared" si="35"/>
        <v>319752.06215814943</v>
      </c>
      <c r="BP42" s="59">
        <f t="shared" si="35"/>
        <v>316522.5663303521</v>
      </c>
      <c r="BQ42" s="59">
        <f t="shared" si="35"/>
        <v>313325.68841041555</v>
      </c>
      <c r="BR42" s="59">
        <f t="shared" ref="BR42:DU42" si="36">IF(BR68&gt;0,0,BR32-BR39)</f>
        <v>310161.09895747033</v>
      </c>
      <c r="BS42" s="59">
        <f t="shared" si="36"/>
        <v>307028.47185799986</v>
      </c>
      <c r="BT42" s="59">
        <f t="shared" si="36"/>
        <v>303927.48429223406</v>
      </c>
      <c r="BU42" s="59">
        <f t="shared" si="36"/>
        <v>300857.81670088251</v>
      </c>
      <c r="BV42" s="59">
        <f t="shared" si="36"/>
        <v>297819.15275220358</v>
      </c>
      <c r="BW42" s="59">
        <f t="shared" si="36"/>
        <v>294811.17930940632</v>
      </c>
      <c r="BX42" s="59">
        <f t="shared" si="36"/>
        <v>291833.58639838133</v>
      </c>
      <c r="BY42" s="59">
        <f t="shared" si="36"/>
        <v>288886.06717575766</v>
      </c>
      <c r="BZ42" s="59">
        <f t="shared" si="36"/>
        <v>285968.31789728254</v>
      </c>
      <c r="CA42" s="59">
        <f t="shared" si="36"/>
        <v>283080.03788651997</v>
      </c>
      <c r="CB42" s="59">
        <f t="shared" si="36"/>
        <v>280220.92950386612</v>
      </c>
      <c r="CC42" s="59">
        <f t="shared" si="36"/>
        <v>277390.69811587705</v>
      </c>
      <c r="CD42" s="59">
        <f t="shared" si="36"/>
        <v>274589.05206490669</v>
      </c>
      <c r="CE42" s="59">
        <f t="shared" si="36"/>
        <v>271815.70263905113</v>
      </c>
      <c r="CF42" s="59">
        <f t="shared" si="36"/>
        <v>269070.36404239672</v>
      </c>
      <c r="CG42" s="59">
        <f t="shared" si="36"/>
        <v>266352.75336556853</v>
      </c>
      <c r="CH42" s="59">
        <f t="shared" si="36"/>
        <v>263662.59055657627</v>
      </c>
      <c r="CI42" s="59">
        <f t="shared" si="36"/>
        <v>260999.59839195485</v>
      </c>
      <c r="CJ42" s="59">
        <f t="shared" si="36"/>
        <v>258363.50244819612</v>
      </c>
      <c r="CK42" s="59">
        <f t="shared" si="36"/>
        <v>255754.03107346935</v>
      </c>
      <c r="CL42" s="59">
        <f t="shared" si="36"/>
        <v>253170.91535962731</v>
      </c>
      <c r="CM42" s="59">
        <f t="shared" si="36"/>
        <v>250613.88911449508</v>
      </c>
      <c r="CN42" s="59">
        <f t="shared" si="36"/>
        <v>248082.68883443868</v>
      </c>
      <c r="CO42" s="59">
        <f t="shared" si="36"/>
        <v>245577.05367721085</v>
      </c>
      <c r="CP42" s="59">
        <f t="shared" si="36"/>
        <v>243096.72543507101</v>
      </c>
      <c r="CQ42" s="59">
        <f t="shared" si="36"/>
        <v>240641.44850817681</v>
      </c>
      <c r="CR42" s="59">
        <f t="shared" si="36"/>
        <v>238210.96987824421</v>
      </c>
      <c r="CS42" s="59">
        <f t="shared" si="36"/>
        <v>235805.03908247396</v>
      </c>
      <c r="CT42" s="59">
        <f t="shared" si="36"/>
        <v>233423.40818774098</v>
      </c>
      <c r="CU42" s="59">
        <f t="shared" si="36"/>
        <v>231065.8317650448</v>
      </c>
      <c r="CV42" s="59">
        <f t="shared" si="36"/>
        <v>228732.06686421784</v>
      </c>
      <c r="CW42" s="59">
        <f t="shared" si="36"/>
        <v>226421.87298888923</v>
      </c>
      <c r="CX42" s="59">
        <f t="shared" si="36"/>
        <v>224135.01207170144</v>
      </c>
      <c r="CY42" s="59">
        <f t="shared" si="36"/>
        <v>221871.24844977725</v>
      </c>
      <c r="CZ42" s="59">
        <f t="shared" si="36"/>
        <v>219630.34884043451</v>
      </c>
      <c r="DA42" s="59">
        <f t="shared" si="36"/>
        <v>217412.08231714612</v>
      </c>
      <c r="DB42" s="59">
        <f t="shared" si="36"/>
        <v>215216.22028574295</v>
      </c>
      <c r="DC42" s="59">
        <f t="shared" si="36"/>
        <v>213042.53646085694</v>
      </c>
      <c r="DD42" s="59">
        <f t="shared" si="36"/>
        <v>210890.80684260229</v>
      </c>
      <c r="DE42" s="59">
        <f t="shared" si="36"/>
        <v>208760.80969349202</v>
      </c>
      <c r="DF42" s="59">
        <f t="shared" si="36"/>
        <v>206652.32551558776</v>
      </c>
      <c r="DG42" s="59">
        <f t="shared" si="36"/>
        <v>204565.13702788032</v>
      </c>
      <c r="DH42" s="59">
        <f t="shared" si="36"/>
        <v>202499.02914389872</v>
      </c>
      <c r="DI42" s="59">
        <f t="shared" si="36"/>
        <v>200453.78894954536</v>
      </c>
      <c r="DJ42" s="59">
        <f t="shared" si="36"/>
        <v>198429.20568115494</v>
      </c>
      <c r="DK42" s="59">
        <f t="shared" si="36"/>
        <v>196425.07070377527</v>
      </c>
      <c r="DL42" s="59">
        <f t="shared" si="36"/>
        <v>194441.17748966714</v>
      </c>
      <c r="DM42" s="59">
        <f t="shared" si="36"/>
        <v>192477.32159702151</v>
      </c>
      <c r="DN42" s="59">
        <f t="shared" si="36"/>
        <v>190533.3006488916</v>
      </c>
      <c r="DO42" s="59">
        <f t="shared" si="36"/>
        <v>188608.91431233779</v>
      </c>
      <c r="DP42" s="59">
        <f t="shared" si="36"/>
        <v>186703.96427778318</v>
      </c>
      <c r="DQ42" s="59">
        <f t="shared" si="36"/>
        <v>184818.25423857756</v>
      </c>
      <c r="DR42" s="59">
        <f t="shared" si="36"/>
        <v>182951.58987076793</v>
      </c>
      <c r="DS42" s="59">
        <f t="shared" si="36"/>
        <v>181103.77881307318</v>
      </c>
      <c r="DT42" s="59">
        <f t="shared" si="36"/>
        <v>179274.63064706113</v>
      </c>
      <c r="DU42" s="60">
        <f t="shared" si="36"/>
        <v>1075647.7838823667</v>
      </c>
    </row>
    <row r="43" spans="1:126" s="2" customFormat="1" x14ac:dyDescent="0.4">
      <c r="A43" s="1"/>
      <c r="B43" s="92"/>
      <c r="C43" s="63" t="s">
        <v>61</v>
      </c>
      <c r="D43" s="106"/>
      <c r="E43" s="59">
        <f>IF(E68&gt;0,0,E33-E40)</f>
        <v>0</v>
      </c>
      <c r="F43" s="59">
        <f t="shared" ref="F43:BQ43" si="37">IF(F68&gt;0,0,F33-F40)</f>
        <v>0</v>
      </c>
      <c r="G43" s="59">
        <f t="shared" si="37"/>
        <v>0</v>
      </c>
      <c r="H43" s="59">
        <f t="shared" si="37"/>
        <v>0</v>
      </c>
      <c r="I43" s="59">
        <f t="shared" si="37"/>
        <v>0</v>
      </c>
      <c r="J43" s="59">
        <f t="shared" si="37"/>
        <v>0</v>
      </c>
      <c r="K43" s="59">
        <f t="shared" si="37"/>
        <v>0</v>
      </c>
      <c r="L43" s="59">
        <f t="shared" si="37"/>
        <v>0</v>
      </c>
      <c r="M43" s="59">
        <f t="shared" si="37"/>
        <v>0</v>
      </c>
      <c r="N43" s="59">
        <f t="shared" si="37"/>
        <v>0</v>
      </c>
      <c r="O43" s="59">
        <f t="shared" si="37"/>
        <v>0</v>
      </c>
      <c r="P43" s="59">
        <f t="shared" si="37"/>
        <v>0</v>
      </c>
      <c r="Q43" s="59">
        <f t="shared" si="37"/>
        <v>0</v>
      </c>
      <c r="R43" s="59">
        <f t="shared" si="37"/>
        <v>0</v>
      </c>
      <c r="S43" s="59">
        <f t="shared" si="37"/>
        <v>0</v>
      </c>
      <c r="T43" s="59">
        <f t="shared" si="37"/>
        <v>0</v>
      </c>
      <c r="U43" s="59">
        <f t="shared" si="37"/>
        <v>0</v>
      </c>
      <c r="V43" s="59">
        <f t="shared" si="37"/>
        <v>0</v>
      </c>
      <c r="W43" s="59">
        <f t="shared" si="37"/>
        <v>0</v>
      </c>
      <c r="X43" s="59">
        <f t="shared" si="37"/>
        <v>0</v>
      </c>
      <c r="Y43" s="59">
        <f t="shared" si="37"/>
        <v>0</v>
      </c>
      <c r="Z43" s="59">
        <f t="shared" si="37"/>
        <v>0</v>
      </c>
      <c r="AA43" s="59">
        <f t="shared" si="37"/>
        <v>0</v>
      </c>
      <c r="AB43" s="59">
        <f t="shared" si="37"/>
        <v>0</v>
      </c>
      <c r="AC43" s="59">
        <f t="shared" si="37"/>
        <v>0</v>
      </c>
      <c r="AD43" s="59">
        <f t="shared" si="37"/>
        <v>0</v>
      </c>
      <c r="AE43" s="59">
        <f t="shared" si="37"/>
        <v>0</v>
      </c>
      <c r="AF43" s="59">
        <f t="shared" si="37"/>
        <v>53218.642799677938</v>
      </c>
      <c r="AG43" s="59">
        <f t="shared" si="37"/>
        <v>52681.134507401192</v>
      </c>
      <c r="AH43" s="59">
        <f t="shared" si="37"/>
        <v>52149.055048876442</v>
      </c>
      <c r="AI43" s="59">
        <f t="shared" si="37"/>
        <v>51622.349592882791</v>
      </c>
      <c r="AJ43" s="59">
        <f t="shared" si="37"/>
        <v>51100.963861994678</v>
      </c>
      <c r="AK43" s="59">
        <f t="shared" si="37"/>
        <v>50584.84412698853</v>
      </c>
      <c r="AL43" s="59">
        <f t="shared" si="37"/>
        <v>50073.937201305947</v>
      </c>
      <c r="AM43" s="59">
        <f t="shared" si="37"/>
        <v>49568.19043557276</v>
      </c>
      <c r="AN43" s="59">
        <f t="shared" si="37"/>
        <v>49067.551712173474</v>
      </c>
      <c r="AO43" s="59">
        <f t="shared" si="37"/>
        <v>48571.969439880522</v>
      </c>
      <c r="AP43" s="59">
        <f t="shared" si="37"/>
        <v>48081.392548537726</v>
      </c>
      <c r="AQ43" s="59">
        <f t="shared" si="37"/>
        <v>47595.770483797496</v>
      </c>
      <c r="AR43" s="59">
        <f t="shared" si="37"/>
        <v>47115.053201911142</v>
      </c>
      <c r="AS43" s="59">
        <f t="shared" si="37"/>
        <v>46639.191164571836</v>
      </c>
      <c r="AT43" s="59">
        <f t="shared" si="37"/>
        <v>46168.13533380966</v>
      </c>
      <c r="AU43" s="59">
        <f t="shared" si="37"/>
        <v>45701.837166938181</v>
      </c>
      <c r="AV43" s="59">
        <f t="shared" si="37"/>
        <v>45240.248611552102</v>
      </c>
      <c r="AW43" s="59">
        <f t="shared" si="37"/>
        <v>44783.322100575424</v>
      </c>
      <c r="AX43" s="59">
        <f t="shared" si="37"/>
        <v>44331.010547359612</v>
      </c>
      <c r="AY43" s="59">
        <f t="shared" si="37"/>
        <v>43883.267340831277</v>
      </c>
      <c r="AZ43" s="59">
        <f t="shared" si="37"/>
        <v>43440.046340688881</v>
      </c>
      <c r="BA43" s="59">
        <f t="shared" si="37"/>
        <v>43001.30187264792</v>
      </c>
      <c r="BB43" s="59">
        <f t="shared" si="37"/>
        <v>42566.988723734175</v>
      </c>
      <c r="BC43" s="59">
        <f t="shared" si="37"/>
        <v>42137.06213762446</v>
      </c>
      <c r="BD43" s="59">
        <f t="shared" si="37"/>
        <v>41711.477810034456</v>
      </c>
      <c r="BE43" s="59">
        <f t="shared" si="37"/>
        <v>41290.191884153108</v>
      </c>
      <c r="BF43" s="59">
        <f t="shared" si="37"/>
        <v>40873.160946123164</v>
      </c>
      <c r="BG43" s="59">
        <f t="shared" si="37"/>
        <v>40460.342020567317</v>
      </c>
      <c r="BH43" s="59">
        <f t="shared" si="37"/>
        <v>40051.692566159589</v>
      </c>
      <c r="BI43" s="59">
        <f t="shared" si="37"/>
        <v>39647.170471241378</v>
      </c>
      <c r="BJ43" s="59">
        <f t="shared" si="37"/>
        <v>39246.734049481842</v>
      </c>
      <c r="BK43" s="59">
        <f t="shared" si="37"/>
        <v>38850.342035582078</v>
      </c>
      <c r="BL43" s="59">
        <f t="shared" si="37"/>
        <v>38457.953581022703</v>
      </c>
      <c r="BM43" s="59">
        <f t="shared" si="37"/>
        <v>38069.528249854375</v>
      </c>
      <c r="BN43" s="59">
        <f t="shared" si="37"/>
        <v>37685.026014530842</v>
      </c>
      <c r="BO43" s="59">
        <f t="shared" si="37"/>
        <v>37304.407251784083</v>
      </c>
      <c r="BP43" s="59">
        <f t="shared" si="37"/>
        <v>36927.632738541062</v>
      </c>
      <c r="BQ43" s="59">
        <f t="shared" si="37"/>
        <v>36554.663647881796</v>
      </c>
      <c r="BR43" s="59">
        <f t="shared" ref="BR43:DU43" si="38">IF(BR68&gt;0,0,BR33-BR40)</f>
        <v>36185.46154503819</v>
      </c>
      <c r="BS43" s="59">
        <f t="shared" si="38"/>
        <v>35819.988383433301</v>
      </c>
      <c r="BT43" s="59">
        <f t="shared" si="38"/>
        <v>35458.206500760622</v>
      </c>
      <c r="BU43" s="59">
        <f t="shared" si="38"/>
        <v>35100.078615102939</v>
      </c>
      <c r="BV43" s="59">
        <f t="shared" si="38"/>
        <v>34745.567821090401</v>
      </c>
      <c r="BW43" s="59">
        <f t="shared" si="38"/>
        <v>34394.637586097386</v>
      </c>
      <c r="BX43" s="59">
        <f t="shared" si="38"/>
        <v>34047.251746477799</v>
      </c>
      <c r="BY43" s="59">
        <f t="shared" si="38"/>
        <v>33703.374503838371</v>
      </c>
      <c r="BZ43" s="59">
        <f t="shared" si="38"/>
        <v>33362.970421349601</v>
      </c>
      <c r="CA43" s="59">
        <f t="shared" si="38"/>
        <v>33026.004420093966</v>
      </c>
      <c r="CB43" s="59">
        <f t="shared" si="38"/>
        <v>32692.441775451018</v>
      </c>
      <c r="CC43" s="59">
        <f t="shared" si="38"/>
        <v>32362.248113518963</v>
      </c>
      <c r="CD43" s="59">
        <f t="shared" si="38"/>
        <v>32035.38940757242</v>
      </c>
      <c r="CE43" s="59">
        <f t="shared" si="38"/>
        <v>31711.831974555938</v>
      </c>
      <c r="CF43" s="59">
        <f t="shared" si="38"/>
        <v>31391.542471612924</v>
      </c>
      <c r="CG43" s="59">
        <f t="shared" si="38"/>
        <v>31074.487892649635</v>
      </c>
      <c r="CH43" s="59">
        <f t="shared" si="38"/>
        <v>30760.635564933873</v>
      </c>
      <c r="CI43" s="59">
        <f t="shared" si="38"/>
        <v>30449.953145728039</v>
      </c>
      <c r="CJ43" s="59">
        <f t="shared" si="38"/>
        <v>30142.408618956186</v>
      </c>
      <c r="CK43" s="59">
        <f t="shared" si="38"/>
        <v>29837.970291904727</v>
      </c>
      <c r="CL43" s="59">
        <f t="shared" si="38"/>
        <v>29536.606791956488</v>
      </c>
      <c r="CM43" s="59">
        <f t="shared" si="38"/>
        <v>29238.287063357729</v>
      </c>
      <c r="CN43" s="59">
        <f t="shared" si="38"/>
        <v>28942.980364017818</v>
      </c>
      <c r="CO43" s="59">
        <f t="shared" si="38"/>
        <v>28650.656262341239</v>
      </c>
      <c r="CP43" s="59">
        <f t="shared" si="38"/>
        <v>28361.284634091593</v>
      </c>
      <c r="CQ43" s="59">
        <f t="shared" si="38"/>
        <v>28074.83565928727</v>
      </c>
      <c r="CR43" s="59">
        <f t="shared" si="38"/>
        <v>27791.279819128467</v>
      </c>
      <c r="CS43" s="59">
        <f t="shared" si="38"/>
        <v>27510.587892955271</v>
      </c>
      <c r="CT43" s="59">
        <f t="shared" si="38"/>
        <v>27232.730955236424</v>
      </c>
      <c r="CU43" s="59">
        <f t="shared" si="38"/>
        <v>26957.680372588537</v>
      </c>
      <c r="CV43" s="59">
        <f t="shared" si="38"/>
        <v>26685.407800825393</v>
      </c>
      <c r="CW43" s="59">
        <f t="shared" si="38"/>
        <v>26415.885182037055</v>
      </c>
      <c r="CX43" s="59">
        <f t="shared" si="38"/>
        <v>26149.08474169848</v>
      </c>
      <c r="CY43" s="59">
        <f t="shared" si="38"/>
        <v>25884.978985807324</v>
      </c>
      <c r="CZ43" s="59">
        <f t="shared" si="38"/>
        <v>25623.54069805067</v>
      </c>
      <c r="DA43" s="59">
        <f t="shared" si="38"/>
        <v>25364.742937000359</v>
      </c>
      <c r="DB43" s="59">
        <f t="shared" si="38"/>
        <v>25108.559033336656</v>
      </c>
      <c r="DC43" s="59">
        <f t="shared" si="38"/>
        <v>24854.962587099955</v>
      </c>
      <c r="DD43" s="59">
        <f t="shared" si="38"/>
        <v>24603.927464970246</v>
      </c>
      <c r="DE43" s="59">
        <f t="shared" si="38"/>
        <v>24355.427797574048</v>
      </c>
      <c r="DF43" s="59">
        <f t="shared" si="38"/>
        <v>24109.43797681855</v>
      </c>
      <c r="DG43" s="59">
        <f t="shared" si="38"/>
        <v>23865.932653252683</v>
      </c>
      <c r="DH43" s="59">
        <f t="shared" si="38"/>
        <v>23624.88673345483</v>
      </c>
      <c r="DI43" s="59">
        <f t="shared" si="38"/>
        <v>23386.275377446938</v>
      </c>
      <c r="DJ43" s="59">
        <f t="shared" si="38"/>
        <v>23150.073996134724</v>
      </c>
      <c r="DK43" s="59">
        <f t="shared" si="38"/>
        <v>22916.258248773764</v>
      </c>
      <c r="DL43" s="59">
        <f t="shared" si="38"/>
        <v>22684.804040461149</v>
      </c>
      <c r="DM43" s="59">
        <f t="shared" si="38"/>
        <v>22455.687519652492</v>
      </c>
      <c r="DN43" s="59">
        <f t="shared" si="38"/>
        <v>22228.885075704002</v>
      </c>
      <c r="DO43" s="59">
        <f t="shared" si="38"/>
        <v>22004.373336439392</v>
      </c>
      <c r="DP43" s="59">
        <f t="shared" si="38"/>
        <v>21782.129165741353</v>
      </c>
      <c r="DQ43" s="59">
        <f t="shared" si="38"/>
        <v>21562.129661167364</v>
      </c>
      <c r="DR43" s="59">
        <f t="shared" si="38"/>
        <v>21344.352151589574</v>
      </c>
      <c r="DS43" s="59">
        <f t="shared" si="38"/>
        <v>21128.774194858521</v>
      </c>
      <c r="DT43" s="59">
        <f t="shared" si="38"/>
        <v>20915.373575490448</v>
      </c>
      <c r="DU43" s="60">
        <f t="shared" si="38"/>
        <v>125492.24145294269</v>
      </c>
      <c r="DV43" s="1"/>
    </row>
    <row r="44" spans="1:126" s="4" customFormat="1" x14ac:dyDescent="0.4">
      <c r="A44" s="4" t="s">
        <v>36</v>
      </c>
      <c r="B44" s="94"/>
      <c r="C44" s="100" t="s">
        <v>83</v>
      </c>
      <c r="D44" s="104"/>
      <c r="E44" s="20">
        <f>SUM(E45:E46)</f>
        <v>0</v>
      </c>
      <c r="F44" s="20">
        <f t="shared" ref="F44:BQ44" si="39">SUM(F45:F46)</f>
        <v>0</v>
      </c>
      <c r="G44" s="20">
        <f t="shared" si="39"/>
        <v>0</v>
      </c>
      <c r="H44" s="20">
        <f t="shared" si="39"/>
        <v>0</v>
      </c>
      <c r="I44" s="20">
        <f t="shared" si="39"/>
        <v>0</v>
      </c>
      <c r="J44" s="20">
        <f t="shared" si="39"/>
        <v>0</v>
      </c>
      <c r="K44" s="20">
        <f t="shared" si="39"/>
        <v>0</v>
      </c>
      <c r="L44" s="20">
        <f t="shared" si="39"/>
        <v>0</v>
      </c>
      <c r="M44" s="20">
        <f t="shared" si="39"/>
        <v>0</v>
      </c>
      <c r="N44" s="20">
        <f t="shared" si="39"/>
        <v>0</v>
      </c>
      <c r="O44" s="20">
        <f t="shared" si="39"/>
        <v>0</v>
      </c>
      <c r="P44" s="20">
        <f t="shared" si="39"/>
        <v>0</v>
      </c>
      <c r="Q44" s="20">
        <f t="shared" si="39"/>
        <v>0</v>
      </c>
      <c r="R44" s="20">
        <f t="shared" si="39"/>
        <v>0</v>
      </c>
      <c r="S44" s="20">
        <f t="shared" si="39"/>
        <v>0</v>
      </c>
      <c r="T44" s="20">
        <f t="shared" si="39"/>
        <v>0</v>
      </c>
      <c r="U44" s="20">
        <f t="shared" si="39"/>
        <v>0</v>
      </c>
      <c r="V44" s="20">
        <f t="shared" si="39"/>
        <v>0</v>
      </c>
      <c r="W44" s="20">
        <f t="shared" si="39"/>
        <v>0</v>
      </c>
      <c r="X44" s="20">
        <f t="shared" si="39"/>
        <v>0</v>
      </c>
      <c r="Y44" s="20">
        <f t="shared" si="39"/>
        <v>0</v>
      </c>
      <c r="Z44" s="20">
        <f t="shared" si="39"/>
        <v>0</v>
      </c>
      <c r="AA44" s="20">
        <f t="shared" si="39"/>
        <v>0</v>
      </c>
      <c r="AB44" s="20">
        <f t="shared" si="39"/>
        <v>0</v>
      </c>
      <c r="AC44" s="20">
        <f t="shared" si="39"/>
        <v>0</v>
      </c>
      <c r="AD44" s="20">
        <f t="shared" si="39"/>
        <v>0</v>
      </c>
      <c r="AE44" s="20">
        <f t="shared" si="39"/>
        <v>0</v>
      </c>
      <c r="AF44" s="20">
        <f t="shared" si="39"/>
        <v>382033.82866911666</v>
      </c>
      <c r="AG44" s="20">
        <f t="shared" si="39"/>
        <v>378175.28699955856</v>
      </c>
      <c r="AH44" s="20">
        <f t="shared" si="39"/>
        <v>374355.71660086303</v>
      </c>
      <c r="AI44" s="20">
        <f t="shared" si="39"/>
        <v>370574.72386319435</v>
      </c>
      <c r="AJ44" s="20">
        <f t="shared" si="39"/>
        <v>366831.91915217607</v>
      </c>
      <c r="AK44" s="20">
        <f t="shared" si="39"/>
        <v>363126.91676873906</v>
      </c>
      <c r="AL44" s="20">
        <f t="shared" si="39"/>
        <v>359459.33490937483</v>
      </c>
      <c r="AM44" s="20">
        <f t="shared" si="39"/>
        <v>355828.79562679015</v>
      </c>
      <c r="AN44" s="20">
        <f t="shared" si="39"/>
        <v>352234.92479095957</v>
      </c>
      <c r="AO44" s="20">
        <f t="shared" si="39"/>
        <v>348677.35205057095</v>
      </c>
      <c r="AP44" s="20">
        <f t="shared" si="39"/>
        <v>345155.71079486015</v>
      </c>
      <c r="AQ44" s="20">
        <f t="shared" si="39"/>
        <v>341669.63811583206</v>
      </c>
      <c r="AR44" s="20">
        <f t="shared" si="39"/>
        <v>338218.77477086213</v>
      </c>
      <c r="AS44" s="20">
        <f t="shared" si="39"/>
        <v>334802.76514567644</v>
      </c>
      <c r="AT44" s="20">
        <f t="shared" si="39"/>
        <v>331421.25721770513</v>
      </c>
      <c r="AU44" s="20">
        <f t="shared" si="39"/>
        <v>328073.90251980629</v>
      </c>
      <c r="AV44" s="20">
        <f t="shared" si="39"/>
        <v>324760.35610435629</v>
      </c>
      <c r="AW44" s="20">
        <f t="shared" si="39"/>
        <v>321480.27650770225</v>
      </c>
      <c r="AX44" s="20">
        <f t="shared" si="39"/>
        <v>318233.32571497449</v>
      </c>
      <c r="AY44" s="20">
        <f t="shared" si="39"/>
        <v>315019.16912525322</v>
      </c>
      <c r="AZ44" s="20">
        <f t="shared" si="39"/>
        <v>311837.4755170882</v>
      </c>
      <c r="BA44" s="20">
        <f t="shared" si="39"/>
        <v>308687.91701436555</v>
      </c>
      <c r="BB44" s="20">
        <f t="shared" si="39"/>
        <v>305570.16905252048</v>
      </c>
      <c r="BC44" s="20">
        <f t="shared" si="39"/>
        <v>302483.91034509003</v>
      </c>
      <c r="BD44" s="20">
        <f t="shared" si="39"/>
        <v>299428.8228506046</v>
      </c>
      <c r="BE44" s="20">
        <f t="shared" si="39"/>
        <v>296404.59173981351</v>
      </c>
      <c r="BF44" s="20">
        <f t="shared" si="39"/>
        <v>293410.90536324139</v>
      </c>
      <c r="BG44" s="20">
        <f t="shared" si="39"/>
        <v>290447.4552190727</v>
      </c>
      <c r="BH44" s="20">
        <f t="shared" si="39"/>
        <v>287513.93592136004</v>
      </c>
      <c r="BI44" s="20">
        <f t="shared" si="39"/>
        <v>284610.04516855435</v>
      </c>
      <c r="BJ44" s="20">
        <f t="shared" si="39"/>
        <v>281735.483712352</v>
      </c>
      <c r="BK44" s="20">
        <f t="shared" si="39"/>
        <v>278889.95532685722</v>
      </c>
      <c r="BL44" s="20">
        <f t="shared" si="39"/>
        <v>276073.16677805595</v>
      </c>
      <c r="BM44" s="20">
        <f t="shared" si="39"/>
        <v>273284.82779359759</v>
      </c>
      <c r="BN44" s="20">
        <f t="shared" si="39"/>
        <v>270524.65103288228</v>
      </c>
      <c r="BO44" s="20">
        <f t="shared" si="39"/>
        <v>267792.35205745016</v>
      </c>
      <c r="BP44" s="20">
        <f t="shared" si="39"/>
        <v>265087.64930166985</v>
      </c>
      <c r="BQ44" s="20">
        <f t="shared" si="39"/>
        <v>262410.264043723</v>
      </c>
      <c r="BR44" s="20">
        <f t="shared" ref="BR44:DU44" si="40">SUM(BR45:BR46)</f>
        <v>259759.92037688137</v>
      </c>
      <c r="BS44" s="20">
        <f t="shared" si="40"/>
        <v>257136.34518107487</v>
      </c>
      <c r="BT44" s="20">
        <f t="shared" si="40"/>
        <v>254539.26809474602</v>
      </c>
      <c r="BU44" s="20">
        <f t="shared" si="40"/>
        <v>251968.42148698907</v>
      </c>
      <c r="BV44" s="20">
        <f t="shared" si="40"/>
        <v>249423.54042997048</v>
      </c>
      <c r="BW44" s="20">
        <f t="shared" si="40"/>
        <v>246904.36267162778</v>
      </c>
      <c r="BX44" s="20">
        <f t="shared" si="40"/>
        <v>244410.62860864436</v>
      </c>
      <c r="BY44" s="20">
        <f t="shared" si="40"/>
        <v>241942.08125969704</v>
      </c>
      <c r="BZ44" s="20">
        <f t="shared" si="40"/>
        <v>239498.4662389741</v>
      </c>
      <c r="CA44" s="20">
        <f t="shared" si="40"/>
        <v>237079.53172996046</v>
      </c>
      <c r="CB44" s="20">
        <f t="shared" si="40"/>
        <v>234685.02845948786</v>
      </c>
      <c r="CC44" s="20">
        <f t="shared" si="40"/>
        <v>232314.709672047</v>
      </c>
      <c r="CD44" s="20">
        <f t="shared" si="40"/>
        <v>229968.33110435933</v>
      </c>
      <c r="CE44" s="20">
        <f t="shared" si="40"/>
        <v>227645.6509602053</v>
      </c>
      <c r="CF44" s="20">
        <f t="shared" si="40"/>
        <v>225346.42988550724</v>
      </c>
      <c r="CG44" s="20">
        <f t="shared" si="40"/>
        <v>223070.43094366361</v>
      </c>
      <c r="CH44" s="20">
        <f t="shared" si="40"/>
        <v>220817.41959113261</v>
      </c>
      <c r="CI44" s="20">
        <f t="shared" si="40"/>
        <v>218587.16365326219</v>
      </c>
      <c r="CJ44" s="20">
        <f t="shared" si="40"/>
        <v>216379.43330036424</v>
      </c>
      <c r="CK44" s="20">
        <f t="shared" si="40"/>
        <v>214194.00102403056</v>
      </c>
      <c r="CL44" s="20">
        <f t="shared" si="40"/>
        <v>212030.64161368785</v>
      </c>
      <c r="CM44" s="20">
        <f t="shared" si="40"/>
        <v>209889.13213338959</v>
      </c>
      <c r="CN44" s="20">
        <f t="shared" si="40"/>
        <v>207769.25189884237</v>
      </c>
      <c r="CO44" s="20">
        <f t="shared" si="40"/>
        <v>205670.78245466406</v>
      </c>
      <c r="CP44" s="20">
        <f t="shared" si="40"/>
        <v>203593.50755187194</v>
      </c>
      <c r="CQ44" s="20">
        <f t="shared" si="40"/>
        <v>201537.21312559803</v>
      </c>
      <c r="CR44" s="20">
        <f t="shared" si="40"/>
        <v>199501.6872730295</v>
      </c>
      <c r="CS44" s="20">
        <f t="shared" si="40"/>
        <v>197486.72023157193</v>
      </c>
      <c r="CT44" s="20">
        <f t="shared" si="40"/>
        <v>195492.10435723307</v>
      </c>
      <c r="CU44" s="20">
        <f t="shared" si="40"/>
        <v>193517.63410322499</v>
      </c>
      <c r="CV44" s="20">
        <f t="shared" si="40"/>
        <v>191563.10599878241</v>
      </c>
      <c r="CW44" s="20">
        <f t="shared" si="40"/>
        <v>189628.31862819471</v>
      </c>
      <c r="CX44" s="20">
        <f t="shared" si="40"/>
        <v>187713.07261004992</v>
      </c>
      <c r="CY44" s="20">
        <f t="shared" si="40"/>
        <v>185817.17057668843</v>
      </c>
      <c r="CZ44" s="20">
        <f t="shared" si="40"/>
        <v>183940.41715386388</v>
      </c>
      <c r="DA44" s="20">
        <f t="shared" si="40"/>
        <v>182082.61894060986</v>
      </c>
      <c r="DB44" s="20">
        <f t="shared" si="40"/>
        <v>180243.58448930969</v>
      </c>
      <c r="DC44" s="20">
        <f t="shared" si="40"/>
        <v>178423.12428596767</v>
      </c>
      <c r="DD44" s="20">
        <f t="shared" si="40"/>
        <v>176621.05073067939</v>
      </c>
      <c r="DE44" s="20">
        <f t="shared" si="40"/>
        <v>174837.17811829955</v>
      </c>
      <c r="DF44" s="20">
        <f t="shared" si="40"/>
        <v>173071.3226193047</v>
      </c>
      <c r="DG44" s="20">
        <f t="shared" si="40"/>
        <v>171323.30226084977</v>
      </c>
      <c r="DH44" s="20">
        <f t="shared" si="40"/>
        <v>169592.93690801517</v>
      </c>
      <c r="DI44" s="20">
        <f t="shared" si="40"/>
        <v>167880.04824524422</v>
      </c>
      <c r="DJ44" s="20">
        <f t="shared" si="40"/>
        <v>166184.45975796724</v>
      </c>
      <c r="DK44" s="20">
        <f t="shared" si="40"/>
        <v>164505.99671441177</v>
      </c>
      <c r="DL44" s="20">
        <f t="shared" si="40"/>
        <v>162844.48614759621</v>
      </c>
      <c r="DM44" s="20">
        <f t="shared" si="40"/>
        <v>161199.7568375055</v>
      </c>
      <c r="DN44" s="20">
        <f t="shared" si="40"/>
        <v>159571.6392934467</v>
      </c>
      <c r="DO44" s="20">
        <f t="shared" si="40"/>
        <v>157959.96573658288</v>
      </c>
      <c r="DP44" s="20">
        <f t="shared" si="40"/>
        <v>156364.57008264339</v>
      </c>
      <c r="DQ44" s="20">
        <f t="shared" si="40"/>
        <v>154785.28792480868</v>
      </c>
      <c r="DR44" s="20">
        <f t="shared" si="40"/>
        <v>153221.95651676814</v>
      </c>
      <c r="DS44" s="20">
        <f t="shared" si="40"/>
        <v>151674.41475594876</v>
      </c>
      <c r="DT44" s="20">
        <f t="shared" si="40"/>
        <v>150142.50316691367</v>
      </c>
      <c r="DU44" s="95">
        <f t="shared" si="40"/>
        <v>900855.01900148205</v>
      </c>
    </row>
    <row r="45" spans="1:126" x14ac:dyDescent="0.4">
      <c r="B45" s="39"/>
      <c r="C45" s="55" t="s">
        <v>60</v>
      </c>
      <c r="D45" s="62"/>
      <c r="E45" s="59">
        <f>IF(AND(E68&gt;0,D60&lt;D35),0,E42*Assumptions!$E$32)</f>
        <v>0</v>
      </c>
      <c r="F45" s="59">
        <f>IF(AND(F68&gt;0,E60&lt;E35),0,F42*Assumptions!$E$32)</f>
        <v>0</v>
      </c>
      <c r="G45" s="59">
        <f>IF(AND(G68&gt;0,F60&lt;F35),0,G42*Assumptions!$E$32)</f>
        <v>0</v>
      </c>
      <c r="H45" s="59">
        <f>IF(AND(H68&gt;0,G60&lt;G35),0,H42*Assumptions!$E$32)</f>
        <v>0</v>
      </c>
      <c r="I45" s="59">
        <f>IF(AND(I68&gt;0,H60&lt;H35),0,I42*Assumptions!$E$32)</f>
        <v>0</v>
      </c>
      <c r="J45" s="59">
        <f>IF(AND(J68&gt;0,I60&lt;I35),0,J42*Assumptions!$E$32)</f>
        <v>0</v>
      </c>
      <c r="K45" s="59">
        <f>IF(AND(K68&gt;0,J60&lt;J35),0,K42*Assumptions!$E$32)</f>
        <v>0</v>
      </c>
      <c r="L45" s="59">
        <f>IF(AND(L68&gt;0,K60&lt;K35),0,L42*Assumptions!$E$32)</f>
        <v>0</v>
      </c>
      <c r="M45" s="59">
        <f>IF(AND(M68&gt;0,L60&lt;L35),0,M42*Assumptions!$E$32)</f>
        <v>0</v>
      </c>
      <c r="N45" s="59">
        <f>IF(AND(N68&gt;0,M60&lt;M35),0,N42*Assumptions!$E$32)</f>
        <v>0</v>
      </c>
      <c r="O45" s="59">
        <f>IF(AND(O68&gt;0,N60&lt;N35),0,O42*Assumptions!$E$32)</f>
        <v>0</v>
      </c>
      <c r="P45" s="59">
        <f>IF(AND(P68&gt;0,O60&lt;O35),0,P42*Assumptions!$E$32)</f>
        <v>0</v>
      </c>
      <c r="Q45" s="59">
        <f>IF(AND(Q68&gt;0,P60&lt;P35),0,Q42*Assumptions!$E$32)</f>
        <v>0</v>
      </c>
      <c r="R45" s="59">
        <f>IF(AND(R68&gt;0,Q60&lt;Q35),0,R42*Assumptions!$E$32)</f>
        <v>0</v>
      </c>
      <c r="S45" s="59">
        <f>IF(AND(S68&gt;0,R60&lt;R35),0,S42*Assumptions!$E$32)</f>
        <v>0</v>
      </c>
      <c r="T45" s="59">
        <f>IF(AND(T68&gt;0,S60&lt;S35),0,T42*Assumptions!$E$32)</f>
        <v>0</v>
      </c>
      <c r="U45" s="59">
        <f>IF(AND(U68&gt;0,T60&lt;T35),0,U42*Assumptions!$E$32)</f>
        <v>0</v>
      </c>
      <c r="V45" s="59">
        <f>IF(AND(V68&gt;0,U60&lt;U35),0,V42*Assumptions!$E$32)</f>
        <v>0</v>
      </c>
      <c r="W45" s="59">
        <f>IF(AND(W68&gt;0,V60&lt;V35),0,W42*Assumptions!$E$32)</f>
        <v>0</v>
      </c>
      <c r="X45" s="59">
        <f>IF(AND(X68&gt;0,W60&lt;W35),0,X42*Assumptions!$E$32)</f>
        <v>0</v>
      </c>
      <c r="Y45" s="59">
        <f>IF(AND(Y68&gt;0,X60&lt;X35),0,Y42*Assumptions!$E$32)</f>
        <v>0</v>
      </c>
      <c r="Z45" s="59">
        <f>IF(AND(Z68&gt;0,Y60&lt;Y35),0,Z42*Assumptions!$E$32)</f>
        <v>0</v>
      </c>
      <c r="AA45" s="59">
        <f>IF(AND(AA68&gt;0,Z60&lt;Z35),0,AA42*Assumptions!$E$32)</f>
        <v>0</v>
      </c>
      <c r="AB45" s="59">
        <f>IF(AND(AB68&gt;0,AA60&lt;AA35),0,AB42*Assumptions!$E$32)</f>
        <v>0</v>
      </c>
      <c r="AC45" s="59">
        <f>IF(AND(AC68&gt;0,AB60&lt;AB35),0,AC42*Assumptions!$E$32)</f>
        <v>0</v>
      </c>
      <c r="AD45" s="59">
        <f>IF(AND(AD68&gt;0,AC60&lt;AC35),0,AD42*Assumptions!$E$32)</f>
        <v>0</v>
      </c>
      <c r="AE45" s="59">
        <f>IF(AND(AE68&gt;0,AD60&lt;AD35),0,AE42*Assumptions!$E$32)</f>
        <v>0</v>
      </c>
      <c r="AF45" s="59">
        <f>IF(AND(AF68&gt;0,AE60&lt;AE35),0,AF42*Assumptions!$E$32)</f>
        <v>342119.8465693582</v>
      </c>
      <c r="AG45" s="59">
        <f>IF(AND(AG68&gt;0,AF60&lt;AF35),0,AG42*Assumptions!$E$32)</f>
        <v>338664.43611900765</v>
      </c>
      <c r="AH45" s="59">
        <f>IF(AND(AH68&gt;0,AG60&lt;AG35),0,AH42*Assumptions!$E$32)</f>
        <v>335243.9253142057</v>
      </c>
      <c r="AI45" s="59">
        <f>IF(AND(AI68&gt;0,AH60&lt;AH35),0,AI42*Assumptions!$E$32)</f>
        <v>331857.96166853223</v>
      </c>
      <c r="AJ45" s="59">
        <f>IF(AND(AJ68&gt;0,AI60&lt;AI35),0,AJ42*Assumptions!$E$32)</f>
        <v>328506.19625568006</v>
      </c>
      <c r="AK45" s="59">
        <f>IF(AND(AK68&gt;0,AJ60&lt;AJ35),0,AK42*Assumptions!$E$32)</f>
        <v>325188.28367349767</v>
      </c>
      <c r="AL45" s="59">
        <f>IF(AND(AL68&gt;0,AK60&lt;AK35),0,AL42*Assumptions!$E$32)</f>
        <v>321903.88200839539</v>
      </c>
      <c r="AM45" s="59">
        <f>IF(AND(AM68&gt;0,AL60&lt;AL35),0,AM42*Assumptions!$E$32)</f>
        <v>318652.65280011058</v>
      </c>
      <c r="AN45" s="59">
        <f>IF(AND(AN68&gt;0,AM60&lt;AM35),0,AN42*Assumptions!$E$32)</f>
        <v>315434.26100682945</v>
      </c>
      <c r="AO45" s="59">
        <f>IF(AND(AO68&gt;0,AN60&lt;AN35),0,AO42*Assumptions!$E$32)</f>
        <v>312248.37497066054</v>
      </c>
      <c r="AP45" s="59">
        <f>IF(AND(AP68&gt;0,AO60&lt;AO35),0,AP42*Assumptions!$E$32)</f>
        <v>309094.66638345685</v>
      </c>
      <c r="AQ45" s="59">
        <f>IF(AND(AQ68&gt;0,AP60&lt;AP35),0,AQ42*Assumptions!$E$32)</f>
        <v>305972.81025298394</v>
      </c>
      <c r="AR45" s="59">
        <f>IF(AND(AR68&gt;0,AQ60&lt;AQ35),0,AR42*Assumptions!$E$32)</f>
        <v>302882.48486942879</v>
      </c>
      <c r="AS45" s="59">
        <f>IF(AND(AS68&gt;0,AR60&lt;AR35),0,AS42*Assumptions!$E$32)</f>
        <v>299823.3717722476</v>
      </c>
      <c r="AT45" s="59">
        <f>IF(AND(AT68&gt;0,AS60&lt;AS35),0,AT42*Assumptions!$E$32)</f>
        <v>296795.15571734786</v>
      </c>
      <c r="AU45" s="59">
        <f>IF(AND(AU68&gt;0,AT60&lt;AT35),0,AU42*Assumptions!$E$32)</f>
        <v>293797.52464460267</v>
      </c>
      <c r="AV45" s="59">
        <f>IF(AND(AV68&gt;0,AU60&lt;AU35),0,AV42*Assumptions!$E$32)</f>
        <v>290830.16964569222</v>
      </c>
      <c r="AW45" s="59">
        <f>IF(AND(AW68&gt;0,AV60&lt;AV35),0,AW42*Assumptions!$E$32)</f>
        <v>287892.7849322707</v>
      </c>
      <c r="AX45" s="59">
        <f>IF(AND(AX68&gt;0,AW60&lt;AW35),0,AX42*Assumptions!$E$32)</f>
        <v>284985.06780445477</v>
      </c>
      <c r="AY45" s="59">
        <f>IF(AND(AY68&gt;0,AX60&lt;AX35),0,AY42*Assumptions!$E$32)</f>
        <v>282106.71861962974</v>
      </c>
      <c r="AZ45" s="59">
        <f>IF(AND(AZ68&gt;0,AY60&lt;AY35),0,AZ42*Assumptions!$E$32)</f>
        <v>279257.44076157152</v>
      </c>
      <c r="BA45" s="59">
        <f>IF(AND(BA68&gt;0,AZ60&lt;AZ35),0,BA42*Assumptions!$E$32)</f>
        <v>276436.94060987962</v>
      </c>
      <c r="BB45" s="59">
        <f>IF(AND(BB68&gt;0,BA60&lt;BA35),0,BB42*Assumptions!$E$32)</f>
        <v>273644.92750971986</v>
      </c>
      <c r="BC45" s="59">
        <f>IF(AND(BC68&gt;0,BB60&lt;BB35),0,BC42*Assumptions!$E$32)</f>
        <v>270881.11374187167</v>
      </c>
      <c r="BD45" s="59">
        <f>IF(AND(BD68&gt;0,BC60&lt;BC35),0,BD42*Assumptions!$E$32)</f>
        <v>268145.21449307876</v>
      </c>
      <c r="BE45" s="59">
        <f>IF(AND(BE68&gt;0,BD60&lt;BD35),0,BE42*Assumptions!$E$32)</f>
        <v>265436.94782669866</v>
      </c>
      <c r="BF45" s="59">
        <f>IF(AND(BF68&gt;0,BE60&lt;BE35),0,BF42*Assumptions!$E$32)</f>
        <v>262756.03465364903</v>
      </c>
      <c r="BG45" s="59">
        <f>IF(AND(BG68&gt;0,BF60&lt;BF35),0,BG42*Assumptions!$E$32)</f>
        <v>260102.19870364718</v>
      </c>
      <c r="BH45" s="59">
        <f>IF(AND(BH68&gt;0,BG60&lt;BG35),0,BH42*Assumptions!$E$32)</f>
        <v>257475.16649674036</v>
      </c>
      <c r="BI45" s="59">
        <f>IF(AND(BI68&gt;0,BH60&lt;BH35),0,BI42*Assumptions!$E$32)</f>
        <v>254874.66731512331</v>
      </c>
      <c r="BJ45" s="59">
        <f>IF(AND(BJ68&gt;0,BI60&lt;BI35),0,BJ42*Assumptions!$E$32)</f>
        <v>252300.43317524059</v>
      </c>
      <c r="BK45" s="59">
        <f>IF(AND(BK68&gt;0,BJ60&lt;BJ35),0,BK42*Assumptions!$E$32)</f>
        <v>249752.19880017065</v>
      </c>
      <c r="BL45" s="59">
        <f>IF(AND(BL68&gt;0,BK60&lt;BK35),0,BL42*Assumptions!$E$32)</f>
        <v>247229.70159228891</v>
      </c>
      <c r="BM45" s="59">
        <f>IF(AND(BM68&gt;0,BL60&lt;BL35),0,BM42*Assumptions!$E$32)</f>
        <v>244732.68160620681</v>
      </c>
      <c r="BN45" s="59">
        <f>IF(AND(BN68&gt;0,BM60&lt;BM35),0,BN42*Assumptions!$E$32)</f>
        <v>242260.88152198412</v>
      </c>
      <c r="BO45" s="59">
        <f>IF(AND(BO68&gt;0,BN60&lt;BN35),0,BO42*Assumptions!$E$32)</f>
        <v>239814.04661861208</v>
      </c>
      <c r="BP45" s="59">
        <f>IF(AND(BP68&gt;0,BO60&lt;BO35),0,BP42*Assumptions!$E$32)</f>
        <v>237391.92474776407</v>
      </c>
      <c r="BQ45" s="59">
        <f>IF(AND(BQ68&gt;0,BP60&lt;BP35),0,BQ42*Assumptions!$E$32)</f>
        <v>234994.26630781166</v>
      </c>
      <c r="BR45" s="59">
        <f>IF(AND(BR68&gt;0,BQ60&lt;BQ35),0,BR42*Assumptions!$E$32)</f>
        <v>232620.82421810273</v>
      </c>
      <c r="BS45" s="59">
        <f>IF(AND(BS68&gt;0,BR60&lt;BR35),0,BS42*Assumptions!$E$32)</f>
        <v>230271.35389349988</v>
      </c>
      <c r="BT45" s="59">
        <f>IF(AND(BT68&gt;0,BS60&lt;BS35),0,BT42*Assumptions!$E$32)</f>
        <v>227945.61321917555</v>
      </c>
      <c r="BU45" s="59">
        <f>IF(AND(BU68&gt;0,BT60&lt;BT35),0,BU42*Assumptions!$E$32)</f>
        <v>225643.36252566188</v>
      </c>
      <c r="BV45" s="59">
        <f>IF(AND(BV68&gt;0,BU60&lt;BU35),0,BV42*Assumptions!$E$32)</f>
        <v>223364.36456415267</v>
      </c>
      <c r="BW45" s="59">
        <f>IF(AND(BW68&gt;0,BV60&lt;BV35),0,BW42*Assumptions!$E$32)</f>
        <v>221108.38448205474</v>
      </c>
      <c r="BX45" s="59">
        <f>IF(AND(BX68&gt;0,BW60&lt;BW35),0,BX42*Assumptions!$E$32)</f>
        <v>218875.18979878601</v>
      </c>
      <c r="BY45" s="59">
        <f>IF(AND(BY68&gt;0,BX60&lt;BX35),0,BY42*Assumptions!$E$32)</f>
        <v>216664.55038181826</v>
      </c>
      <c r="BZ45" s="59">
        <f>IF(AND(BZ68&gt;0,BY60&lt;BY35),0,BZ42*Assumptions!$E$32)</f>
        <v>214476.23842296191</v>
      </c>
      <c r="CA45" s="59">
        <f>IF(AND(CA68&gt;0,BZ60&lt;BZ35),0,CA42*Assumptions!$E$32)</f>
        <v>212310.02841489</v>
      </c>
      <c r="CB45" s="59">
        <f>IF(AND(CB68&gt;0,CA60&lt;CA35),0,CB42*Assumptions!$E$32)</f>
        <v>210165.69712789959</v>
      </c>
      <c r="CC45" s="59">
        <f>IF(AND(CC68&gt;0,CB60&lt;CB35),0,CC42*Assumptions!$E$32)</f>
        <v>208043.02358690777</v>
      </c>
      <c r="CD45" s="59">
        <f>IF(AND(CD68&gt;0,CC60&lt;CC35),0,CD42*Assumptions!$E$32)</f>
        <v>205941.78904868002</v>
      </c>
      <c r="CE45" s="59">
        <f>IF(AND(CE68&gt;0,CD60&lt;CD35),0,CE42*Assumptions!$E$32)</f>
        <v>203861.77697928835</v>
      </c>
      <c r="CF45" s="59">
        <f>IF(AND(CF68&gt;0,CE60&lt;CE35),0,CF42*Assumptions!$E$32)</f>
        <v>201802.77303179755</v>
      </c>
      <c r="CG45" s="59">
        <f>IF(AND(CG68&gt;0,CF60&lt;CF35),0,CG42*Assumptions!$E$32)</f>
        <v>199764.56502417638</v>
      </c>
      <c r="CH45" s="59">
        <f>IF(AND(CH68&gt;0,CG60&lt;CG35),0,CH42*Assumptions!$E$32)</f>
        <v>197746.9429174322</v>
      </c>
      <c r="CI45" s="59">
        <f>IF(AND(CI68&gt;0,CH60&lt;CH35),0,CI42*Assumptions!$E$32)</f>
        <v>195749.69879396615</v>
      </c>
      <c r="CJ45" s="59">
        <f>IF(AND(CJ68&gt;0,CI60&lt;CI35),0,CJ42*Assumptions!$E$32)</f>
        <v>193772.6268361471</v>
      </c>
      <c r="CK45" s="59">
        <f>IF(AND(CK68&gt;0,CJ60&lt;CJ35),0,CK42*Assumptions!$E$32)</f>
        <v>191815.52330510202</v>
      </c>
      <c r="CL45" s="59">
        <f>IF(AND(CL68&gt;0,CK60&lt;CK35),0,CL42*Assumptions!$E$32)</f>
        <v>189878.18651972048</v>
      </c>
      <c r="CM45" s="59">
        <f>IF(AND(CM68&gt;0,CL60&lt;CL35),0,CM42*Assumptions!$E$32)</f>
        <v>187960.41683587129</v>
      </c>
      <c r="CN45" s="59">
        <f>IF(AND(CN68&gt;0,CM60&lt;CM35),0,CN42*Assumptions!$E$32)</f>
        <v>186062.01662582901</v>
      </c>
      <c r="CO45" s="59">
        <f>IF(AND(CO68&gt;0,CN60&lt;CN35),0,CO42*Assumptions!$E$32)</f>
        <v>184182.79025790814</v>
      </c>
      <c r="CP45" s="59">
        <f>IF(AND(CP68&gt;0,CO60&lt;CO35),0,CP42*Assumptions!$E$32)</f>
        <v>182322.54407630325</v>
      </c>
      <c r="CQ45" s="59">
        <f>IF(AND(CQ68&gt;0,CP60&lt;CP35),0,CQ42*Assumptions!$E$32)</f>
        <v>180481.0863811326</v>
      </c>
      <c r="CR45" s="59">
        <f>IF(AND(CR68&gt;0,CQ60&lt;CQ35),0,CR42*Assumptions!$E$32)</f>
        <v>178658.22740868316</v>
      </c>
      <c r="CS45" s="59">
        <f>IF(AND(CS68&gt;0,CR60&lt;CR35),0,CS42*Assumptions!$E$32)</f>
        <v>176853.77931185547</v>
      </c>
      <c r="CT45" s="59">
        <f>IF(AND(CT68&gt;0,CS60&lt;CS35),0,CT42*Assumptions!$E$32)</f>
        <v>175067.55614080574</v>
      </c>
      <c r="CU45" s="59">
        <f>IF(AND(CU68&gt;0,CT60&lt;CT35),0,CU42*Assumptions!$E$32)</f>
        <v>173299.37382378359</v>
      </c>
      <c r="CV45" s="59">
        <f>IF(AND(CV68&gt;0,CU60&lt;CU35),0,CV42*Assumptions!$E$32)</f>
        <v>171549.05014816337</v>
      </c>
      <c r="CW45" s="59">
        <f>IF(AND(CW68&gt;0,CV60&lt;CV35),0,CW42*Assumptions!$E$32)</f>
        <v>169816.40474166692</v>
      </c>
      <c r="CX45" s="59">
        <f>IF(AND(CX68&gt;0,CW60&lt;CW35),0,CX42*Assumptions!$E$32)</f>
        <v>168101.25905377607</v>
      </c>
      <c r="CY45" s="59">
        <f>IF(AND(CY68&gt;0,CX60&lt;CX35),0,CY42*Assumptions!$E$32)</f>
        <v>166403.43633733294</v>
      </c>
      <c r="CZ45" s="59">
        <f>IF(AND(CZ68&gt;0,CY60&lt;CY35),0,CZ42*Assumptions!$E$32)</f>
        <v>164722.76163032587</v>
      </c>
      <c r="DA45" s="59">
        <f>IF(AND(DA68&gt;0,CZ60&lt;CZ35),0,DA42*Assumptions!$E$32)</f>
        <v>163059.06173785959</v>
      </c>
      <c r="DB45" s="59">
        <f>IF(AND(DB68&gt;0,DA60&lt;DA35),0,DB42*Assumptions!$E$32)</f>
        <v>161412.1652143072</v>
      </c>
      <c r="DC45" s="59">
        <f>IF(AND(DC68&gt;0,DB60&lt;DB35),0,DC42*Assumptions!$E$32)</f>
        <v>159781.90234564271</v>
      </c>
      <c r="DD45" s="59">
        <f>IF(AND(DD68&gt;0,DC60&lt;DC35),0,DD42*Assumptions!$E$32)</f>
        <v>158168.10513195171</v>
      </c>
      <c r="DE45" s="59">
        <f>IF(AND(DE68&gt;0,DD60&lt;DD35),0,DE42*Assumptions!$E$32)</f>
        <v>156570.60727011901</v>
      </c>
      <c r="DF45" s="59">
        <f>IF(AND(DF68&gt;0,DE60&lt;DE35),0,DF42*Assumptions!$E$32)</f>
        <v>154989.2441366908</v>
      </c>
      <c r="DG45" s="59">
        <f>IF(AND(DG68&gt;0,DF60&lt;DF35),0,DG42*Assumptions!$E$32)</f>
        <v>153423.85277091025</v>
      </c>
      <c r="DH45" s="59">
        <f>IF(AND(DH68&gt;0,DG60&lt;DG35),0,DH42*Assumptions!$E$32)</f>
        <v>151874.27185792403</v>
      </c>
      <c r="DI45" s="59">
        <f>IF(AND(DI68&gt;0,DH60&lt;DH35),0,DI42*Assumptions!$E$32)</f>
        <v>150340.34171215902</v>
      </c>
      <c r="DJ45" s="59">
        <f>IF(AND(DJ68&gt;0,DI60&lt;DI35),0,DJ42*Assumptions!$E$32)</f>
        <v>148821.9042608662</v>
      </c>
      <c r="DK45" s="59">
        <f>IF(AND(DK68&gt;0,DJ60&lt;DJ35),0,DK42*Assumptions!$E$32)</f>
        <v>147318.80302783145</v>
      </c>
      <c r="DL45" s="59">
        <f>IF(AND(DL68&gt;0,DK60&lt;DK35),0,DL42*Assumptions!$E$32)</f>
        <v>145830.88311725034</v>
      </c>
      <c r="DM45" s="59">
        <f>IF(AND(DM68&gt;0,DL60&lt;DL35),0,DM42*Assumptions!$E$32)</f>
        <v>144357.99119776612</v>
      </c>
      <c r="DN45" s="59">
        <f>IF(AND(DN68&gt;0,DM60&lt;DM35),0,DN42*Assumptions!$E$32)</f>
        <v>142899.9754866687</v>
      </c>
      <c r="DO45" s="59">
        <f>IF(AND(DO68&gt;0,DN60&lt;DN35),0,DO42*Assumptions!$E$32)</f>
        <v>141456.68573425335</v>
      </c>
      <c r="DP45" s="59">
        <f>IF(AND(DP68&gt;0,DO60&lt;DO35),0,DP42*Assumptions!$E$32)</f>
        <v>140027.97320833738</v>
      </c>
      <c r="DQ45" s="59">
        <f>IF(AND(DQ68&gt;0,DP60&lt;DP35),0,DQ42*Assumptions!$E$32)</f>
        <v>138613.69067893317</v>
      </c>
      <c r="DR45" s="59">
        <f>IF(AND(DR68&gt;0,DQ60&lt;DQ35),0,DR42*Assumptions!$E$32)</f>
        <v>137213.69240307595</v>
      </c>
      <c r="DS45" s="59">
        <f>IF(AND(DS68&gt;0,DR60&lt;DR35),0,DS42*Assumptions!$E$32)</f>
        <v>135827.83410980488</v>
      </c>
      <c r="DT45" s="59">
        <f>IF(AND(DT68&gt;0,DS60&lt;DS35),0,DT42*Assumptions!$E$32)</f>
        <v>134455.97298529584</v>
      </c>
      <c r="DU45" s="60">
        <f>IF(AND(DU68&gt;0,DT60&lt;DT35),0,DU42*Assumptions!$E$32)</f>
        <v>806735.8379117751</v>
      </c>
    </row>
    <row r="46" spans="1:126" x14ac:dyDescent="0.4">
      <c r="B46" s="39"/>
      <c r="C46" s="55" t="s">
        <v>61</v>
      </c>
      <c r="D46" s="62"/>
      <c r="E46" s="59">
        <f>IF(AND(E70&gt;0,D60&lt;D35),0,E43*Assumptions!$F$32)</f>
        <v>0</v>
      </c>
      <c r="F46" s="59">
        <f>IF(AND(F70&gt;0,E60&lt;E35),0,F43*Assumptions!$F$32)</f>
        <v>0</v>
      </c>
      <c r="G46" s="59">
        <f>IF(AND(G70&gt;0,F60&lt;F35),0,G43*Assumptions!$F$32)</f>
        <v>0</v>
      </c>
      <c r="H46" s="59">
        <f>IF(AND(H70&gt;0,G60&lt;G35),0,H43*Assumptions!$F$32)</f>
        <v>0</v>
      </c>
      <c r="I46" s="59">
        <f>IF(AND(I70&gt;0,H60&lt;H35),0,I43*Assumptions!$F$32)</f>
        <v>0</v>
      </c>
      <c r="J46" s="59">
        <f>IF(AND(J70&gt;0,I60&lt;I35),0,J43*Assumptions!$F$32)</f>
        <v>0</v>
      </c>
      <c r="K46" s="59">
        <f>IF(AND(K70&gt;0,J60&lt;J35),0,K43*Assumptions!$F$32)</f>
        <v>0</v>
      </c>
      <c r="L46" s="59">
        <f>IF(AND(L70&gt;0,K60&lt;K35),0,L43*Assumptions!$F$32)</f>
        <v>0</v>
      </c>
      <c r="M46" s="59">
        <f>IF(AND(M70&gt;0,L60&lt;L35),0,M43*Assumptions!$F$32)</f>
        <v>0</v>
      </c>
      <c r="N46" s="59">
        <f>IF(AND(N70&gt;0,M60&lt;M35),0,N43*Assumptions!$F$32)</f>
        <v>0</v>
      </c>
      <c r="O46" s="59">
        <f>IF(AND(O70&gt;0,N60&lt;N35),0,O43*Assumptions!$F$32)</f>
        <v>0</v>
      </c>
      <c r="P46" s="59">
        <f>IF(AND(P70&gt;0,O60&lt;O35),0,P43*Assumptions!$F$32)</f>
        <v>0</v>
      </c>
      <c r="Q46" s="59">
        <f>IF(AND(Q70&gt;0,P60&lt;P35),0,Q43*Assumptions!$F$32)</f>
        <v>0</v>
      </c>
      <c r="R46" s="59">
        <f>IF(AND(R70&gt;0,Q60&lt;Q35),0,R43*Assumptions!$F$32)</f>
        <v>0</v>
      </c>
      <c r="S46" s="59">
        <f>IF(AND(S70&gt;0,R60&lt;R35),0,S43*Assumptions!$F$32)</f>
        <v>0</v>
      </c>
      <c r="T46" s="59">
        <f>IF(AND(T70&gt;0,S60&lt;S35),0,T43*Assumptions!$F$32)</f>
        <v>0</v>
      </c>
      <c r="U46" s="59">
        <f>IF(AND(U70&gt;0,T60&lt;T35),0,U43*Assumptions!$F$32)</f>
        <v>0</v>
      </c>
      <c r="V46" s="59">
        <f>IF(AND(V70&gt;0,U60&lt;U35),0,V43*Assumptions!$F$32)</f>
        <v>0</v>
      </c>
      <c r="W46" s="59">
        <f>IF(AND(W70&gt;0,V60&lt;V35),0,W43*Assumptions!$F$32)</f>
        <v>0</v>
      </c>
      <c r="X46" s="59">
        <f>IF(AND(X70&gt;0,W60&lt;W35),0,X43*Assumptions!$F$32)</f>
        <v>0</v>
      </c>
      <c r="Y46" s="59">
        <f>IF(AND(Y70&gt;0,X60&lt;X35),0,Y43*Assumptions!$F$32)</f>
        <v>0</v>
      </c>
      <c r="Z46" s="59">
        <f>IF(AND(Z70&gt;0,Y60&lt;Y35),0,Z43*Assumptions!$F$32)</f>
        <v>0</v>
      </c>
      <c r="AA46" s="59">
        <f>IF(AND(AA70&gt;0,Z60&lt;Z35),0,AA43*Assumptions!$F$32)</f>
        <v>0</v>
      </c>
      <c r="AB46" s="59">
        <f>IF(AND(AB70&gt;0,AA60&lt;AA35),0,AB43*Assumptions!$F$32)</f>
        <v>0</v>
      </c>
      <c r="AC46" s="59">
        <f>IF(AND(AC70&gt;0,AB60&lt;AB35),0,AC43*Assumptions!$F$32)</f>
        <v>0</v>
      </c>
      <c r="AD46" s="59">
        <f>IF(AND(AD70&gt;0,AC60&lt;AC35),0,AD43*Assumptions!$F$32)</f>
        <v>0</v>
      </c>
      <c r="AE46" s="59">
        <f>IF(AND(AE70&gt;0,AD60&lt;AD35),0,AE43*Assumptions!$F$32)</f>
        <v>0</v>
      </c>
      <c r="AF46" s="59">
        <f>IF(AND(AF70&gt;0,AE60&lt;AE35),0,AF43*Assumptions!$F$32)</f>
        <v>39913.982099758454</v>
      </c>
      <c r="AG46" s="59">
        <f>IF(AND(AG70&gt;0,AF60&lt;AF35),0,AG43*Assumptions!$F$32)</f>
        <v>39510.85088055089</v>
      </c>
      <c r="AH46" s="59">
        <f>IF(AND(AH70&gt;0,AG60&lt;AG35),0,AH43*Assumptions!$F$32)</f>
        <v>39111.791286657332</v>
      </c>
      <c r="AI46" s="59">
        <f>IF(AND(AI70&gt;0,AH60&lt;AH35),0,AI43*Assumptions!$F$32)</f>
        <v>38716.762194662093</v>
      </c>
      <c r="AJ46" s="59">
        <f>IF(AND(AJ70&gt;0,AI60&lt;AI35),0,AJ43*Assumptions!$F$32)</f>
        <v>38325.722896496009</v>
      </c>
      <c r="AK46" s="59">
        <f>IF(AND(AK70&gt;0,AJ60&lt;AJ35),0,AK43*Assumptions!$F$32)</f>
        <v>37938.633095241399</v>
      </c>
      <c r="AL46" s="59">
        <f>IF(AND(AL70&gt;0,AK60&lt;AK35),0,AL43*Assumptions!$F$32)</f>
        <v>37555.452900979464</v>
      </c>
      <c r="AM46" s="59">
        <f>IF(AND(AM70&gt;0,AL60&lt;AL35),0,AM43*Assumptions!$F$32)</f>
        <v>37176.14282667957</v>
      </c>
      <c r="AN46" s="59">
        <f>IF(AND(AN70&gt;0,AM60&lt;AM35),0,AN43*Assumptions!$F$32)</f>
        <v>36800.663784130105</v>
      </c>
      <c r="AO46" s="59">
        <f>IF(AND(AO70&gt;0,AN60&lt;AN35),0,AO43*Assumptions!$F$32)</f>
        <v>36428.977079910394</v>
      </c>
      <c r="AP46" s="59">
        <f>IF(AND(AP70&gt;0,AO60&lt;AO35),0,AP43*Assumptions!$F$32)</f>
        <v>36061.044411403294</v>
      </c>
      <c r="AQ46" s="59">
        <f>IF(AND(AQ70&gt;0,AP60&lt;AP35),0,AQ43*Assumptions!$F$32)</f>
        <v>35696.82786284812</v>
      </c>
      <c r="AR46" s="59">
        <f>IF(AND(AR70&gt;0,AQ60&lt;AQ35),0,AR43*Assumptions!$F$32)</f>
        <v>35336.289901433352</v>
      </c>
      <c r="AS46" s="59">
        <f>IF(AND(AS70&gt;0,AR60&lt;AR35),0,AS43*Assumptions!$F$32)</f>
        <v>34979.393373428873</v>
      </c>
      <c r="AT46" s="59">
        <f>IF(AND(AT70&gt;0,AS60&lt;AS35),0,AT43*Assumptions!$F$32)</f>
        <v>34626.101500357247</v>
      </c>
      <c r="AU46" s="59">
        <f>IF(AND(AU70&gt;0,AT60&lt;AT35),0,AU43*Assumptions!$F$32)</f>
        <v>34276.377875203638</v>
      </c>
      <c r="AV46" s="59">
        <f>IF(AND(AV70&gt;0,AU60&lt;AU35),0,AV43*Assumptions!$F$32)</f>
        <v>33930.186458664073</v>
      </c>
      <c r="AW46" s="59">
        <f>IF(AND(AW70&gt;0,AV60&lt;AV35),0,AW43*Assumptions!$F$32)</f>
        <v>33587.491575431566</v>
      </c>
      <c r="AX46" s="59">
        <f>IF(AND(AX70&gt;0,AW60&lt;AW35),0,AX43*Assumptions!$F$32)</f>
        <v>33248.257910519707</v>
      </c>
      <c r="AY46" s="59">
        <f>IF(AND(AY70&gt;0,AX60&lt;AX35),0,AY43*Assumptions!$F$32)</f>
        <v>32912.450505623456</v>
      </c>
      <c r="AZ46" s="59">
        <f>IF(AND(AZ70&gt;0,AY60&lt;AY35),0,AZ43*Assumptions!$F$32)</f>
        <v>32580.034755516659</v>
      </c>
      <c r="BA46" s="59">
        <f>IF(AND(BA70&gt;0,AZ60&lt;AZ35),0,BA43*Assumptions!$F$32)</f>
        <v>32250.97640448594</v>
      </c>
      <c r="BB46" s="59">
        <f>IF(AND(BB70&gt;0,BA60&lt;BA35),0,BB43*Assumptions!$F$32)</f>
        <v>31925.241542800632</v>
      </c>
      <c r="BC46" s="59">
        <f>IF(AND(BC70&gt;0,BB60&lt;BB35),0,BC43*Assumptions!$F$32)</f>
        <v>31602.796603218347</v>
      </c>
      <c r="BD46" s="59">
        <f>IF(AND(BD70&gt;0,BC60&lt;BC35),0,BD43*Assumptions!$F$32)</f>
        <v>31283.608357525842</v>
      </c>
      <c r="BE46" s="59">
        <f>IF(AND(BE70&gt;0,BD60&lt;BD35),0,BE43*Assumptions!$F$32)</f>
        <v>30967.643913114829</v>
      </c>
      <c r="BF46" s="59">
        <f>IF(AND(BF70&gt;0,BE60&lt;BE35),0,BF43*Assumptions!$F$32)</f>
        <v>30654.870709592375</v>
      </c>
      <c r="BG46" s="59">
        <f>IF(AND(BG70&gt;0,BF60&lt;BF35),0,BG43*Assumptions!$F$32)</f>
        <v>30345.256515425488</v>
      </c>
      <c r="BH46" s="59">
        <f>IF(AND(BH70&gt;0,BG60&lt;BG35),0,BH43*Assumptions!$F$32)</f>
        <v>30038.769424619692</v>
      </c>
      <c r="BI46" s="59">
        <f>IF(AND(BI70&gt;0,BH60&lt;BH35),0,BI43*Assumptions!$F$32)</f>
        <v>29735.377853431033</v>
      </c>
      <c r="BJ46" s="59">
        <f>IF(AND(BJ70&gt;0,BI60&lt;BI35),0,BJ43*Assumptions!$F$32)</f>
        <v>29435.050537111383</v>
      </c>
      <c r="BK46" s="59">
        <f>IF(AND(BK70&gt;0,BJ60&lt;BJ35),0,BK43*Assumptions!$F$32)</f>
        <v>29137.756526686557</v>
      </c>
      <c r="BL46" s="59">
        <f>IF(AND(BL70&gt;0,BK60&lt;BK35),0,BL43*Assumptions!$F$32)</f>
        <v>28843.465185767025</v>
      </c>
      <c r="BM46" s="59">
        <f>IF(AND(BM70&gt;0,BL60&lt;BL35),0,BM43*Assumptions!$F$32)</f>
        <v>28552.146187390783</v>
      </c>
      <c r="BN46" s="59">
        <f>IF(AND(BN70&gt;0,BM60&lt;BM35),0,BN43*Assumptions!$F$32)</f>
        <v>28263.769510898132</v>
      </c>
      <c r="BO46" s="59">
        <f>IF(AND(BO70&gt;0,BN60&lt;BN35),0,BO43*Assumptions!$F$32)</f>
        <v>27978.305438838062</v>
      </c>
      <c r="BP46" s="59">
        <f>IF(AND(BP70&gt;0,BO60&lt;BO35),0,BP43*Assumptions!$F$32)</f>
        <v>27695.724553905799</v>
      </c>
      <c r="BQ46" s="59">
        <f>IF(AND(BQ70&gt;0,BP60&lt;BP35),0,BQ43*Assumptions!$F$32)</f>
        <v>27415.997735911347</v>
      </c>
      <c r="BR46" s="59">
        <f>IF(AND(BR70&gt;0,BQ60&lt;BQ35),0,BR43*Assumptions!$F$32)</f>
        <v>27139.096158778644</v>
      </c>
      <c r="BS46" s="59">
        <f>IF(AND(BS70&gt;0,BR60&lt;BR35),0,BS43*Assumptions!$F$32)</f>
        <v>26864.991287574976</v>
      </c>
      <c r="BT46" s="59">
        <f>IF(AND(BT70&gt;0,BS60&lt;BS35),0,BT43*Assumptions!$F$32)</f>
        <v>26593.654875570464</v>
      </c>
      <c r="BU46" s="59">
        <f>IF(AND(BU70&gt;0,BT60&lt;BT35),0,BU43*Assumptions!$F$32)</f>
        <v>26325.058961327202</v>
      </c>
      <c r="BV46" s="59">
        <f>IF(AND(BV70&gt;0,BU60&lt;BU35),0,BV43*Assumptions!$F$32)</f>
        <v>26059.175865817801</v>
      </c>
      <c r="BW46" s="59">
        <f>IF(AND(BW70&gt;0,BV60&lt;BV35),0,BW43*Assumptions!$F$32)</f>
        <v>25795.978189573041</v>
      </c>
      <c r="BX46" s="59">
        <f>IF(AND(BX70&gt;0,BW60&lt;BW35),0,BX43*Assumptions!$F$32)</f>
        <v>25535.438809858351</v>
      </c>
      <c r="BY46" s="59">
        <f>IF(AND(BY70&gt;0,BX60&lt;BX35),0,BY43*Assumptions!$F$32)</f>
        <v>25277.53087787878</v>
      </c>
      <c r="BZ46" s="59">
        <f>IF(AND(BZ70&gt;0,BY60&lt;BY35),0,BZ43*Assumptions!$F$32)</f>
        <v>25022.2278160122</v>
      </c>
      <c r="CA46" s="59">
        <f>IF(AND(CA70&gt;0,BZ60&lt;BZ35),0,CA43*Assumptions!$F$32)</f>
        <v>24769.503315070477</v>
      </c>
      <c r="CB46" s="59">
        <f>IF(AND(CB70&gt;0,CA60&lt;CA35),0,CB43*Assumptions!$F$32)</f>
        <v>24519.331331588262</v>
      </c>
      <c r="CC46" s="59">
        <f>IF(AND(CC70&gt;0,CB60&lt;CB35),0,CC43*Assumptions!$F$32)</f>
        <v>24271.686085139223</v>
      </c>
      <c r="CD46" s="59">
        <f>IF(AND(CD70&gt;0,CC60&lt;CC35),0,CD43*Assumptions!$F$32)</f>
        <v>24026.542055679314</v>
      </c>
      <c r="CE46" s="59">
        <f>IF(AND(CE70&gt;0,CD60&lt;CD35),0,CE43*Assumptions!$F$32)</f>
        <v>23783.873980916953</v>
      </c>
      <c r="CF46" s="59">
        <f>IF(AND(CF70&gt;0,CE60&lt;CE35),0,CF43*Assumptions!$F$32)</f>
        <v>23543.656853709694</v>
      </c>
      <c r="CG46" s="59">
        <f>IF(AND(CG70&gt;0,CF60&lt;CF35),0,CG43*Assumptions!$F$32)</f>
        <v>23305.865919487227</v>
      </c>
      <c r="CH46" s="59">
        <f>IF(AND(CH70&gt;0,CG60&lt;CG35),0,CH43*Assumptions!$F$32)</f>
        <v>23070.476673700403</v>
      </c>
      <c r="CI46" s="59">
        <f>IF(AND(CI70&gt;0,CH60&lt;CH35),0,CI43*Assumptions!$F$32)</f>
        <v>22837.464859296029</v>
      </c>
      <c r="CJ46" s="59">
        <f>IF(AND(CJ70&gt;0,CI60&lt;CI35),0,CJ43*Assumptions!$F$32)</f>
        <v>22606.806464217138</v>
      </c>
      <c r="CK46" s="59">
        <f>IF(AND(CK70&gt;0,CJ60&lt;CJ35),0,CK43*Assumptions!$F$32)</f>
        <v>22378.477718928545</v>
      </c>
      <c r="CL46" s="59">
        <f>IF(AND(CL70&gt;0,CK60&lt;CK35),0,CL43*Assumptions!$F$32)</f>
        <v>22152.455093967365</v>
      </c>
      <c r="CM46" s="59">
        <f>IF(AND(CM70&gt;0,CL60&lt;CL35),0,CM43*Assumptions!$F$32)</f>
        <v>21928.715297518298</v>
      </c>
      <c r="CN46" s="59">
        <f>IF(AND(CN70&gt;0,CM60&lt;CM35),0,CN43*Assumptions!$F$32)</f>
        <v>21707.235273013364</v>
      </c>
      <c r="CO46" s="59">
        <f>IF(AND(CO70&gt;0,CN60&lt;CN35),0,CO43*Assumptions!$F$32)</f>
        <v>21487.992196755928</v>
      </c>
      <c r="CP46" s="59">
        <f>IF(AND(CP70&gt;0,CO60&lt;CO35),0,CP43*Assumptions!$F$32)</f>
        <v>21270.963475568693</v>
      </c>
      <c r="CQ46" s="59">
        <f>IF(AND(CQ70&gt;0,CP60&lt;CP35),0,CQ43*Assumptions!$F$32)</f>
        <v>21056.126744465451</v>
      </c>
      <c r="CR46" s="59">
        <f>IF(AND(CR70&gt;0,CQ60&lt;CQ35),0,CR43*Assumptions!$F$32)</f>
        <v>20843.459864346351</v>
      </c>
      <c r="CS46" s="59">
        <f>IF(AND(CS70&gt;0,CR60&lt;CR35),0,CS43*Assumptions!$F$32)</f>
        <v>20632.940919716453</v>
      </c>
      <c r="CT46" s="59">
        <f>IF(AND(CT70&gt;0,CS60&lt;CS35),0,CT43*Assumptions!$F$32)</f>
        <v>20424.54821642732</v>
      </c>
      <c r="CU46" s="59">
        <f>IF(AND(CU70&gt;0,CT60&lt;CT35),0,CU43*Assumptions!$F$32)</f>
        <v>20218.260279441402</v>
      </c>
      <c r="CV46" s="59">
        <f>IF(AND(CV70&gt;0,CU60&lt;CU35),0,CV43*Assumptions!$F$32)</f>
        <v>20014.055850619043</v>
      </c>
      <c r="CW46" s="59">
        <f>IF(AND(CW70&gt;0,CV60&lt;CV35),0,CW43*Assumptions!$F$32)</f>
        <v>19811.913886527793</v>
      </c>
      <c r="CX46" s="59">
        <f>IF(AND(CX70&gt;0,CW60&lt;CW35),0,CX43*Assumptions!$F$32)</f>
        <v>19611.813556273861</v>
      </c>
      <c r="CY46" s="59">
        <f>IF(AND(CY70&gt;0,CX60&lt;CX35),0,CY43*Assumptions!$F$32)</f>
        <v>19413.734239355494</v>
      </c>
      <c r="CZ46" s="59">
        <f>IF(AND(CZ70&gt;0,CY60&lt;CY35),0,CZ43*Assumptions!$F$32)</f>
        <v>19217.655523538004</v>
      </c>
      <c r="DA46" s="59">
        <f>IF(AND(DA70&gt;0,CZ60&lt;CZ35),0,DA43*Assumptions!$F$32)</f>
        <v>19023.557202750271</v>
      </c>
      <c r="DB46" s="59">
        <f>IF(AND(DB70&gt;0,DA60&lt;DA35),0,DB43*Assumptions!$F$32)</f>
        <v>18831.419275002492</v>
      </c>
      <c r="DC46" s="59">
        <f>IF(AND(DC70&gt;0,DB60&lt;DB35),0,DC43*Assumptions!$F$32)</f>
        <v>18641.221940324966</v>
      </c>
      <c r="DD46" s="59">
        <f>IF(AND(DD70&gt;0,DC60&lt;DC35),0,DD43*Assumptions!$F$32)</f>
        <v>18452.945598727685</v>
      </c>
      <c r="DE46" s="59">
        <f>IF(AND(DE70&gt;0,DD60&lt;DD35),0,DE43*Assumptions!$F$32)</f>
        <v>18266.570848180534</v>
      </c>
      <c r="DF46" s="59">
        <f>IF(AND(DF70&gt;0,DE60&lt;DE35),0,DF43*Assumptions!$F$32)</f>
        <v>18082.078482613913</v>
      </c>
      <c r="DG46" s="59">
        <f>IF(AND(DG70&gt;0,DF60&lt;DF35),0,DG43*Assumptions!$F$32)</f>
        <v>17899.449489939514</v>
      </c>
      <c r="DH46" s="59">
        <f>IF(AND(DH70&gt;0,DG60&lt;DG35),0,DH43*Assumptions!$F$32)</f>
        <v>17718.665050091124</v>
      </c>
      <c r="DI46" s="59">
        <f>IF(AND(DI70&gt;0,DH60&lt;DH35),0,DI43*Assumptions!$F$32)</f>
        <v>17539.706533085206</v>
      </c>
      <c r="DJ46" s="59">
        <f>IF(AND(DJ70&gt;0,DI60&lt;DI35),0,DJ43*Assumptions!$F$32)</f>
        <v>17362.555497101042</v>
      </c>
      <c r="DK46" s="59">
        <f>IF(AND(DK70&gt;0,DJ60&lt;DJ35),0,DK43*Assumptions!$F$32)</f>
        <v>17187.193686580322</v>
      </c>
      <c r="DL46" s="59">
        <f>IF(AND(DL70&gt;0,DK60&lt;DK35),0,DL43*Assumptions!$F$32)</f>
        <v>17013.603030345861</v>
      </c>
      <c r="DM46" s="59">
        <f>IF(AND(DM70&gt;0,DL60&lt;DL35),0,DM43*Assumptions!$F$32)</f>
        <v>16841.765639739369</v>
      </c>
      <c r="DN46" s="59">
        <f>IF(AND(DN70&gt;0,DM60&lt;DM35),0,DN43*Assumptions!$F$32)</f>
        <v>16671.663806778</v>
      </c>
      <c r="DO46" s="59">
        <f>IF(AND(DO70&gt;0,DN60&lt;DN35),0,DO43*Assumptions!$F$32)</f>
        <v>16503.280002329542</v>
      </c>
      <c r="DP46" s="59">
        <f>IF(AND(DP70&gt;0,DO60&lt;DO35),0,DP43*Assumptions!$F$32)</f>
        <v>16336.596874306015</v>
      </c>
      <c r="DQ46" s="59">
        <f>IF(AND(DQ70&gt;0,DP60&lt;DP35),0,DQ43*Assumptions!$F$32)</f>
        <v>16171.597245875524</v>
      </c>
      <c r="DR46" s="59">
        <f>IF(AND(DR70&gt;0,DQ60&lt;DQ35),0,DR43*Assumptions!$F$32)</f>
        <v>16008.264113692181</v>
      </c>
      <c r="DS46" s="59">
        <f>IF(AND(DS70&gt;0,DR60&lt;DR35),0,DS43*Assumptions!$F$32)</f>
        <v>15846.580646143891</v>
      </c>
      <c r="DT46" s="59">
        <f>IF(AND(DT70&gt;0,DS60&lt;DS35),0,DT43*Assumptions!$F$32)</f>
        <v>15686.530181617836</v>
      </c>
      <c r="DU46" s="60">
        <f>IF(AND(DU70&gt;0,DT60&lt;DT35),0,DU43*Assumptions!$F$32)</f>
        <v>94119.18108970701</v>
      </c>
    </row>
    <row r="47" spans="1:126" s="4" customFormat="1" x14ac:dyDescent="0.4">
      <c r="A47" s="4" t="s">
        <v>36</v>
      </c>
      <c r="B47" s="74"/>
      <c r="C47" s="102" t="s">
        <v>84</v>
      </c>
      <c r="D47" s="91"/>
      <c r="E47" s="90">
        <f>SUM(E48:E49)</f>
        <v>0</v>
      </c>
      <c r="F47" s="90">
        <f t="shared" ref="F47:BQ47" si="41">SUM(F48:F49)</f>
        <v>0</v>
      </c>
      <c r="G47" s="90">
        <f t="shared" si="41"/>
        <v>0</v>
      </c>
      <c r="H47" s="90">
        <f t="shared" si="41"/>
        <v>0</v>
      </c>
      <c r="I47" s="90">
        <f t="shared" si="41"/>
        <v>0</v>
      </c>
      <c r="J47" s="90">
        <f t="shared" si="41"/>
        <v>0</v>
      </c>
      <c r="K47" s="90">
        <f t="shared" si="41"/>
        <v>0</v>
      </c>
      <c r="L47" s="90">
        <f t="shared" si="41"/>
        <v>0</v>
      </c>
      <c r="M47" s="90">
        <f t="shared" si="41"/>
        <v>0</v>
      </c>
      <c r="N47" s="90">
        <f t="shared" si="41"/>
        <v>0</v>
      </c>
      <c r="O47" s="90">
        <f t="shared" si="41"/>
        <v>0</v>
      </c>
      <c r="P47" s="90">
        <f t="shared" si="41"/>
        <v>0</v>
      </c>
      <c r="Q47" s="90">
        <f t="shared" si="41"/>
        <v>0</v>
      </c>
      <c r="R47" s="90">
        <f t="shared" si="41"/>
        <v>0</v>
      </c>
      <c r="S47" s="90">
        <f t="shared" si="41"/>
        <v>0</v>
      </c>
      <c r="T47" s="90">
        <f t="shared" si="41"/>
        <v>0</v>
      </c>
      <c r="U47" s="90">
        <f t="shared" si="41"/>
        <v>0</v>
      </c>
      <c r="V47" s="90">
        <f t="shared" si="41"/>
        <v>0</v>
      </c>
      <c r="W47" s="90">
        <f t="shared" si="41"/>
        <v>0</v>
      </c>
      <c r="X47" s="90">
        <f t="shared" si="41"/>
        <v>0</v>
      </c>
      <c r="Y47" s="90">
        <f t="shared" si="41"/>
        <v>0</v>
      </c>
      <c r="Z47" s="90">
        <f t="shared" si="41"/>
        <v>0</v>
      </c>
      <c r="AA47" s="90">
        <f t="shared" si="41"/>
        <v>0</v>
      </c>
      <c r="AB47" s="90">
        <f t="shared" si="41"/>
        <v>0</v>
      </c>
      <c r="AC47" s="90">
        <f t="shared" si="41"/>
        <v>0</v>
      </c>
      <c r="AD47" s="90">
        <f t="shared" si="41"/>
        <v>0</v>
      </c>
      <c r="AE47" s="90">
        <f t="shared" si="41"/>
        <v>0</v>
      </c>
      <c r="AF47" s="90">
        <f t="shared" si="41"/>
        <v>127344.60955637222</v>
      </c>
      <c r="AG47" s="90">
        <f t="shared" si="41"/>
        <v>126058.42899985285</v>
      </c>
      <c r="AH47" s="90">
        <f t="shared" si="41"/>
        <v>124785.23886695434</v>
      </c>
      <c r="AI47" s="90">
        <f t="shared" si="41"/>
        <v>123524.90795439811</v>
      </c>
      <c r="AJ47" s="90">
        <f t="shared" si="41"/>
        <v>122277.30638405868</v>
      </c>
      <c r="AK47" s="90">
        <f t="shared" si="41"/>
        <v>121042.3055895797</v>
      </c>
      <c r="AL47" s="90">
        <f t="shared" si="41"/>
        <v>119819.77830312494</v>
      </c>
      <c r="AM47" s="90">
        <f t="shared" si="41"/>
        <v>118609.59854226338</v>
      </c>
      <c r="AN47" s="90">
        <f t="shared" si="41"/>
        <v>117411.64159698653</v>
      </c>
      <c r="AO47" s="90">
        <f t="shared" si="41"/>
        <v>116225.78401685697</v>
      </c>
      <c r="AP47" s="90">
        <f t="shared" si="41"/>
        <v>115051.90359828671</v>
      </c>
      <c r="AQ47" s="90">
        <f t="shared" si="41"/>
        <v>113889.87937194401</v>
      </c>
      <c r="AR47" s="90">
        <f t="shared" si="41"/>
        <v>112739.59159028738</v>
      </c>
      <c r="AS47" s="90">
        <f t="shared" si="41"/>
        <v>111600.92171522549</v>
      </c>
      <c r="AT47" s="90">
        <f t="shared" si="41"/>
        <v>110473.7524059017</v>
      </c>
      <c r="AU47" s="90">
        <f t="shared" si="41"/>
        <v>109357.9675066021</v>
      </c>
      <c r="AV47" s="90">
        <f t="shared" si="41"/>
        <v>108253.45203478543</v>
      </c>
      <c r="AW47" s="90">
        <f t="shared" si="41"/>
        <v>107160.09216923409</v>
      </c>
      <c r="AX47" s="90">
        <f t="shared" si="41"/>
        <v>106077.77523832482</v>
      </c>
      <c r="AY47" s="90">
        <f t="shared" si="41"/>
        <v>105006.38970841774</v>
      </c>
      <c r="AZ47" s="90">
        <f t="shared" si="41"/>
        <v>103945.82517236272</v>
      </c>
      <c r="BA47" s="90">
        <f t="shared" si="41"/>
        <v>102895.97233812185</v>
      </c>
      <c r="BB47" s="90">
        <f t="shared" si="41"/>
        <v>101856.72301750683</v>
      </c>
      <c r="BC47" s="90">
        <f t="shared" si="41"/>
        <v>100827.97011503001</v>
      </c>
      <c r="BD47" s="90">
        <f t="shared" si="41"/>
        <v>99809.607616868205</v>
      </c>
      <c r="BE47" s="90">
        <f t="shared" si="41"/>
        <v>98801.53057993784</v>
      </c>
      <c r="BF47" s="90">
        <f t="shared" si="41"/>
        <v>97803.635121080471</v>
      </c>
      <c r="BG47" s="90">
        <f t="shared" si="41"/>
        <v>96815.818406357561</v>
      </c>
      <c r="BH47" s="90">
        <f t="shared" si="41"/>
        <v>95837.978640453352</v>
      </c>
      <c r="BI47" s="90">
        <f t="shared" si="41"/>
        <v>94870.015056184784</v>
      </c>
      <c r="BJ47" s="90">
        <f t="shared" si="41"/>
        <v>93911.827904117323</v>
      </c>
      <c r="BK47" s="90">
        <f t="shared" si="41"/>
        <v>92963.31844228573</v>
      </c>
      <c r="BL47" s="90">
        <f t="shared" si="41"/>
        <v>92024.388926018641</v>
      </c>
      <c r="BM47" s="90">
        <f t="shared" si="41"/>
        <v>91094.942597865869</v>
      </c>
      <c r="BN47" s="90">
        <f t="shared" si="41"/>
        <v>90174.883677627426</v>
      </c>
      <c r="BO47" s="90">
        <f t="shared" si="41"/>
        <v>89264.117352483387</v>
      </c>
      <c r="BP47" s="90">
        <f t="shared" si="41"/>
        <v>88362.549767223289</v>
      </c>
      <c r="BQ47" s="90">
        <f t="shared" si="41"/>
        <v>87470.088014574343</v>
      </c>
      <c r="BR47" s="90">
        <f t="shared" ref="BR47:DU47" si="42">SUM(BR48:BR49)</f>
        <v>86586.640125627135</v>
      </c>
      <c r="BS47" s="90">
        <f t="shared" si="42"/>
        <v>85712.115060358294</v>
      </c>
      <c r="BT47" s="90">
        <f t="shared" si="42"/>
        <v>84846.422698248673</v>
      </c>
      <c r="BU47" s="90">
        <f t="shared" si="42"/>
        <v>83989.473828996357</v>
      </c>
      <c r="BV47" s="90">
        <f t="shared" si="42"/>
        <v>83141.180143323494</v>
      </c>
      <c r="BW47" s="90">
        <f t="shared" si="42"/>
        <v>82301.454223875931</v>
      </c>
      <c r="BX47" s="90">
        <f t="shared" si="42"/>
        <v>81470.209536214781</v>
      </c>
      <c r="BY47" s="90">
        <f t="shared" si="42"/>
        <v>80647.360419899007</v>
      </c>
      <c r="BZ47" s="90">
        <f t="shared" si="42"/>
        <v>79832.822079658043</v>
      </c>
      <c r="CA47" s="90">
        <f t="shared" si="42"/>
        <v>79026.510576653483</v>
      </c>
      <c r="CB47" s="90">
        <f t="shared" si="42"/>
        <v>78228.342819829282</v>
      </c>
      <c r="CC47" s="90">
        <f t="shared" si="42"/>
        <v>77438.23655734901</v>
      </c>
      <c r="CD47" s="90">
        <f t="shared" si="42"/>
        <v>76656.110368119771</v>
      </c>
      <c r="CE47" s="90">
        <f t="shared" si="42"/>
        <v>75881.883653401761</v>
      </c>
      <c r="CF47" s="90">
        <f t="shared" si="42"/>
        <v>75115.476628502409</v>
      </c>
      <c r="CG47" s="90">
        <f t="shared" si="42"/>
        <v>74356.810314554546</v>
      </c>
      <c r="CH47" s="90">
        <f t="shared" si="42"/>
        <v>73605.806530377537</v>
      </c>
      <c r="CI47" s="90">
        <f t="shared" si="42"/>
        <v>72862.387884420721</v>
      </c>
      <c r="CJ47" s="90">
        <f t="shared" si="42"/>
        <v>72126.47776678807</v>
      </c>
      <c r="CK47" s="90">
        <f t="shared" si="42"/>
        <v>71398.000341343519</v>
      </c>
      <c r="CL47" s="90">
        <f t="shared" si="42"/>
        <v>70676.880537895951</v>
      </c>
      <c r="CM47" s="90">
        <f t="shared" si="42"/>
        <v>69963.044044463197</v>
      </c>
      <c r="CN47" s="90">
        <f t="shared" si="42"/>
        <v>69256.417299614128</v>
      </c>
      <c r="CO47" s="90">
        <f t="shared" si="42"/>
        <v>68556.927484888016</v>
      </c>
      <c r="CP47" s="90">
        <f t="shared" si="42"/>
        <v>67864.502517290646</v>
      </c>
      <c r="CQ47" s="90">
        <f t="shared" si="42"/>
        <v>67179.071041866016</v>
      </c>
      <c r="CR47" s="90">
        <f t="shared" si="42"/>
        <v>66500.562424343167</v>
      </c>
      <c r="CS47" s="90">
        <f t="shared" si="42"/>
        <v>65828.906743857311</v>
      </c>
      <c r="CT47" s="90">
        <f t="shared" si="42"/>
        <v>65164.034785744348</v>
      </c>
      <c r="CU47" s="90">
        <f t="shared" si="42"/>
        <v>64505.878034408335</v>
      </c>
      <c r="CV47" s="90">
        <f t="shared" si="42"/>
        <v>63854.368666260809</v>
      </c>
      <c r="CW47" s="90">
        <f t="shared" si="42"/>
        <v>63209.439542731569</v>
      </c>
      <c r="CX47" s="90">
        <f t="shared" si="42"/>
        <v>62571.024203349982</v>
      </c>
      <c r="CY47" s="90">
        <f t="shared" si="42"/>
        <v>61939.056858896147</v>
      </c>
      <c r="CZ47" s="90">
        <f t="shared" si="42"/>
        <v>61313.472384621295</v>
      </c>
      <c r="DA47" s="90">
        <f t="shared" si="42"/>
        <v>60694.206313536619</v>
      </c>
      <c r="DB47" s="90">
        <f t="shared" si="42"/>
        <v>60081.194829769898</v>
      </c>
      <c r="DC47" s="90">
        <f t="shared" si="42"/>
        <v>59474.374761989224</v>
      </c>
      <c r="DD47" s="90">
        <f t="shared" si="42"/>
        <v>58873.683576893134</v>
      </c>
      <c r="DE47" s="90">
        <f t="shared" si="42"/>
        <v>58279.059372766518</v>
      </c>
      <c r="DF47" s="90">
        <f t="shared" si="42"/>
        <v>57690.440873101579</v>
      </c>
      <c r="DG47" s="90">
        <f t="shared" si="42"/>
        <v>57107.76742028325</v>
      </c>
      <c r="DH47" s="90">
        <f t="shared" si="42"/>
        <v>56530.978969338386</v>
      </c>
      <c r="DI47" s="90">
        <f t="shared" si="42"/>
        <v>55960.016081748072</v>
      </c>
      <c r="DJ47" s="90">
        <f t="shared" si="42"/>
        <v>55394.819919322414</v>
      </c>
      <c r="DK47" s="90">
        <f t="shared" si="42"/>
        <v>54835.332238137256</v>
      </c>
      <c r="DL47" s="90">
        <f t="shared" si="42"/>
        <v>54281.49538253207</v>
      </c>
      <c r="DM47" s="90">
        <f t="shared" si="42"/>
        <v>53733.252279168504</v>
      </c>
      <c r="DN47" s="90">
        <f t="shared" si="42"/>
        <v>53190.546431148898</v>
      </c>
      <c r="DO47" s="90">
        <f t="shared" si="42"/>
        <v>52653.321912194297</v>
      </c>
      <c r="DP47" s="90">
        <f t="shared" si="42"/>
        <v>52121.523360881132</v>
      </c>
      <c r="DQ47" s="90">
        <f t="shared" si="42"/>
        <v>51595.09597493623</v>
      </c>
      <c r="DR47" s="90">
        <f t="shared" si="42"/>
        <v>51073.985505589379</v>
      </c>
      <c r="DS47" s="90">
        <f t="shared" si="42"/>
        <v>50558.138251982928</v>
      </c>
      <c r="DT47" s="90">
        <f t="shared" si="42"/>
        <v>50047.501055637898</v>
      </c>
      <c r="DU47" s="88">
        <f t="shared" si="42"/>
        <v>300285.00633382733</v>
      </c>
    </row>
    <row r="48" spans="1:126" x14ac:dyDescent="0.4">
      <c r="B48" s="39"/>
      <c r="C48" s="55" t="s">
        <v>60</v>
      </c>
      <c r="D48" s="62"/>
      <c r="E48" s="59">
        <f>IF(AND(E68&gt;0,D60&lt;D35),0,E42*Assumptions!$E$33)</f>
        <v>0</v>
      </c>
      <c r="F48" s="59">
        <f>IF(AND(F68&gt;0,E60&lt;E35),0,F42*Assumptions!$E$33)</f>
        <v>0</v>
      </c>
      <c r="G48" s="59">
        <f>IF(AND(G68&gt;0,F60&lt;F35),0,G42*Assumptions!$E$33)</f>
        <v>0</v>
      </c>
      <c r="H48" s="59">
        <f>IF(AND(H68&gt;0,G60&lt;G35),0,H42*Assumptions!$E$33)</f>
        <v>0</v>
      </c>
      <c r="I48" s="59">
        <f>IF(AND(I68&gt;0,H60&lt;H35),0,I42*Assumptions!$E$33)</f>
        <v>0</v>
      </c>
      <c r="J48" s="59">
        <f>IF(AND(J68&gt;0,I60&lt;I35),0,J42*Assumptions!$E$33)</f>
        <v>0</v>
      </c>
      <c r="K48" s="59">
        <f>IF(AND(K68&gt;0,J60&lt;J35),0,K42*Assumptions!$E$33)</f>
        <v>0</v>
      </c>
      <c r="L48" s="59">
        <f>IF(AND(L68&gt;0,K60&lt;K35),0,L42*Assumptions!$E$33)</f>
        <v>0</v>
      </c>
      <c r="M48" s="59">
        <f>IF(AND(M68&gt;0,L60&lt;L35),0,M42*Assumptions!$E$33)</f>
        <v>0</v>
      </c>
      <c r="N48" s="59">
        <f>IF(AND(N68&gt;0,M60&lt;M35),0,N42*Assumptions!$E$33)</f>
        <v>0</v>
      </c>
      <c r="O48" s="59">
        <f>IF(AND(O68&gt;0,N60&lt;N35),0,O42*Assumptions!$E$33)</f>
        <v>0</v>
      </c>
      <c r="P48" s="59">
        <f>IF(AND(P68&gt;0,O60&lt;O35),0,P42*Assumptions!$E$33)</f>
        <v>0</v>
      </c>
      <c r="Q48" s="59">
        <f>IF(AND(Q68&gt;0,P60&lt;P35),0,Q42*Assumptions!$E$33)</f>
        <v>0</v>
      </c>
      <c r="R48" s="59">
        <f>IF(AND(R68&gt;0,Q60&lt;Q35),0,R42*Assumptions!$E$33)</f>
        <v>0</v>
      </c>
      <c r="S48" s="59">
        <f>IF(AND(S68&gt;0,R60&lt;R35),0,S42*Assumptions!$E$33)</f>
        <v>0</v>
      </c>
      <c r="T48" s="59">
        <f>IF(AND(T68&gt;0,S60&lt;S35),0,T42*Assumptions!$E$33)</f>
        <v>0</v>
      </c>
      <c r="U48" s="59">
        <f>IF(AND(U68&gt;0,T60&lt;T35),0,U42*Assumptions!$E$33)</f>
        <v>0</v>
      </c>
      <c r="V48" s="59">
        <f>IF(AND(V68&gt;0,U60&lt;U35),0,V42*Assumptions!$E$33)</f>
        <v>0</v>
      </c>
      <c r="W48" s="59">
        <f>IF(AND(W68&gt;0,V60&lt;V35),0,W42*Assumptions!$E$33)</f>
        <v>0</v>
      </c>
      <c r="X48" s="59">
        <f>IF(AND(X68&gt;0,W60&lt;W35),0,X42*Assumptions!$E$33)</f>
        <v>0</v>
      </c>
      <c r="Y48" s="59">
        <f>IF(AND(Y68&gt;0,X60&lt;X35),0,Y42*Assumptions!$E$33)</f>
        <v>0</v>
      </c>
      <c r="Z48" s="59">
        <f>IF(AND(Z68&gt;0,Y60&lt;Y35),0,Z42*Assumptions!$E$33)</f>
        <v>0</v>
      </c>
      <c r="AA48" s="59">
        <f>IF(AND(AA68&gt;0,Z60&lt;Z35),0,AA42*Assumptions!$E$33)</f>
        <v>0</v>
      </c>
      <c r="AB48" s="59">
        <f>IF(AND(AB68&gt;0,AA60&lt;AA35),0,AB42*Assumptions!$E$33)</f>
        <v>0</v>
      </c>
      <c r="AC48" s="59">
        <f>IF(AND(AC68&gt;0,AB60&lt;AB35),0,AC42*Assumptions!$E$33)</f>
        <v>0</v>
      </c>
      <c r="AD48" s="59">
        <f>IF(AND(AD68&gt;0,AC60&lt;AC35),0,AD42*Assumptions!$E$33)</f>
        <v>0</v>
      </c>
      <c r="AE48" s="59">
        <f>IF(AND(AE68&gt;0,AD60&lt;AD35),0,AE42*Assumptions!$E$33)</f>
        <v>0</v>
      </c>
      <c r="AF48" s="59">
        <f>IF(AND(AF68&gt;0,AE60&lt;AE35),0,AF42*Assumptions!$E$33)</f>
        <v>114039.94885645273</v>
      </c>
      <c r="AG48" s="59">
        <f>IF(AND(AG68&gt;0,AF60&lt;AF35),0,AG42*Assumptions!$E$33)</f>
        <v>112888.14537300255</v>
      </c>
      <c r="AH48" s="59">
        <f>IF(AND(AH68&gt;0,AG60&lt;AG35),0,AH42*Assumptions!$E$33)</f>
        <v>111747.97510473523</v>
      </c>
      <c r="AI48" s="59">
        <f>IF(AND(AI68&gt;0,AH60&lt;AH35),0,AI42*Assumptions!$E$33)</f>
        <v>110619.32055617741</v>
      </c>
      <c r="AJ48" s="59">
        <f>IF(AND(AJ68&gt;0,AI60&lt;AI35),0,AJ42*Assumptions!$E$33)</f>
        <v>109502.06541856001</v>
      </c>
      <c r="AK48" s="59">
        <f>IF(AND(AK68&gt;0,AJ60&lt;AJ35),0,AK42*Assumptions!$E$33)</f>
        <v>108396.09455783256</v>
      </c>
      <c r="AL48" s="59">
        <f>IF(AND(AL68&gt;0,AK60&lt;AK35),0,AL42*Assumptions!$E$33)</f>
        <v>107301.29400279846</v>
      </c>
      <c r="AM48" s="59">
        <f>IF(AND(AM68&gt;0,AL60&lt;AL35),0,AM42*Assumptions!$E$33)</f>
        <v>106217.55093337019</v>
      </c>
      <c r="AN48" s="59">
        <f>IF(AND(AN68&gt;0,AM60&lt;AM35),0,AN42*Assumptions!$E$33)</f>
        <v>105144.75366894316</v>
      </c>
      <c r="AO48" s="59">
        <f>IF(AND(AO68&gt;0,AN60&lt;AN35),0,AO42*Assumptions!$E$33)</f>
        <v>104082.79165688684</v>
      </c>
      <c r="AP48" s="59">
        <f>IF(AND(AP68&gt;0,AO60&lt;AO35),0,AP42*Assumptions!$E$33)</f>
        <v>103031.55546115228</v>
      </c>
      <c r="AQ48" s="59">
        <f>IF(AND(AQ68&gt;0,AP60&lt;AP35),0,AQ42*Assumptions!$E$33)</f>
        <v>101990.93675099465</v>
      </c>
      <c r="AR48" s="59">
        <f>IF(AND(AR68&gt;0,AQ60&lt;AQ35),0,AR42*Assumptions!$E$33)</f>
        <v>100960.82828980959</v>
      </c>
      <c r="AS48" s="59">
        <f>IF(AND(AS68&gt;0,AR60&lt;AR35),0,AS42*Assumptions!$E$33)</f>
        <v>99941.123924082523</v>
      </c>
      <c r="AT48" s="59">
        <f>IF(AND(AT68&gt;0,AS60&lt;AS35),0,AT42*Assumptions!$E$33)</f>
        <v>98931.718572449288</v>
      </c>
      <c r="AU48" s="59">
        <f>IF(AND(AU68&gt;0,AT60&lt;AT35),0,AU42*Assumptions!$E$33)</f>
        <v>97932.508214867557</v>
      </c>
      <c r="AV48" s="59">
        <f>IF(AND(AV68&gt;0,AU60&lt;AU35),0,AV42*Assumptions!$E$33)</f>
        <v>96943.389881897398</v>
      </c>
      <c r="AW48" s="59">
        <f>IF(AND(AW68&gt;0,AV60&lt;AV35),0,AW42*Assumptions!$E$33)</f>
        <v>95964.261644090235</v>
      </c>
      <c r="AX48" s="59">
        <f>IF(AND(AX68&gt;0,AW60&lt;AW35),0,AX42*Assumptions!$E$33)</f>
        <v>94995.022601484918</v>
      </c>
      <c r="AY48" s="59">
        <f>IF(AND(AY68&gt;0,AX60&lt;AX35),0,AY42*Assumptions!$E$33)</f>
        <v>94035.572873209923</v>
      </c>
      <c r="AZ48" s="59">
        <f>IF(AND(AZ68&gt;0,AY60&lt;AY35),0,AZ42*Assumptions!$E$33)</f>
        <v>93085.813587190496</v>
      </c>
      <c r="BA48" s="59">
        <f>IF(AND(BA68&gt;0,AZ60&lt;AZ35),0,BA42*Assumptions!$E$33)</f>
        <v>92145.646869959877</v>
      </c>
      <c r="BB48" s="59">
        <f>IF(AND(BB68&gt;0,BA60&lt;BA35),0,BB42*Assumptions!$E$33)</f>
        <v>91214.975836573285</v>
      </c>
      <c r="BC48" s="59">
        <f>IF(AND(BC68&gt;0,BB60&lt;BB35),0,BC42*Assumptions!$E$33)</f>
        <v>90293.704580623889</v>
      </c>
      <c r="BD48" s="59">
        <f>IF(AND(BD68&gt;0,BC60&lt;BC35),0,BD42*Assumptions!$E$33)</f>
        <v>89381.738164359587</v>
      </c>
      <c r="BE48" s="59">
        <f>IF(AND(BE68&gt;0,BD60&lt;BD35),0,BE42*Assumptions!$E$33)</f>
        <v>88478.982608899561</v>
      </c>
      <c r="BF48" s="59">
        <f>IF(AND(BF68&gt;0,BE60&lt;BE35),0,BF42*Assumptions!$E$33)</f>
        <v>87585.344884549675</v>
      </c>
      <c r="BG48" s="59">
        <f>IF(AND(BG68&gt;0,BF60&lt;BF35),0,BG42*Assumptions!$E$33)</f>
        <v>86700.732901215728</v>
      </c>
      <c r="BH48" s="59">
        <f>IF(AND(BH68&gt;0,BG60&lt;BG35),0,BH42*Assumptions!$E$33)</f>
        <v>85825.055498913454</v>
      </c>
      <c r="BI48" s="59">
        <f>IF(AND(BI68&gt;0,BH60&lt;BH35),0,BI42*Assumptions!$E$33)</f>
        <v>84958.222438374432</v>
      </c>
      <c r="BJ48" s="59">
        <f>IF(AND(BJ68&gt;0,BI60&lt;BI35),0,BJ42*Assumptions!$E$33)</f>
        <v>84100.144391746857</v>
      </c>
      <c r="BK48" s="59">
        <f>IF(AND(BK68&gt;0,BJ60&lt;BJ35),0,BK42*Assumptions!$E$33)</f>
        <v>83250.732933390216</v>
      </c>
      <c r="BL48" s="59">
        <f>IF(AND(BL68&gt;0,BK60&lt;BK35),0,BL42*Assumptions!$E$33)</f>
        <v>82409.90053076297</v>
      </c>
      <c r="BM48" s="59">
        <f>IF(AND(BM68&gt;0,BL60&lt;BL35),0,BM42*Assumptions!$E$33)</f>
        <v>81577.56053540227</v>
      </c>
      <c r="BN48" s="59">
        <f>IF(AND(BN68&gt;0,BM60&lt;BM35),0,BN42*Assumptions!$E$33)</f>
        <v>80753.627173994711</v>
      </c>
      <c r="BO48" s="59">
        <f>IF(AND(BO68&gt;0,BN60&lt;BN35),0,BO42*Assumptions!$E$33)</f>
        <v>79938.015539537359</v>
      </c>
      <c r="BP48" s="59">
        <f>IF(AND(BP68&gt;0,BO60&lt;BO35),0,BP42*Assumptions!$E$33)</f>
        <v>79130.641582588025</v>
      </c>
      <c r="BQ48" s="59">
        <f>IF(AND(BQ68&gt;0,BP60&lt;BP35),0,BQ42*Assumptions!$E$33)</f>
        <v>78331.422102603887</v>
      </c>
      <c r="BR48" s="59">
        <f>IF(AND(BR68&gt;0,BQ60&lt;BQ35),0,BR42*Assumptions!$E$33)</f>
        <v>77540.274739367582</v>
      </c>
      <c r="BS48" s="59">
        <f>IF(AND(BS68&gt;0,BR60&lt;BR35),0,BS42*Assumptions!$E$33)</f>
        <v>76757.117964499965</v>
      </c>
      <c r="BT48" s="59">
        <f>IF(AND(BT68&gt;0,BS60&lt;BS35),0,BT42*Assumptions!$E$33)</f>
        <v>75981.871073058515</v>
      </c>
      <c r="BU48" s="59">
        <f>IF(AND(BU68&gt;0,BT60&lt;BT35),0,BU42*Assumptions!$E$33)</f>
        <v>75214.454175220628</v>
      </c>
      <c r="BV48" s="59">
        <f>IF(AND(BV68&gt;0,BU60&lt;BU35),0,BV42*Assumptions!$E$33)</f>
        <v>74454.788188050894</v>
      </c>
      <c r="BW48" s="59">
        <f>IF(AND(BW68&gt;0,BV60&lt;BV35),0,BW42*Assumptions!$E$33)</f>
        <v>73702.794827351579</v>
      </c>
      <c r="BX48" s="59">
        <f>IF(AND(BX68&gt;0,BW60&lt;BW35),0,BX42*Assumptions!$E$33)</f>
        <v>72958.396599595333</v>
      </c>
      <c r="BY48" s="59">
        <f>IF(AND(BY68&gt;0,BX60&lt;BX35),0,BY42*Assumptions!$E$33)</f>
        <v>72221.516793939416</v>
      </c>
      <c r="BZ48" s="59">
        <f>IF(AND(BZ68&gt;0,BY60&lt;BY35),0,BZ42*Assumptions!$E$33)</f>
        <v>71492.079474320635</v>
      </c>
      <c r="CA48" s="59">
        <f>IF(AND(CA68&gt;0,BZ60&lt;BZ35),0,CA42*Assumptions!$E$33)</f>
        <v>70770.009471629994</v>
      </c>
      <c r="CB48" s="59">
        <f>IF(AND(CB68&gt;0,CA60&lt;CA35),0,CB42*Assumptions!$E$33)</f>
        <v>70055.232375966531</v>
      </c>
      <c r="CC48" s="59">
        <f>IF(AND(CC68&gt;0,CB60&lt;CB35),0,CC42*Assumptions!$E$33)</f>
        <v>69347.674528969263</v>
      </c>
      <c r="CD48" s="59">
        <f>IF(AND(CD68&gt;0,CC60&lt;CC35),0,CD42*Assumptions!$E$33)</f>
        <v>68647.263016226672</v>
      </c>
      <c r="CE48" s="59">
        <f>IF(AND(CE68&gt;0,CD60&lt;CD35),0,CE42*Assumptions!$E$33)</f>
        <v>67953.925659762783</v>
      </c>
      <c r="CF48" s="59">
        <f>IF(AND(CF68&gt;0,CE60&lt;CE35),0,CF42*Assumptions!$E$33)</f>
        <v>67267.591010599179</v>
      </c>
      <c r="CG48" s="59">
        <f>IF(AND(CG68&gt;0,CF60&lt;CF35),0,CG42*Assumptions!$E$33)</f>
        <v>66588.188341392131</v>
      </c>
      <c r="CH48" s="59">
        <f>IF(AND(CH68&gt;0,CG60&lt;CG35),0,CH42*Assumptions!$E$33)</f>
        <v>65915.647639144066</v>
      </c>
      <c r="CI48" s="59">
        <f>IF(AND(CI68&gt;0,CH60&lt;CH35),0,CI42*Assumptions!$E$33)</f>
        <v>65249.899597988711</v>
      </c>
      <c r="CJ48" s="59">
        <f>IF(AND(CJ68&gt;0,CI60&lt;CI35),0,CJ42*Assumptions!$E$33)</f>
        <v>64590.875612049029</v>
      </c>
      <c r="CK48" s="59">
        <f>IF(AND(CK68&gt;0,CJ60&lt;CJ35),0,CK42*Assumptions!$E$33)</f>
        <v>63938.507768367337</v>
      </c>
      <c r="CL48" s="59">
        <f>IF(AND(CL68&gt;0,CK60&lt;CK35),0,CL42*Assumptions!$E$33)</f>
        <v>63292.728839906827</v>
      </c>
      <c r="CM48" s="59">
        <f>IF(AND(CM68&gt;0,CL60&lt;CL35),0,CM42*Assumptions!$E$33)</f>
        <v>62653.472278623769</v>
      </c>
      <c r="CN48" s="59">
        <f>IF(AND(CN68&gt;0,CM60&lt;CM35),0,CN42*Assumptions!$E$33)</f>
        <v>62020.672208609671</v>
      </c>
      <c r="CO48" s="59">
        <f>IF(AND(CO68&gt;0,CN60&lt;CN35),0,CO42*Assumptions!$E$33)</f>
        <v>61394.263419302712</v>
      </c>
      <c r="CP48" s="59">
        <f>IF(AND(CP68&gt;0,CO60&lt;CO35),0,CP42*Assumptions!$E$33)</f>
        <v>60774.181358767753</v>
      </c>
      <c r="CQ48" s="59">
        <f>IF(AND(CQ68&gt;0,CP60&lt;CP35),0,CQ42*Assumptions!$E$33)</f>
        <v>60160.362127044202</v>
      </c>
      <c r="CR48" s="59">
        <f>IF(AND(CR68&gt;0,CQ60&lt;CQ35),0,CR42*Assumptions!$E$33)</f>
        <v>59552.742469561053</v>
      </c>
      <c r="CS48" s="59">
        <f>IF(AND(CS68&gt;0,CR60&lt;CR35),0,CS42*Assumptions!$E$33)</f>
        <v>58951.25977061849</v>
      </c>
      <c r="CT48" s="59">
        <f>IF(AND(CT68&gt;0,CS60&lt;CS35),0,CT42*Assumptions!$E$33)</f>
        <v>58355.852046935244</v>
      </c>
      <c r="CU48" s="59">
        <f>IF(AND(CU68&gt;0,CT60&lt;CT35),0,CU42*Assumptions!$E$33)</f>
        <v>57766.4579412612</v>
      </c>
      <c r="CV48" s="59">
        <f>IF(AND(CV68&gt;0,CU60&lt;CU35),0,CV42*Assumptions!$E$33)</f>
        <v>57183.016716054459</v>
      </c>
      <c r="CW48" s="59">
        <f>IF(AND(CW68&gt;0,CV60&lt;CV35),0,CW42*Assumptions!$E$33)</f>
        <v>56605.468247222307</v>
      </c>
      <c r="CX48" s="59">
        <f>IF(AND(CX68&gt;0,CW60&lt;CW35),0,CX42*Assumptions!$E$33)</f>
        <v>56033.753017925359</v>
      </c>
      <c r="CY48" s="59">
        <f>IF(AND(CY68&gt;0,CX60&lt;CX35),0,CY42*Assumptions!$E$33)</f>
        <v>55467.812112444313</v>
      </c>
      <c r="CZ48" s="59">
        <f>IF(AND(CZ68&gt;0,CY60&lt;CY35),0,CZ42*Assumptions!$E$33)</f>
        <v>54907.587210108628</v>
      </c>
      <c r="DA48" s="59">
        <f>IF(AND(DA68&gt;0,CZ60&lt;CZ35),0,DA42*Assumptions!$E$33)</f>
        <v>54353.020579286531</v>
      </c>
      <c r="DB48" s="59">
        <f>IF(AND(DB68&gt;0,DA60&lt;DA35),0,DB42*Assumptions!$E$33)</f>
        <v>53804.055071435738</v>
      </c>
      <c r="DC48" s="59">
        <f>IF(AND(DC68&gt;0,DB60&lt;DB35),0,DC42*Assumptions!$E$33)</f>
        <v>53260.634115214234</v>
      </c>
      <c r="DD48" s="59">
        <f>IF(AND(DD68&gt;0,DC60&lt;DC35),0,DD42*Assumptions!$E$33)</f>
        <v>52722.701710650574</v>
      </c>
      <c r="DE48" s="59">
        <f>IF(AND(DE68&gt;0,DD60&lt;DD35),0,DE42*Assumptions!$E$33)</f>
        <v>52190.202423373004</v>
      </c>
      <c r="DF48" s="59">
        <f>IF(AND(DF68&gt;0,DE60&lt;DE35),0,DF42*Assumptions!$E$33)</f>
        <v>51663.081378896939</v>
      </c>
      <c r="DG48" s="59">
        <f>IF(AND(DG68&gt;0,DF60&lt;DF35),0,DG42*Assumptions!$E$33)</f>
        <v>51141.284256970081</v>
      </c>
      <c r="DH48" s="59">
        <f>IF(AND(DH68&gt;0,DG60&lt;DG35),0,DH42*Assumptions!$E$33)</f>
        <v>50624.75728597468</v>
      </c>
      <c r="DI48" s="59">
        <f>IF(AND(DI68&gt;0,DH60&lt;DH35),0,DI42*Assumptions!$E$33)</f>
        <v>50113.447237386339</v>
      </c>
      <c r="DJ48" s="59">
        <f>IF(AND(DJ68&gt;0,DI60&lt;DI35),0,DJ42*Assumptions!$E$33)</f>
        <v>49607.301420288735</v>
      </c>
      <c r="DK48" s="59">
        <f>IF(AND(DK68&gt;0,DJ60&lt;DJ35),0,DK42*Assumptions!$E$33)</f>
        <v>49106.267675943818</v>
      </c>
      <c r="DL48" s="59">
        <f>IF(AND(DL68&gt;0,DK60&lt;DK35),0,DL42*Assumptions!$E$33)</f>
        <v>48610.294372416785</v>
      </c>
      <c r="DM48" s="59">
        <f>IF(AND(DM68&gt;0,DL60&lt;DL35),0,DM42*Assumptions!$E$33)</f>
        <v>48119.330399255377</v>
      </c>
      <c r="DN48" s="59">
        <f>IF(AND(DN68&gt;0,DM60&lt;DM35),0,DN42*Assumptions!$E$33)</f>
        <v>47633.3251622229</v>
      </c>
      <c r="DO48" s="59">
        <f>IF(AND(DO68&gt;0,DN60&lt;DN35),0,DO42*Assumptions!$E$33)</f>
        <v>47152.228578084447</v>
      </c>
      <c r="DP48" s="59">
        <f>IF(AND(DP68&gt;0,DO60&lt;DO35),0,DP42*Assumptions!$E$33)</f>
        <v>46675.991069445794</v>
      </c>
      <c r="DQ48" s="59">
        <f>IF(AND(DQ68&gt;0,DP60&lt;DP35),0,DQ42*Assumptions!$E$33)</f>
        <v>46204.56355964439</v>
      </c>
      <c r="DR48" s="59">
        <f>IF(AND(DR68&gt;0,DQ60&lt;DQ35),0,DR42*Assumptions!$E$33)</f>
        <v>45737.897467691982</v>
      </c>
      <c r="DS48" s="59">
        <f>IF(AND(DS68&gt;0,DR60&lt;DR35),0,DS42*Assumptions!$E$33)</f>
        <v>45275.944703268295</v>
      </c>
      <c r="DT48" s="59">
        <f>IF(AND(DT68&gt;0,DS60&lt;DS35),0,DT42*Assumptions!$E$33)</f>
        <v>44818.657661765283</v>
      </c>
      <c r="DU48" s="60">
        <f>IF(AND(DU68&gt;0,DT60&lt;DT35),0,DU42*Assumptions!$E$33)</f>
        <v>268911.94597059168</v>
      </c>
    </row>
    <row r="49" spans="2:125" x14ac:dyDescent="0.4">
      <c r="B49" s="92"/>
      <c r="C49" s="63" t="s">
        <v>61</v>
      </c>
      <c r="D49" s="64"/>
      <c r="E49" s="65">
        <f>IF(AND(E68&gt;0,D60&lt;D35),0,E43*Assumptions!$F$33)</f>
        <v>0</v>
      </c>
      <c r="F49" s="65">
        <f>IF(AND(F68&gt;0,E60&lt;E35),0,F43*Assumptions!$F$33)</f>
        <v>0</v>
      </c>
      <c r="G49" s="65">
        <f>IF(AND(G68&gt;0,F60&lt;F35),0,G43*Assumptions!$F$33)</f>
        <v>0</v>
      </c>
      <c r="H49" s="65">
        <f>IF(AND(H68&gt;0,G60&lt;G35),0,H43*Assumptions!$F$33)</f>
        <v>0</v>
      </c>
      <c r="I49" s="65">
        <f>IF(AND(I68&gt;0,H60&lt;H35),0,I43*Assumptions!$F$33)</f>
        <v>0</v>
      </c>
      <c r="J49" s="65">
        <f>IF(AND(J68&gt;0,I60&lt;I35),0,J43*Assumptions!$F$33)</f>
        <v>0</v>
      </c>
      <c r="K49" s="65">
        <f>IF(AND(K68&gt;0,J60&lt;J35),0,K43*Assumptions!$F$33)</f>
        <v>0</v>
      </c>
      <c r="L49" s="65">
        <f>IF(AND(L68&gt;0,K60&lt;K35),0,L43*Assumptions!$F$33)</f>
        <v>0</v>
      </c>
      <c r="M49" s="65">
        <f>IF(AND(M68&gt;0,L60&lt;L35),0,M43*Assumptions!$F$33)</f>
        <v>0</v>
      </c>
      <c r="N49" s="65">
        <f>IF(AND(N68&gt;0,M60&lt;M35),0,N43*Assumptions!$F$33)</f>
        <v>0</v>
      </c>
      <c r="O49" s="65">
        <f>IF(AND(O68&gt;0,N60&lt;N35),0,O43*Assumptions!$F$33)</f>
        <v>0</v>
      </c>
      <c r="P49" s="65">
        <f>IF(AND(P68&gt;0,O60&lt;O35),0,P43*Assumptions!$F$33)</f>
        <v>0</v>
      </c>
      <c r="Q49" s="65">
        <f>IF(AND(Q68&gt;0,P60&lt;P35),0,Q43*Assumptions!$F$33)</f>
        <v>0</v>
      </c>
      <c r="R49" s="65">
        <f>IF(AND(R68&gt;0,Q60&lt;Q35),0,R43*Assumptions!$F$33)</f>
        <v>0</v>
      </c>
      <c r="S49" s="65">
        <f>IF(AND(S68&gt;0,R60&lt;R35),0,S43*Assumptions!$F$33)</f>
        <v>0</v>
      </c>
      <c r="T49" s="65">
        <f>IF(AND(T68&gt;0,S60&lt;S35),0,T43*Assumptions!$F$33)</f>
        <v>0</v>
      </c>
      <c r="U49" s="65">
        <f>IF(AND(U68&gt;0,T60&lt;T35),0,U43*Assumptions!$F$33)</f>
        <v>0</v>
      </c>
      <c r="V49" s="65">
        <f>IF(AND(V68&gt;0,U60&lt;U35),0,V43*Assumptions!$F$33)</f>
        <v>0</v>
      </c>
      <c r="W49" s="65">
        <f>IF(AND(W68&gt;0,V60&lt;V35),0,W43*Assumptions!$F$33)</f>
        <v>0</v>
      </c>
      <c r="X49" s="65">
        <f>IF(AND(X68&gt;0,W60&lt;W35),0,X43*Assumptions!$F$33)</f>
        <v>0</v>
      </c>
      <c r="Y49" s="65">
        <f>IF(AND(Y68&gt;0,X60&lt;X35),0,Y43*Assumptions!$F$33)</f>
        <v>0</v>
      </c>
      <c r="Z49" s="65">
        <f>IF(AND(Z68&gt;0,Y60&lt;Y35),0,Z43*Assumptions!$F$33)</f>
        <v>0</v>
      </c>
      <c r="AA49" s="65">
        <f>IF(AND(AA68&gt;0,Z60&lt;Z35),0,AA43*Assumptions!$F$33)</f>
        <v>0</v>
      </c>
      <c r="AB49" s="65">
        <f>IF(AND(AB68&gt;0,AA60&lt;AA35),0,AB43*Assumptions!$F$33)</f>
        <v>0</v>
      </c>
      <c r="AC49" s="65">
        <f>IF(AND(AC68&gt;0,AB60&lt;AB35),0,AC43*Assumptions!$F$33)</f>
        <v>0</v>
      </c>
      <c r="AD49" s="65">
        <f>IF(AND(AD68&gt;0,AC60&lt;AC35),0,AD43*Assumptions!$F$33)</f>
        <v>0</v>
      </c>
      <c r="AE49" s="65">
        <f>IF(AND(AE68&gt;0,AD60&lt;AD35),0,AE43*Assumptions!$F$33)</f>
        <v>0</v>
      </c>
      <c r="AF49" s="65">
        <f>IF(AND(AF68&gt;0,AE60&lt;AE35),0,AF43*Assumptions!$F$33)</f>
        <v>13304.660699919485</v>
      </c>
      <c r="AG49" s="65">
        <f>IF(AND(AG68&gt;0,AF60&lt;AF35),0,AG43*Assumptions!$F$33)</f>
        <v>13170.283626850298</v>
      </c>
      <c r="AH49" s="65">
        <f>IF(AND(AH68&gt;0,AG60&lt;AG35),0,AH43*Assumptions!$F$33)</f>
        <v>13037.263762219111</v>
      </c>
      <c r="AI49" s="65">
        <f>IF(AND(AI68&gt;0,AH60&lt;AH35),0,AI43*Assumptions!$F$33)</f>
        <v>12905.587398220698</v>
      </c>
      <c r="AJ49" s="65">
        <f>IF(AND(AJ68&gt;0,AI60&lt;AI35),0,AJ43*Assumptions!$F$33)</f>
        <v>12775.24096549867</v>
      </c>
      <c r="AK49" s="65">
        <f>IF(AND(AK68&gt;0,AJ60&lt;AJ35),0,AK43*Assumptions!$F$33)</f>
        <v>12646.211031747132</v>
      </c>
      <c r="AL49" s="65">
        <f>IF(AND(AL68&gt;0,AK60&lt;AK35),0,AL43*Assumptions!$F$33)</f>
        <v>12518.484300326487</v>
      </c>
      <c r="AM49" s="65">
        <f>IF(AND(AM68&gt;0,AL60&lt;AL35),0,AM43*Assumptions!$F$33)</f>
        <v>12392.04760889319</v>
      </c>
      <c r="AN49" s="65">
        <f>IF(AND(AN68&gt;0,AM60&lt;AM35),0,AN43*Assumptions!$F$33)</f>
        <v>12266.887928043368</v>
      </c>
      <c r="AO49" s="65">
        <f>IF(AND(AO68&gt;0,AN60&lt;AN35),0,AO43*Assumptions!$F$33)</f>
        <v>12142.992359970131</v>
      </c>
      <c r="AP49" s="65">
        <f>IF(AND(AP68&gt;0,AO60&lt;AO35),0,AP43*Assumptions!$F$33)</f>
        <v>12020.348137134431</v>
      </c>
      <c r="AQ49" s="65">
        <f>IF(AND(AQ68&gt;0,AP60&lt;AP35),0,AQ43*Assumptions!$F$33)</f>
        <v>11898.942620949374</v>
      </c>
      <c r="AR49" s="65">
        <f>IF(AND(AR68&gt;0,AQ60&lt;AQ35),0,AR43*Assumptions!$F$33)</f>
        <v>11778.763300477785</v>
      </c>
      <c r="AS49" s="65">
        <f>IF(AND(AS68&gt;0,AR60&lt;AR35),0,AS43*Assumptions!$F$33)</f>
        <v>11659.797791142959</v>
      </c>
      <c r="AT49" s="65">
        <f>IF(AND(AT68&gt;0,AS60&lt;AS35),0,AT43*Assumptions!$F$33)</f>
        <v>11542.033833452415</v>
      </c>
      <c r="AU49" s="65">
        <f>IF(AND(AU68&gt;0,AT60&lt;AT35),0,AU43*Assumptions!$F$33)</f>
        <v>11425.459291734545</v>
      </c>
      <c r="AV49" s="65">
        <f>IF(AND(AV68&gt;0,AU60&lt;AU35),0,AV43*Assumptions!$F$33)</f>
        <v>11310.062152888026</v>
      </c>
      <c r="AW49" s="65">
        <f>IF(AND(AW68&gt;0,AV60&lt;AV35),0,AW43*Assumptions!$F$33)</f>
        <v>11195.830525143856</v>
      </c>
      <c r="AX49" s="65">
        <f>IF(AND(AX68&gt;0,AW60&lt;AW35),0,AX43*Assumptions!$F$33)</f>
        <v>11082.752636839903</v>
      </c>
      <c r="AY49" s="65">
        <f>IF(AND(AY68&gt;0,AX60&lt;AX35),0,AY43*Assumptions!$F$33)</f>
        <v>10970.816835207819</v>
      </c>
      <c r="AZ49" s="65">
        <f>IF(AND(AZ68&gt;0,AY60&lt;AY35),0,AZ43*Assumptions!$F$33)</f>
        <v>10860.01158517222</v>
      </c>
      <c r="BA49" s="65">
        <f>IF(AND(BA68&gt;0,AZ60&lt;AZ35),0,BA43*Assumptions!$F$33)</f>
        <v>10750.32546816198</v>
      </c>
      <c r="BB49" s="65">
        <f>IF(AND(BB68&gt;0,BA60&lt;BA35),0,BB43*Assumptions!$F$33)</f>
        <v>10641.747180933544</v>
      </c>
      <c r="BC49" s="65">
        <f>IF(AND(BC68&gt;0,BB60&lt;BB35),0,BC43*Assumptions!$F$33)</f>
        <v>10534.265534406115</v>
      </c>
      <c r="BD49" s="65">
        <f>IF(AND(BD68&gt;0,BC60&lt;BC35),0,BD43*Assumptions!$F$33)</f>
        <v>10427.869452508614</v>
      </c>
      <c r="BE49" s="65">
        <f>IF(AND(BE68&gt;0,BD60&lt;BD35),0,BE43*Assumptions!$F$33)</f>
        <v>10322.547971038277</v>
      </c>
      <c r="BF49" s="65">
        <f>IF(AND(BF68&gt;0,BE60&lt;BE35),0,BF43*Assumptions!$F$33)</f>
        <v>10218.290236530791</v>
      </c>
      <c r="BG49" s="65">
        <f>IF(AND(BG68&gt;0,BF60&lt;BF35),0,BG43*Assumptions!$F$33)</f>
        <v>10115.085505141829</v>
      </c>
      <c r="BH49" s="65">
        <f>IF(AND(BH68&gt;0,BG60&lt;BG35),0,BH43*Assumptions!$F$33)</f>
        <v>10012.923141539897</v>
      </c>
      <c r="BI49" s="65">
        <f>IF(AND(BI68&gt;0,BH60&lt;BH35),0,BI43*Assumptions!$F$33)</f>
        <v>9911.7926178103444</v>
      </c>
      <c r="BJ49" s="65">
        <f>IF(AND(BJ68&gt;0,BI60&lt;BI35),0,BJ43*Assumptions!$F$33)</f>
        <v>9811.6835123704604</v>
      </c>
      <c r="BK49" s="65">
        <f>IF(AND(BK68&gt;0,BJ60&lt;BJ35),0,BK43*Assumptions!$F$33)</f>
        <v>9712.5855088955195</v>
      </c>
      <c r="BL49" s="65">
        <f>IF(AND(BL68&gt;0,BK60&lt;BK35),0,BL43*Assumptions!$F$33)</f>
        <v>9614.4883952556756</v>
      </c>
      <c r="BM49" s="65">
        <f>IF(AND(BM68&gt;0,BL60&lt;BL35),0,BM43*Assumptions!$F$33)</f>
        <v>9517.3820624635937</v>
      </c>
      <c r="BN49" s="65">
        <f>IF(AND(BN68&gt;0,BM60&lt;BM35),0,BN43*Assumptions!$F$33)</f>
        <v>9421.2565036327105</v>
      </c>
      <c r="BO49" s="65">
        <f>IF(AND(BO68&gt;0,BN60&lt;BN35),0,BO43*Assumptions!$F$33)</f>
        <v>9326.1018129460208</v>
      </c>
      <c r="BP49" s="65">
        <f>IF(AND(BP68&gt;0,BO60&lt;BO35),0,BP43*Assumptions!$F$33)</f>
        <v>9231.9081846352656</v>
      </c>
      <c r="BQ49" s="65">
        <f>IF(AND(BQ68&gt;0,BP60&lt;BP35),0,BQ43*Assumptions!$F$33)</f>
        <v>9138.6659119704491</v>
      </c>
      <c r="BR49" s="65">
        <f>IF(AND(BR68&gt;0,BQ60&lt;BQ35),0,BR43*Assumptions!$F$33)</f>
        <v>9046.3653862595474</v>
      </c>
      <c r="BS49" s="65">
        <f>IF(AND(BS68&gt;0,BR60&lt;BR35),0,BS43*Assumptions!$F$33)</f>
        <v>8954.9970958583253</v>
      </c>
      <c r="BT49" s="65">
        <f>IF(AND(BT68&gt;0,BS60&lt;BS35),0,BT43*Assumptions!$F$33)</f>
        <v>8864.5516251901554</v>
      </c>
      <c r="BU49" s="65">
        <f>IF(AND(BU68&gt;0,BT60&lt;BT35),0,BU43*Assumptions!$F$33)</f>
        <v>8775.0196537757347</v>
      </c>
      <c r="BV49" s="65">
        <f>IF(AND(BV68&gt;0,BU60&lt;BU35),0,BV43*Assumptions!$F$33)</f>
        <v>8686.3919552726002</v>
      </c>
      <c r="BW49" s="65">
        <f>IF(AND(BW68&gt;0,BV60&lt;BV35),0,BW43*Assumptions!$F$33)</f>
        <v>8598.6593965243464</v>
      </c>
      <c r="BX49" s="65">
        <f>IF(AND(BX68&gt;0,BW60&lt;BW35),0,BX43*Assumptions!$F$33)</f>
        <v>8511.8129366194498</v>
      </c>
      <c r="BY49" s="65">
        <f>IF(AND(BY68&gt;0,BX60&lt;BX35),0,BY43*Assumptions!$F$33)</f>
        <v>8425.8436259595928</v>
      </c>
      <c r="BZ49" s="65">
        <f>IF(AND(BZ68&gt;0,BY60&lt;BY35),0,BZ43*Assumptions!$F$33)</f>
        <v>8340.7426053374002</v>
      </c>
      <c r="CA49" s="65">
        <f>IF(AND(CA68&gt;0,BZ60&lt;BZ35),0,CA43*Assumptions!$F$33)</f>
        <v>8256.5011050234916</v>
      </c>
      <c r="CB49" s="65">
        <f>IF(AND(CB68&gt;0,CA60&lt;CA35),0,CB43*Assumptions!$F$33)</f>
        <v>8173.1104438627544</v>
      </c>
      <c r="CC49" s="65">
        <f>IF(AND(CC68&gt;0,CB60&lt;CB35),0,CC43*Assumptions!$F$33)</f>
        <v>8090.5620283797407</v>
      </c>
      <c r="CD49" s="65">
        <f>IF(AND(CD68&gt;0,CC60&lt;CC35),0,CD43*Assumptions!$F$33)</f>
        <v>8008.847351893105</v>
      </c>
      <c r="CE49" s="65">
        <f>IF(AND(CE68&gt;0,CD60&lt;CD35),0,CE43*Assumptions!$F$33)</f>
        <v>7927.9579936389846</v>
      </c>
      <c r="CF49" s="65">
        <f>IF(AND(CF68&gt;0,CE60&lt;CE35),0,CF43*Assumptions!$F$33)</f>
        <v>7847.8856179032309</v>
      </c>
      <c r="CG49" s="65">
        <f>IF(AND(CG68&gt;0,CF60&lt;CF35),0,CG43*Assumptions!$F$33)</f>
        <v>7768.6219731624087</v>
      </c>
      <c r="CH49" s="65">
        <f>IF(AND(CH68&gt;0,CG60&lt;CG35),0,CH43*Assumptions!$F$33)</f>
        <v>7690.1588912334682</v>
      </c>
      <c r="CI49" s="65">
        <f>IF(AND(CI68&gt;0,CH60&lt;CH35),0,CI43*Assumptions!$F$33)</f>
        <v>7612.4882864320098</v>
      </c>
      <c r="CJ49" s="65">
        <f>IF(AND(CJ68&gt;0,CI60&lt;CI35),0,CJ43*Assumptions!$F$33)</f>
        <v>7535.6021547390465</v>
      </c>
      <c r="CK49" s="65">
        <f>IF(AND(CK68&gt;0,CJ60&lt;CJ35),0,CK43*Assumptions!$F$33)</f>
        <v>7459.4925729761817</v>
      </c>
      <c r="CL49" s="65">
        <f>IF(AND(CL68&gt;0,CK60&lt;CK35),0,CL43*Assumptions!$F$33)</f>
        <v>7384.1516979891221</v>
      </c>
      <c r="CM49" s="65">
        <f>IF(AND(CM68&gt;0,CL60&lt;CL35),0,CM43*Assumptions!$F$33)</f>
        <v>7309.5717658394324</v>
      </c>
      <c r="CN49" s="65">
        <f>IF(AND(CN68&gt;0,CM60&lt;CM35),0,CN43*Assumptions!$F$33)</f>
        <v>7235.7450910044545</v>
      </c>
      <c r="CO49" s="65">
        <f>IF(AND(CO68&gt;0,CN60&lt;CN35),0,CO43*Assumptions!$F$33)</f>
        <v>7162.6640655853098</v>
      </c>
      <c r="CP49" s="65">
        <f>IF(AND(CP68&gt;0,CO60&lt;CO35),0,CP43*Assumptions!$F$33)</f>
        <v>7090.3211585228983</v>
      </c>
      <c r="CQ49" s="65">
        <f>IF(AND(CQ68&gt;0,CP60&lt;CP35),0,CQ43*Assumptions!$F$33)</f>
        <v>7018.7089148218174</v>
      </c>
      <c r="CR49" s="65">
        <f>IF(AND(CR68&gt;0,CQ60&lt;CQ35),0,CR43*Assumptions!$F$33)</f>
        <v>6947.8199547821168</v>
      </c>
      <c r="CS49" s="65">
        <f>IF(AND(CS68&gt;0,CR60&lt;CR35),0,CS43*Assumptions!$F$33)</f>
        <v>6877.6469732388177</v>
      </c>
      <c r="CT49" s="65">
        <f>IF(AND(CT68&gt;0,CS60&lt;CS35),0,CT43*Assumptions!$F$33)</f>
        <v>6808.182738809106</v>
      </c>
      <c r="CU49" s="65">
        <f>IF(AND(CU68&gt;0,CT60&lt;CT35),0,CU43*Assumptions!$F$33)</f>
        <v>6739.4200931471341</v>
      </c>
      <c r="CV49" s="65">
        <f>IF(AND(CV68&gt;0,CU60&lt;CU35),0,CV43*Assumptions!$F$33)</f>
        <v>6671.3519502063482</v>
      </c>
      <c r="CW49" s="65">
        <f>IF(AND(CW68&gt;0,CV60&lt;CV35),0,CW43*Assumptions!$F$33)</f>
        <v>6603.9712955092637</v>
      </c>
      <c r="CX49" s="65">
        <f>IF(AND(CX68&gt;0,CW60&lt;CW35),0,CX43*Assumptions!$F$33)</f>
        <v>6537.2711854246199</v>
      </c>
      <c r="CY49" s="65">
        <f>IF(AND(CY68&gt;0,CX60&lt;CX35),0,CY43*Assumptions!$F$33)</f>
        <v>6471.2447464518309</v>
      </c>
      <c r="CZ49" s="65">
        <f>IF(AND(CZ68&gt;0,CY60&lt;CY35),0,CZ43*Assumptions!$F$33)</f>
        <v>6405.8851745126676</v>
      </c>
      <c r="DA49" s="65">
        <f>IF(AND(DA68&gt;0,CZ60&lt;CZ35),0,DA43*Assumptions!$F$33)</f>
        <v>6341.1857342500898</v>
      </c>
      <c r="DB49" s="65">
        <f>IF(AND(DB68&gt;0,DA60&lt;DA35),0,DB43*Assumptions!$F$33)</f>
        <v>6277.1397583341641</v>
      </c>
      <c r="DC49" s="65">
        <f>IF(AND(DC68&gt;0,DB60&lt;DB35),0,DC43*Assumptions!$F$33)</f>
        <v>6213.7406467749888</v>
      </c>
      <c r="DD49" s="65">
        <f>IF(AND(DD68&gt;0,DC60&lt;DC35),0,DD43*Assumptions!$F$33)</f>
        <v>6150.9818662425614</v>
      </c>
      <c r="DE49" s="65">
        <f>IF(AND(DE68&gt;0,DD60&lt;DD35),0,DE43*Assumptions!$F$33)</f>
        <v>6088.856949393512</v>
      </c>
      <c r="DF49" s="65">
        <f>IF(AND(DF68&gt;0,DE60&lt;DE35),0,DF43*Assumptions!$F$33)</f>
        <v>6027.3594942046375</v>
      </c>
      <c r="DG49" s="65">
        <f>IF(AND(DG68&gt;0,DF60&lt;DF35),0,DG43*Assumptions!$F$33)</f>
        <v>5966.4831633131707</v>
      </c>
      <c r="DH49" s="65">
        <f>IF(AND(DH68&gt;0,DG60&lt;DG35),0,DH43*Assumptions!$F$33)</f>
        <v>5906.2216833637076</v>
      </c>
      <c r="DI49" s="65">
        <f>IF(AND(DI68&gt;0,DH60&lt;DH35),0,DI43*Assumptions!$F$33)</f>
        <v>5846.5688443617346</v>
      </c>
      <c r="DJ49" s="65">
        <f>IF(AND(DJ68&gt;0,DI60&lt;DI35),0,DJ43*Assumptions!$F$33)</f>
        <v>5787.5184990336811</v>
      </c>
      <c r="DK49" s="65">
        <f>IF(AND(DK68&gt;0,DJ60&lt;DJ35),0,DK43*Assumptions!$F$33)</f>
        <v>5729.0645621934409</v>
      </c>
      <c r="DL49" s="65">
        <f>IF(AND(DL68&gt;0,DK60&lt;DK35),0,DL43*Assumptions!$F$33)</f>
        <v>5671.2010101152873</v>
      </c>
      <c r="DM49" s="65">
        <f>IF(AND(DM68&gt;0,DL60&lt;DL35),0,DM43*Assumptions!$F$33)</f>
        <v>5613.9218799131231</v>
      </c>
      <c r="DN49" s="65">
        <f>IF(AND(DN68&gt;0,DM60&lt;DM35),0,DN43*Assumptions!$F$33)</f>
        <v>5557.2212689260004</v>
      </c>
      <c r="DO49" s="65">
        <f>IF(AND(DO68&gt;0,DN60&lt;DN35),0,DO43*Assumptions!$F$33)</f>
        <v>5501.093334109848</v>
      </c>
      <c r="DP49" s="65">
        <f>IF(AND(DP68&gt;0,DO60&lt;DO35),0,DP43*Assumptions!$F$33)</f>
        <v>5445.5322914353383</v>
      </c>
      <c r="DQ49" s="65">
        <f>IF(AND(DQ68&gt;0,DP60&lt;DP35),0,DQ43*Assumptions!$F$33)</f>
        <v>5390.5324152918411</v>
      </c>
      <c r="DR49" s="65">
        <f>IF(AND(DR68&gt;0,DQ60&lt;DQ35),0,DR43*Assumptions!$F$33)</f>
        <v>5336.0880378973934</v>
      </c>
      <c r="DS49" s="65">
        <f>IF(AND(DS68&gt;0,DR60&lt;DR35),0,DS43*Assumptions!$F$33)</f>
        <v>5282.1935487146302</v>
      </c>
      <c r="DT49" s="65">
        <f>IF(AND(DT68&gt;0,DS60&lt;DS35),0,DT43*Assumptions!$F$33)</f>
        <v>5228.8433938726121</v>
      </c>
      <c r="DU49" s="93">
        <f>IF(AND(DU68&gt;0,DT60&lt;DT35),0,DU43*Assumptions!$F$33)</f>
        <v>31373.060363235672</v>
      </c>
    </row>
    <row r="50" spans="2:125" ht="4.5" customHeight="1" x14ac:dyDescent="0.4">
      <c r="B50" s="39"/>
      <c r="D50" s="62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60"/>
    </row>
    <row r="51" spans="2:125" x14ac:dyDescent="0.4">
      <c r="B51" s="39"/>
      <c r="C51" s="4" t="s">
        <v>79</v>
      </c>
      <c r="D51" s="62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60"/>
    </row>
    <row r="52" spans="2:125" s="4" customFormat="1" x14ac:dyDescent="0.4">
      <c r="B52" s="94" t="s">
        <v>38</v>
      </c>
      <c r="C52" s="98" t="s">
        <v>75</v>
      </c>
      <c r="D52" s="101"/>
      <c r="E52" s="20">
        <f>SUM(E53:E54)</f>
        <v>670000</v>
      </c>
      <c r="F52" s="20">
        <f t="shared" ref="F52:BQ52" si="43">SUM(F53:F54)</f>
        <v>663233</v>
      </c>
      <c r="G52" s="20">
        <f t="shared" si="43"/>
        <v>656534.34669999999</v>
      </c>
      <c r="H52" s="20">
        <f t="shared" si="43"/>
        <v>649903.34979832999</v>
      </c>
      <c r="I52" s="20">
        <f t="shared" si="43"/>
        <v>643339.32596536691</v>
      </c>
      <c r="J52" s="20">
        <f t="shared" si="43"/>
        <v>636841.5987731166</v>
      </c>
      <c r="K52" s="20">
        <f t="shared" si="43"/>
        <v>630409.49862550816</v>
      </c>
      <c r="L52" s="20">
        <f t="shared" si="43"/>
        <v>624042.36268939055</v>
      </c>
      <c r="M52" s="20">
        <f t="shared" si="43"/>
        <v>617739.5348262277</v>
      </c>
      <c r="N52" s="20">
        <f t="shared" si="43"/>
        <v>611500.3655244828</v>
      </c>
      <c r="O52" s="20">
        <f t="shared" si="43"/>
        <v>605324.21183268563</v>
      </c>
      <c r="P52" s="20">
        <f t="shared" si="43"/>
        <v>599210.43729317549</v>
      </c>
      <c r="Q52" s="20">
        <f t="shared" si="43"/>
        <v>593158.41187651444</v>
      </c>
      <c r="R52" s="20">
        <f t="shared" si="43"/>
        <v>587167.51191656152</v>
      </c>
      <c r="S52" s="20">
        <f t="shared" si="43"/>
        <v>581237.12004620431</v>
      </c>
      <c r="T52" s="20">
        <f t="shared" si="43"/>
        <v>575366.62513373757</v>
      </c>
      <c r="U52" s="20">
        <f t="shared" si="43"/>
        <v>569555.42221988679</v>
      </c>
      <c r="V52" s="20">
        <f t="shared" si="43"/>
        <v>563802.91245546599</v>
      </c>
      <c r="W52" s="20">
        <f t="shared" si="43"/>
        <v>558108.50303966575</v>
      </c>
      <c r="X52" s="20">
        <f t="shared" si="43"/>
        <v>552471.6071589652</v>
      </c>
      <c r="Y52" s="20">
        <f t="shared" si="43"/>
        <v>546891.6439266596</v>
      </c>
      <c r="Z52" s="20">
        <f t="shared" si="43"/>
        <v>541368.03832300042</v>
      </c>
      <c r="AA52" s="20">
        <f t="shared" si="43"/>
        <v>535900.22113593807</v>
      </c>
      <c r="AB52" s="20">
        <f t="shared" si="43"/>
        <v>530487.62890246511</v>
      </c>
      <c r="AC52" s="20">
        <f t="shared" si="43"/>
        <v>525129.70385055023</v>
      </c>
      <c r="AD52" s="20">
        <f t="shared" si="43"/>
        <v>519825.89384165965</v>
      </c>
      <c r="AE52" s="20">
        <f t="shared" si="43"/>
        <v>514575.65231385885</v>
      </c>
      <c r="AF52" s="20">
        <f t="shared" si="43"/>
        <v>382033.82866911666</v>
      </c>
      <c r="AG52" s="20">
        <f t="shared" si="43"/>
        <v>378175.28699955856</v>
      </c>
      <c r="AH52" s="20">
        <f t="shared" si="43"/>
        <v>374355.71660086303</v>
      </c>
      <c r="AI52" s="20">
        <f t="shared" si="43"/>
        <v>370574.72386319435</v>
      </c>
      <c r="AJ52" s="20">
        <f t="shared" si="43"/>
        <v>366831.91915217607</v>
      </c>
      <c r="AK52" s="20">
        <f t="shared" si="43"/>
        <v>363126.91676873906</v>
      </c>
      <c r="AL52" s="20">
        <f t="shared" si="43"/>
        <v>359459.33490937483</v>
      </c>
      <c r="AM52" s="20">
        <f t="shared" si="43"/>
        <v>355828.79562679015</v>
      </c>
      <c r="AN52" s="20">
        <f t="shared" si="43"/>
        <v>352234.92479095957</v>
      </c>
      <c r="AO52" s="20">
        <f t="shared" si="43"/>
        <v>348677.35205057095</v>
      </c>
      <c r="AP52" s="20">
        <f t="shared" si="43"/>
        <v>345155.71079486015</v>
      </c>
      <c r="AQ52" s="20">
        <f t="shared" si="43"/>
        <v>341669.63811583206</v>
      </c>
      <c r="AR52" s="20">
        <f t="shared" si="43"/>
        <v>338218.77477086213</v>
      </c>
      <c r="AS52" s="20">
        <f t="shared" si="43"/>
        <v>334802.76514567644</v>
      </c>
      <c r="AT52" s="20">
        <f t="shared" si="43"/>
        <v>331421.25721770513</v>
      </c>
      <c r="AU52" s="20">
        <f t="shared" si="43"/>
        <v>328073.90251980629</v>
      </c>
      <c r="AV52" s="20">
        <f t="shared" si="43"/>
        <v>324760.35610435629</v>
      </c>
      <c r="AW52" s="20">
        <f t="shared" si="43"/>
        <v>321480.27650770225</v>
      </c>
      <c r="AX52" s="20">
        <f t="shared" si="43"/>
        <v>318233.32571497449</v>
      </c>
      <c r="AY52" s="20">
        <f t="shared" si="43"/>
        <v>315019.16912525322</v>
      </c>
      <c r="AZ52" s="20">
        <f t="shared" si="43"/>
        <v>311837.4755170882</v>
      </c>
      <c r="BA52" s="20">
        <f t="shared" si="43"/>
        <v>308687.91701436555</v>
      </c>
      <c r="BB52" s="20">
        <f t="shared" si="43"/>
        <v>305570.16905252048</v>
      </c>
      <c r="BC52" s="20">
        <f t="shared" si="43"/>
        <v>302483.91034509003</v>
      </c>
      <c r="BD52" s="20">
        <f t="shared" si="43"/>
        <v>299428.8228506046</v>
      </c>
      <c r="BE52" s="20">
        <f t="shared" si="43"/>
        <v>296404.59173981351</v>
      </c>
      <c r="BF52" s="20">
        <f t="shared" si="43"/>
        <v>293410.90536324139</v>
      </c>
      <c r="BG52" s="20">
        <f t="shared" si="43"/>
        <v>290447.4552190727</v>
      </c>
      <c r="BH52" s="20">
        <f t="shared" si="43"/>
        <v>287513.93592136004</v>
      </c>
      <c r="BI52" s="20">
        <f t="shared" si="43"/>
        <v>284610.04516855435</v>
      </c>
      <c r="BJ52" s="20">
        <f t="shared" si="43"/>
        <v>281735.483712352</v>
      </c>
      <c r="BK52" s="20">
        <f t="shared" si="43"/>
        <v>278889.95532685722</v>
      </c>
      <c r="BL52" s="20">
        <f t="shared" si="43"/>
        <v>276073.16677805595</v>
      </c>
      <c r="BM52" s="20">
        <f t="shared" si="43"/>
        <v>273284.82779359759</v>
      </c>
      <c r="BN52" s="20">
        <f t="shared" si="43"/>
        <v>270524.65103288228</v>
      </c>
      <c r="BO52" s="20">
        <f t="shared" si="43"/>
        <v>267792.35205745016</v>
      </c>
      <c r="BP52" s="20">
        <f t="shared" si="43"/>
        <v>265087.64930166985</v>
      </c>
      <c r="BQ52" s="20">
        <f t="shared" si="43"/>
        <v>262410.264043723</v>
      </c>
      <c r="BR52" s="20">
        <f t="shared" ref="BR52:DU52" si="44">SUM(BR53:BR54)</f>
        <v>259759.92037688137</v>
      </c>
      <c r="BS52" s="20">
        <f t="shared" si="44"/>
        <v>257136.34518107487</v>
      </c>
      <c r="BT52" s="20">
        <f t="shared" si="44"/>
        <v>254539.26809474602</v>
      </c>
      <c r="BU52" s="20">
        <f t="shared" si="44"/>
        <v>251968.42148698907</v>
      </c>
      <c r="BV52" s="20">
        <f t="shared" si="44"/>
        <v>249423.54042997048</v>
      </c>
      <c r="BW52" s="20">
        <f t="shared" si="44"/>
        <v>246904.36267162778</v>
      </c>
      <c r="BX52" s="20">
        <f t="shared" si="44"/>
        <v>244410.62860864436</v>
      </c>
      <c r="BY52" s="20">
        <f t="shared" si="44"/>
        <v>241942.08125969704</v>
      </c>
      <c r="BZ52" s="20">
        <f t="shared" si="44"/>
        <v>239498.4662389741</v>
      </c>
      <c r="CA52" s="20">
        <f t="shared" si="44"/>
        <v>237079.53172996046</v>
      </c>
      <c r="CB52" s="20">
        <f t="shared" si="44"/>
        <v>234685.02845948786</v>
      </c>
      <c r="CC52" s="20">
        <f t="shared" si="44"/>
        <v>232314.709672047</v>
      </c>
      <c r="CD52" s="20">
        <f t="shared" si="44"/>
        <v>229968.33110435933</v>
      </c>
      <c r="CE52" s="20">
        <f t="shared" si="44"/>
        <v>227645.6509602053</v>
      </c>
      <c r="CF52" s="20">
        <f t="shared" si="44"/>
        <v>225346.42988550724</v>
      </c>
      <c r="CG52" s="20">
        <f t="shared" si="44"/>
        <v>223070.43094366361</v>
      </c>
      <c r="CH52" s="20">
        <f t="shared" si="44"/>
        <v>220817.41959113261</v>
      </c>
      <c r="CI52" s="20">
        <f t="shared" si="44"/>
        <v>218587.16365326219</v>
      </c>
      <c r="CJ52" s="20">
        <f t="shared" si="44"/>
        <v>216379.43330036424</v>
      </c>
      <c r="CK52" s="20">
        <f t="shared" si="44"/>
        <v>214194.00102403056</v>
      </c>
      <c r="CL52" s="20">
        <f t="shared" si="44"/>
        <v>212030.64161368785</v>
      </c>
      <c r="CM52" s="20">
        <f t="shared" si="44"/>
        <v>209889.13213338959</v>
      </c>
      <c r="CN52" s="20">
        <f t="shared" si="44"/>
        <v>207769.25189884237</v>
      </c>
      <c r="CO52" s="20">
        <f t="shared" si="44"/>
        <v>205670.78245466406</v>
      </c>
      <c r="CP52" s="20">
        <f t="shared" si="44"/>
        <v>203593.50755187194</v>
      </c>
      <c r="CQ52" s="20">
        <f t="shared" si="44"/>
        <v>201537.21312559803</v>
      </c>
      <c r="CR52" s="20">
        <f t="shared" si="44"/>
        <v>199501.6872730295</v>
      </c>
      <c r="CS52" s="20">
        <f t="shared" si="44"/>
        <v>197486.72023157193</v>
      </c>
      <c r="CT52" s="20">
        <f t="shared" si="44"/>
        <v>195492.10435723307</v>
      </c>
      <c r="CU52" s="20">
        <f t="shared" si="44"/>
        <v>193517.63410322499</v>
      </c>
      <c r="CV52" s="20">
        <f t="shared" si="44"/>
        <v>191563.10599878241</v>
      </c>
      <c r="CW52" s="20">
        <f t="shared" si="44"/>
        <v>189628.31862819471</v>
      </c>
      <c r="CX52" s="20">
        <f t="shared" si="44"/>
        <v>187713.07261004992</v>
      </c>
      <c r="CY52" s="20">
        <f t="shared" si="44"/>
        <v>185817.17057668843</v>
      </c>
      <c r="CZ52" s="20">
        <f t="shared" si="44"/>
        <v>183940.41715386388</v>
      </c>
      <c r="DA52" s="20">
        <f t="shared" si="44"/>
        <v>182082.61894060986</v>
      </c>
      <c r="DB52" s="20">
        <f t="shared" si="44"/>
        <v>180243.58448930969</v>
      </c>
      <c r="DC52" s="20">
        <f t="shared" si="44"/>
        <v>178423.12428596767</v>
      </c>
      <c r="DD52" s="20">
        <f t="shared" si="44"/>
        <v>176621.05073067939</v>
      </c>
      <c r="DE52" s="20">
        <f t="shared" si="44"/>
        <v>174837.17811829955</v>
      </c>
      <c r="DF52" s="20">
        <f t="shared" si="44"/>
        <v>173071.3226193047</v>
      </c>
      <c r="DG52" s="20">
        <f t="shared" si="44"/>
        <v>171323.30226084977</v>
      </c>
      <c r="DH52" s="20">
        <f t="shared" si="44"/>
        <v>169592.93690801517</v>
      </c>
      <c r="DI52" s="20">
        <f t="shared" si="44"/>
        <v>167880.04824524422</v>
      </c>
      <c r="DJ52" s="20">
        <f t="shared" si="44"/>
        <v>166184.45975796724</v>
      </c>
      <c r="DK52" s="20">
        <f t="shared" si="44"/>
        <v>164505.99671441177</v>
      </c>
      <c r="DL52" s="20">
        <f t="shared" si="44"/>
        <v>162844.48614759621</v>
      </c>
      <c r="DM52" s="20">
        <f t="shared" si="44"/>
        <v>161199.7568375055</v>
      </c>
      <c r="DN52" s="20">
        <f t="shared" si="44"/>
        <v>159571.6392934467</v>
      </c>
      <c r="DO52" s="20">
        <f t="shared" si="44"/>
        <v>157959.96573658288</v>
      </c>
      <c r="DP52" s="20">
        <f t="shared" si="44"/>
        <v>156364.57008264339</v>
      </c>
      <c r="DQ52" s="20">
        <f t="shared" si="44"/>
        <v>154785.28792480868</v>
      </c>
      <c r="DR52" s="20">
        <f t="shared" si="44"/>
        <v>153221.95651676814</v>
      </c>
      <c r="DS52" s="20">
        <f t="shared" si="44"/>
        <v>151674.41475594876</v>
      </c>
      <c r="DT52" s="20">
        <f t="shared" si="44"/>
        <v>150142.50316691367</v>
      </c>
      <c r="DU52" s="95">
        <f t="shared" si="44"/>
        <v>900855.01900148205</v>
      </c>
    </row>
    <row r="53" spans="2:125" x14ac:dyDescent="0.4">
      <c r="B53" s="39"/>
      <c r="C53" s="55" t="s">
        <v>60</v>
      </c>
      <c r="D53" s="62"/>
      <c r="E53" s="59">
        <f>E39+E45</f>
        <v>600000</v>
      </c>
      <c r="F53" s="59">
        <f t="shared" ref="F53:BQ53" si="45">F39+F45</f>
        <v>593940</v>
      </c>
      <c r="G53" s="59">
        <f t="shared" si="45"/>
        <v>587941.20600000001</v>
      </c>
      <c r="H53" s="59">
        <f t="shared" si="45"/>
        <v>582002.99981940002</v>
      </c>
      <c r="I53" s="59">
        <f t="shared" si="45"/>
        <v>576124.76952122408</v>
      </c>
      <c r="J53" s="59">
        <f t="shared" si="45"/>
        <v>570305.90934905969</v>
      </c>
      <c r="K53" s="59">
        <f t="shared" si="45"/>
        <v>564545.81966463418</v>
      </c>
      <c r="L53" s="59">
        <f t="shared" si="45"/>
        <v>558843.90688602137</v>
      </c>
      <c r="M53" s="59">
        <f t="shared" si="45"/>
        <v>553199.58342647261</v>
      </c>
      <c r="N53" s="59">
        <f t="shared" si="45"/>
        <v>547612.26763386524</v>
      </c>
      <c r="O53" s="59">
        <f t="shared" si="45"/>
        <v>542081.38373076322</v>
      </c>
      <c r="P53" s="59">
        <f t="shared" si="45"/>
        <v>536606.3617550825</v>
      </c>
      <c r="Q53" s="59">
        <f t="shared" si="45"/>
        <v>531186.63750135619</v>
      </c>
      <c r="R53" s="59">
        <f t="shared" si="45"/>
        <v>525821.65246259246</v>
      </c>
      <c r="S53" s="59">
        <f t="shared" si="45"/>
        <v>520510.85377272026</v>
      </c>
      <c r="T53" s="59">
        <f t="shared" si="45"/>
        <v>515253.69414961577</v>
      </c>
      <c r="U53" s="59">
        <f t="shared" si="45"/>
        <v>510049.63183870463</v>
      </c>
      <c r="V53" s="59">
        <f t="shared" si="45"/>
        <v>504898.1305571337</v>
      </c>
      <c r="W53" s="59">
        <f t="shared" si="45"/>
        <v>499798.65943850664</v>
      </c>
      <c r="X53" s="59">
        <f t="shared" si="45"/>
        <v>494750.69297817774</v>
      </c>
      <c r="Y53" s="59">
        <f t="shared" si="45"/>
        <v>489753.71097909816</v>
      </c>
      <c r="Z53" s="59">
        <f t="shared" si="45"/>
        <v>484807.1984982093</v>
      </c>
      <c r="AA53" s="59">
        <f t="shared" si="45"/>
        <v>479910.64579337736</v>
      </c>
      <c r="AB53" s="59">
        <f t="shared" si="45"/>
        <v>475063.54827086424</v>
      </c>
      <c r="AC53" s="59">
        <f t="shared" si="45"/>
        <v>470265.40643332852</v>
      </c>
      <c r="AD53" s="59">
        <f t="shared" si="45"/>
        <v>465515.72582835192</v>
      </c>
      <c r="AE53" s="59">
        <f t="shared" si="45"/>
        <v>460814.01699748554</v>
      </c>
      <c r="AF53" s="59">
        <f t="shared" si="45"/>
        <v>342119.8465693582</v>
      </c>
      <c r="AG53" s="59">
        <f t="shared" si="45"/>
        <v>338664.43611900765</v>
      </c>
      <c r="AH53" s="59">
        <f t="shared" si="45"/>
        <v>335243.9253142057</v>
      </c>
      <c r="AI53" s="59">
        <f t="shared" si="45"/>
        <v>331857.96166853223</v>
      </c>
      <c r="AJ53" s="59">
        <f t="shared" si="45"/>
        <v>328506.19625568006</v>
      </c>
      <c r="AK53" s="59">
        <f t="shared" si="45"/>
        <v>325188.28367349767</v>
      </c>
      <c r="AL53" s="59">
        <f t="shared" si="45"/>
        <v>321903.88200839539</v>
      </c>
      <c r="AM53" s="59">
        <f t="shared" si="45"/>
        <v>318652.65280011058</v>
      </c>
      <c r="AN53" s="59">
        <f t="shared" si="45"/>
        <v>315434.26100682945</v>
      </c>
      <c r="AO53" s="59">
        <f t="shared" si="45"/>
        <v>312248.37497066054</v>
      </c>
      <c r="AP53" s="59">
        <f t="shared" si="45"/>
        <v>309094.66638345685</v>
      </c>
      <c r="AQ53" s="59">
        <f t="shared" si="45"/>
        <v>305972.81025298394</v>
      </c>
      <c r="AR53" s="59">
        <f t="shared" si="45"/>
        <v>302882.48486942879</v>
      </c>
      <c r="AS53" s="59">
        <f t="shared" si="45"/>
        <v>299823.3717722476</v>
      </c>
      <c r="AT53" s="59">
        <f t="shared" si="45"/>
        <v>296795.15571734786</v>
      </c>
      <c r="AU53" s="59">
        <f t="shared" si="45"/>
        <v>293797.52464460267</v>
      </c>
      <c r="AV53" s="59">
        <f t="shared" si="45"/>
        <v>290830.16964569222</v>
      </c>
      <c r="AW53" s="59">
        <f t="shared" si="45"/>
        <v>287892.7849322707</v>
      </c>
      <c r="AX53" s="59">
        <f t="shared" si="45"/>
        <v>284985.06780445477</v>
      </c>
      <c r="AY53" s="59">
        <f t="shared" si="45"/>
        <v>282106.71861962974</v>
      </c>
      <c r="AZ53" s="59">
        <f t="shared" si="45"/>
        <v>279257.44076157152</v>
      </c>
      <c r="BA53" s="59">
        <f t="shared" si="45"/>
        <v>276436.94060987962</v>
      </c>
      <c r="BB53" s="59">
        <f t="shared" si="45"/>
        <v>273644.92750971986</v>
      </c>
      <c r="BC53" s="59">
        <f t="shared" si="45"/>
        <v>270881.11374187167</v>
      </c>
      <c r="BD53" s="59">
        <f t="shared" si="45"/>
        <v>268145.21449307876</v>
      </c>
      <c r="BE53" s="59">
        <f t="shared" si="45"/>
        <v>265436.94782669866</v>
      </c>
      <c r="BF53" s="59">
        <f t="shared" si="45"/>
        <v>262756.03465364903</v>
      </c>
      <c r="BG53" s="59">
        <f t="shared" si="45"/>
        <v>260102.19870364718</v>
      </c>
      <c r="BH53" s="59">
        <f t="shared" si="45"/>
        <v>257475.16649674036</v>
      </c>
      <c r="BI53" s="59">
        <f t="shared" si="45"/>
        <v>254874.66731512331</v>
      </c>
      <c r="BJ53" s="59">
        <f t="shared" si="45"/>
        <v>252300.43317524059</v>
      </c>
      <c r="BK53" s="59">
        <f t="shared" si="45"/>
        <v>249752.19880017065</v>
      </c>
      <c r="BL53" s="59">
        <f t="shared" si="45"/>
        <v>247229.70159228891</v>
      </c>
      <c r="BM53" s="59">
        <f t="shared" si="45"/>
        <v>244732.68160620681</v>
      </c>
      <c r="BN53" s="59">
        <f t="shared" si="45"/>
        <v>242260.88152198412</v>
      </c>
      <c r="BO53" s="59">
        <f t="shared" si="45"/>
        <v>239814.04661861208</v>
      </c>
      <c r="BP53" s="59">
        <f t="shared" si="45"/>
        <v>237391.92474776407</v>
      </c>
      <c r="BQ53" s="59">
        <f t="shared" si="45"/>
        <v>234994.26630781166</v>
      </c>
      <c r="BR53" s="59">
        <f t="shared" ref="BR53:DU53" si="46">BR39+BR45</f>
        <v>232620.82421810273</v>
      </c>
      <c r="BS53" s="59">
        <f t="shared" si="46"/>
        <v>230271.35389349988</v>
      </c>
      <c r="BT53" s="59">
        <f t="shared" si="46"/>
        <v>227945.61321917555</v>
      </c>
      <c r="BU53" s="59">
        <f t="shared" si="46"/>
        <v>225643.36252566188</v>
      </c>
      <c r="BV53" s="59">
        <f t="shared" si="46"/>
        <v>223364.36456415267</v>
      </c>
      <c r="BW53" s="59">
        <f t="shared" si="46"/>
        <v>221108.38448205474</v>
      </c>
      <c r="BX53" s="59">
        <f t="shared" si="46"/>
        <v>218875.18979878601</v>
      </c>
      <c r="BY53" s="59">
        <f t="shared" si="46"/>
        <v>216664.55038181826</v>
      </c>
      <c r="BZ53" s="59">
        <f t="shared" si="46"/>
        <v>214476.23842296191</v>
      </c>
      <c r="CA53" s="59">
        <f t="shared" si="46"/>
        <v>212310.02841489</v>
      </c>
      <c r="CB53" s="59">
        <f t="shared" si="46"/>
        <v>210165.69712789959</v>
      </c>
      <c r="CC53" s="59">
        <f t="shared" si="46"/>
        <v>208043.02358690777</v>
      </c>
      <c r="CD53" s="59">
        <f t="shared" si="46"/>
        <v>205941.78904868002</v>
      </c>
      <c r="CE53" s="59">
        <f t="shared" si="46"/>
        <v>203861.77697928835</v>
      </c>
      <c r="CF53" s="59">
        <f t="shared" si="46"/>
        <v>201802.77303179755</v>
      </c>
      <c r="CG53" s="59">
        <f t="shared" si="46"/>
        <v>199764.56502417638</v>
      </c>
      <c r="CH53" s="59">
        <f t="shared" si="46"/>
        <v>197746.9429174322</v>
      </c>
      <c r="CI53" s="59">
        <f t="shared" si="46"/>
        <v>195749.69879396615</v>
      </c>
      <c r="CJ53" s="59">
        <f t="shared" si="46"/>
        <v>193772.6268361471</v>
      </c>
      <c r="CK53" s="59">
        <f t="shared" si="46"/>
        <v>191815.52330510202</v>
      </c>
      <c r="CL53" s="59">
        <f t="shared" si="46"/>
        <v>189878.18651972048</v>
      </c>
      <c r="CM53" s="59">
        <f t="shared" si="46"/>
        <v>187960.41683587129</v>
      </c>
      <c r="CN53" s="59">
        <f t="shared" si="46"/>
        <v>186062.01662582901</v>
      </c>
      <c r="CO53" s="59">
        <f t="shared" si="46"/>
        <v>184182.79025790814</v>
      </c>
      <c r="CP53" s="59">
        <f t="shared" si="46"/>
        <v>182322.54407630325</v>
      </c>
      <c r="CQ53" s="59">
        <f t="shared" si="46"/>
        <v>180481.0863811326</v>
      </c>
      <c r="CR53" s="59">
        <f t="shared" si="46"/>
        <v>178658.22740868316</v>
      </c>
      <c r="CS53" s="59">
        <f t="shared" si="46"/>
        <v>176853.77931185547</v>
      </c>
      <c r="CT53" s="59">
        <f t="shared" si="46"/>
        <v>175067.55614080574</v>
      </c>
      <c r="CU53" s="59">
        <f t="shared" si="46"/>
        <v>173299.37382378359</v>
      </c>
      <c r="CV53" s="59">
        <f t="shared" si="46"/>
        <v>171549.05014816337</v>
      </c>
      <c r="CW53" s="59">
        <f t="shared" si="46"/>
        <v>169816.40474166692</v>
      </c>
      <c r="CX53" s="59">
        <f t="shared" si="46"/>
        <v>168101.25905377607</v>
      </c>
      <c r="CY53" s="59">
        <f t="shared" si="46"/>
        <v>166403.43633733294</v>
      </c>
      <c r="CZ53" s="59">
        <f t="shared" si="46"/>
        <v>164722.76163032587</v>
      </c>
      <c r="DA53" s="59">
        <f t="shared" si="46"/>
        <v>163059.06173785959</v>
      </c>
      <c r="DB53" s="59">
        <f t="shared" si="46"/>
        <v>161412.1652143072</v>
      </c>
      <c r="DC53" s="59">
        <f t="shared" si="46"/>
        <v>159781.90234564271</v>
      </c>
      <c r="DD53" s="59">
        <f t="shared" si="46"/>
        <v>158168.10513195171</v>
      </c>
      <c r="DE53" s="59">
        <f t="shared" si="46"/>
        <v>156570.60727011901</v>
      </c>
      <c r="DF53" s="59">
        <f t="shared" si="46"/>
        <v>154989.2441366908</v>
      </c>
      <c r="DG53" s="59">
        <f t="shared" si="46"/>
        <v>153423.85277091025</v>
      </c>
      <c r="DH53" s="59">
        <f t="shared" si="46"/>
        <v>151874.27185792403</v>
      </c>
      <c r="DI53" s="59">
        <f t="shared" si="46"/>
        <v>150340.34171215902</v>
      </c>
      <c r="DJ53" s="59">
        <f t="shared" si="46"/>
        <v>148821.9042608662</v>
      </c>
      <c r="DK53" s="59">
        <f t="shared" si="46"/>
        <v>147318.80302783145</v>
      </c>
      <c r="DL53" s="59">
        <f t="shared" si="46"/>
        <v>145830.88311725034</v>
      </c>
      <c r="DM53" s="59">
        <f t="shared" si="46"/>
        <v>144357.99119776612</v>
      </c>
      <c r="DN53" s="59">
        <f t="shared" si="46"/>
        <v>142899.9754866687</v>
      </c>
      <c r="DO53" s="59">
        <f t="shared" si="46"/>
        <v>141456.68573425335</v>
      </c>
      <c r="DP53" s="59">
        <f t="shared" si="46"/>
        <v>140027.97320833738</v>
      </c>
      <c r="DQ53" s="59">
        <f t="shared" si="46"/>
        <v>138613.69067893317</v>
      </c>
      <c r="DR53" s="59">
        <f t="shared" si="46"/>
        <v>137213.69240307595</v>
      </c>
      <c r="DS53" s="59">
        <f t="shared" si="46"/>
        <v>135827.83410980488</v>
      </c>
      <c r="DT53" s="59">
        <f t="shared" si="46"/>
        <v>134455.97298529584</v>
      </c>
      <c r="DU53" s="60">
        <f t="shared" si="46"/>
        <v>806735.8379117751</v>
      </c>
    </row>
    <row r="54" spans="2:125" x14ac:dyDescent="0.4">
      <c r="B54" s="39"/>
      <c r="C54" s="55" t="s">
        <v>61</v>
      </c>
      <c r="D54" s="62"/>
      <c r="E54" s="59">
        <f>E40+E46</f>
        <v>70000</v>
      </c>
      <c r="F54" s="59">
        <f t="shared" ref="F54:BQ54" si="47">F40+F46</f>
        <v>69293</v>
      </c>
      <c r="G54" s="59">
        <f t="shared" si="47"/>
        <v>68593.140700000004</v>
      </c>
      <c r="H54" s="59">
        <f t="shared" si="47"/>
        <v>67900.349978929997</v>
      </c>
      <c r="I54" s="59">
        <f t="shared" si="47"/>
        <v>67214.5564441428</v>
      </c>
      <c r="J54" s="59">
        <f t="shared" si="47"/>
        <v>66535.689424056953</v>
      </c>
      <c r="K54" s="59">
        <f t="shared" si="47"/>
        <v>65863.678960873978</v>
      </c>
      <c r="L54" s="59">
        <f t="shared" si="47"/>
        <v>65198.45580336915</v>
      </c>
      <c r="M54" s="59">
        <f t="shared" si="47"/>
        <v>64539.951399755118</v>
      </c>
      <c r="N54" s="59">
        <f t="shared" si="47"/>
        <v>63888.097890617595</v>
      </c>
      <c r="O54" s="59">
        <f t="shared" si="47"/>
        <v>63242.828101922358</v>
      </c>
      <c r="P54" s="59">
        <f t="shared" si="47"/>
        <v>62604.07553809294</v>
      </c>
      <c r="Q54" s="59">
        <f t="shared" si="47"/>
        <v>61971.774375158202</v>
      </c>
      <c r="R54" s="59">
        <f t="shared" si="47"/>
        <v>61345.859453969104</v>
      </c>
      <c r="S54" s="59">
        <f t="shared" si="47"/>
        <v>60726.26627348402</v>
      </c>
      <c r="T54" s="59">
        <f t="shared" si="47"/>
        <v>60112.930984121835</v>
      </c>
      <c r="U54" s="59">
        <f t="shared" si="47"/>
        <v>59505.790381182203</v>
      </c>
      <c r="V54" s="59">
        <f t="shared" si="47"/>
        <v>58904.781898332265</v>
      </c>
      <c r="W54" s="59">
        <f t="shared" si="47"/>
        <v>58309.843601159111</v>
      </c>
      <c r="X54" s="59">
        <f t="shared" si="47"/>
        <v>57720.914180787404</v>
      </c>
      <c r="Y54" s="59">
        <f t="shared" si="47"/>
        <v>57137.93294756145</v>
      </c>
      <c r="Z54" s="59">
        <f t="shared" si="47"/>
        <v>56560.839824791081</v>
      </c>
      <c r="AA54" s="59">
        <f t="shared" si="47"/>
        <v>55989.575342560689</v>
      </c>
      <c r="AB54" s="59">
        <f t="shared" si="47"/>
        <v>55424.080631600824</v>
      </c>
      <c r="AC54" s="59">
        <f t="shared" si="47"/>
        <v>54864.297417221656</v>
      </c>
      <c r="AD54" s="59">
        <f t="shared" si="47"/>
        <v>54310.168013307717</v>
      </c>
      <c r="AE54" s="59">
        <f t="shared" si="47"/>
        <v>53761.635316373307</v>
      </c>
      <c r="AF54" s="59">
        <f t="shared" si="47"/>
        <v>39913.982099758454</v>
      </c>
      <c r="AG54" s="59">
        <f t="shared" si="47"/>
        <v>39510.85088055089</v>
      </c>
      <c r="AH54" s="59">
        <f t="shared" si="47"/>
        <v>39111.791286657332</v>
      </c>
      <c r="AI54" s="59">
        <f t="shared" si="47"/>
        <v>38716.762194662093</v>
      </c>
      <c r="AJ54" s="59">
        <f t="shared" si="47"/>
        <v>38325.722896496009</v>
      </c>
      <c r="AK54" s="59">
        <f t="shared" si="47"/>
        <v>37938.633095241399</v>
      </c>
      <c r="AL54" s="59">
        <f t="shared" si="47"/>
        <v>37555.452900979464</v>
      </c>
      <c r="AM54" s="59">
        <f t="shared" si="47"/>
        <v>37176.14282667957</v>
      </c>
      <c r="AN54" s="59">
        <f t="shared" si="47"/>
        <v>36800.663784130105</v>
      </c>
      <c r="AO54" s="59">
        <f t="shared" si="47"/>
        <v>36428.977079910394</v>
      </c>
      <c r="AP54" s="59">
        <f t="shared" si="47"/>
        <v>36061.044411403294</v>
      </c>
      <c r="AQ54" s="59">
        <f t="shared" si="47"/>
        <v>35696.82786284812</v>
      </c>
      <c r="AR54" s="59">
        <f t="shared" si="47"/>
        <v>35336.289901433352</v>
      </c>
      <c r="AS54" s="59">
        <f t="shared" si="47"/>
        <v>34979.393373428873</v>
      </c>
      <c r="AT54" s="59">
        <f t="shared" si="47"/>
        <v>34626.101500357247</v>
      </c>
      <c r="AU54" s="59">
        <f t="shared" si="47"/>
        <v>34276.377875203638</v>
      </c>
      <c r="AV54" s="59">
        <f t="shared" si="47"/>
        <v>33930.186458664073</v>
      </c>
      <c r="AW54" s="59">
        <f t="shared" si="47"/>
        <v>33587.491575431566</v>
      </c>
      <c r="AX54" s="59">
        <f t="shared" si="47"/>
        <v>33248.257910519707</v>
      </c>
      <c r="AY54" s="59">
        <f t="shared" si="47"/>
        <v>32912.450505623456</v>
      </c>
      <c r="AZ54" s="59">
        <f t="shared" si="47"/>
        <v>32580.034755516659</v>
      </c>
      <c r="BA54" s="59">
        <f t="shared" si="47"/>
        <v>32250.97640448594</v>
      </c>
      <c r="BB54" s="59">
        <f t="shared" si="47"/>
        <v>31925.241542800632</v>
      </c>
      <c r="BC54" s="59">
        <f t="shared" si="47"/>
        <v>31602.796603218347</v>
      </c>
      <c r="BD54" s="59">
        <f t="shared" si="47"/>
        <v>31283.608357525842</v>
      </c>
      <c r="BE54" s="59">
        <f t="shared" si="47"/>
        <v>30967.643913114829</v>
      </c>
      <c r="BF54" s="59">
        <f t="shared" si="47"/>
        <v>30654.870709592375</v>
      </c>
      <c r="BG54" s="59">
        <f t="shared" si="47"/>
        <v>30345.256515425488</v>
      </c>
      <c r="BH54" s="59">
        <f t="shared" si="47"/>
        <v>30038.769424619692</v>
      </c>
      <c r="BI54" s="59">
        <f t="shared" si="47"/>
        <v>29735.377853431033</v>
      </c>
      <c r="BJ54" s="59">
        <f t="shared" si="47"/>
        <v>29435.050537111383</v>
      </c>
      <c r="BK54" s="59">
        <f t="shared" si="47"/>
        <v>29137.756526686557</v>
      </c>
      <c r="BL54" s="59">
        <f t="shared" si="47"/>
        <v>28843.465185767025</v>
      </c>
      <c r="BM54" s="59">
        <f t="shared" si="47"/>
        <v>28552.146187390783</v>
      </c>
      <c r="BN54" s="59">
        <f t="shared" si="47"/>
        <v>28263.769510898132</v>
      </c>
      <c r="BO54" s="59">
        <f t="shared" si="47"/>
        <v>27978.305438838062</v>
      </c>
      <c r="BP54" s="59">
        <f t="shared" si="47"/>
        <v>27695.724553905799</v>
      </c>
      <c r="BQ54" s="59">
        <f t="shared" si="47"/>
        <v>27415.997735911347</v>
      </c>
      <c r="BR54" s="59">
        <f t="shared" ref="BR54:DU54" si="48">BR40+BR46</f>
        <v>27139.096158778644</v>
      </c>
      <c r="BS54" s="59">
        <f t="shared" si="48"/>
        <v>26864.991287574976</v>
      </c>
      <c r="BT54" s="59">
        <f t="shared" si="48"/>
        <v>26593.654875570464</v>
      </c>
      <c r="BU54" s="59">
        <f t="shared" si="48"/>
        <v>26325.058961327202</v>
      </c>
      <c r="BV54" s="59">
        <f t="shared" si="48"/>
        <v>26059.175865817801</v>
      </c>
      <c r="BW54" s="59">
        <f t="shared" si="48"/>
        <v>25795.978189573041</v>
      </c>
      <c r="BX54" s="59">
        <f t="shared" si="48"/>
        <v>25535.438809858351</v>
      </c>
      <c r="BY54" s="59">
        <f t="shared" si="48"/>
        <v>25277.53087787878</v>
      </c>
      <c r="BZ54" s="59">
        <f t="shared" si="48"/>
        <v>25022.2278160122</v>
      </c>
      <c r="CA54" s="59">
        <f t="shared" si="48"/>
        <v>24769.503315070477</v>
      </c>
      <c r="CB54" s="59">
        <f t="shared" si="48"/>
        <v>24519.331331588262</v>
      </c>
      <c r="CC54" s="59">
        <f t="shared" si="48"/>
        <v>24271.686085139223</v>
      </c>
      <c r="CD54" s="59">
        <f t="shared" si="48"/>
        <v>24026.542055679314</v>
      </c>
      <c r="CE54" s="59">
        <f t="shared" si="48"/>
        <v>23783.873980916953</v>
      </c>
      <c r="CF54" s="59">
        <f t="shared" si="48"/>
        <v>23543.656853709694</v>
      </c>
      <c r="CG54" s="59">
        <f t="shared" si="48"/>
        <v>23305.865919487227</v>
      </c>
      <c r="CH54" s="59">
        <f t="shared" si="48"/>
        <v>23070.476673700403</v>
      </c>
      <c r="CI54" s="59">
        <f t="shared" si="48"/>
        <v>22837.464859296029</v>
      </c>
      <c r="CJ54" s="59">
        <f t="shared" si="48"/>
        <v>22606.806464217138</v>
      </c>
      <c r="CK54" s="59">
        <f t="shared" si="48"/>
        <v>22378.477718928545</v>
      </c>
      <c r="CL54" s="59">
        <f t="shared" si="48"/>
        <v>22152.455093967365</v>
      </c>
      <c r="CM54" s="59">
        <f t="shared" si="48"/>
        <v>21928.715297518298</v>
      </c>
      <c r="CN54" s="59">
        <f t="shared" si="48"/>
        <v>21707.235273013364</v>
      </c>
      <c r="CO54" s="59">
        <f t="shared" si="48"/>
        <v>21487.992196755928</v>
      </c>
      <c r="CP54" s="59">
        <f t="shared" si="48"/>
        <v>21270.963475568693</v>
      </c>
      <c r="CQ54" s="59">
        <f t="shared" si="48"/>
        <v>21056.126744465451</v>
      </c>
      <c r="CR54" s="59">
        <f t="shared" si="48"/>
        <v>20843.459864346351</v>
      </c>
      <c r="CS54" s="59">
        <f t="shared" si="48"/>
        <v>20632.940919716453</v>
      </c>
      <c r="CT54" s="59">
        <f t="shared" si="48"/>
        <v>20424.54821642732</v>
      </c>
      <c r="CU54" s="59">
        <f t="shared" si="48"/>
        <v>20218.260279441402</v>
      </c>
      <c r="CV54" s="59">
        <f t="shared" si="48"/>
        <v>20014.055850619043</v>
      </c>
      <c r="CW54" s="59">
        <f t="shared" si="48"/>
        <v>19811.913886527793</v>
      </c>
      <c r="CX54" s="59">
        <f t="shared" si="48"/>
        <v>19611.813556273861</v>
      </c>
      <c r="CY54" s="59">
        <f t="shared" si="48"/>
        <v>19413.734239355494</v>
      </c>
      <c r="CZ54" s="59">
        <f t="shared" si="48"/>
        <v>19217.655523538004</v>
      </c>
      <c r="DA54" s="59">
        <f t="shared" si="48"/>
        <v>19023.557202750271</v>
      </c>
      <c r="DB54" s="59">
        <f t="shared" si="48"/>
        <v>18831.419275002492</v>
      </c>
      <c r="DC54" s="59">
        <f t="shared" si="48"/>
        <v>18641.221940324966</v>
      </c>
      <c r="DD54" s="59">
        <f t="shared" si="48"/>
        <v>18452.945598727685</v>
      </c>
      <c r="DE54" s="59">
        <f t="shared" si="48"/>
        <v>18266.570848180534</v>
      </c>
      <c r="DF54" s="59">
        <f t="shared" si="48"/>
        <v>18082.078482613913</v>
      </c>
      <c r="DG54" s="59">
        <f t="shared" si="48"/>
        <v>17899.449489939514</v>
      </c>
      <c r="DH54" s="59">
        <f t="shared" si="48"/>
        <v>17718.665050091124</v>
      </c>
      <c r="DI54" s="59">
        <f t="shared" si="48"/>
        <v>17539.706533085206</v>
      </c>
      <c r="DJ54" s="59">
        <f t="shared" si="48"/>
        <v>17362.555497101042</v>
      </c>
      <c r="DK54" s="59">
        <f t="shared" si="48"/>
        <v>17187.193686580322</v>
      </c>
      <c r="DL54" s="59">
        <f t="shared" si="48"/>
        <v>17013.603030345861</v>
      </c>
      <c r="DM54" s="59">
        <f t="shared" si="48"/>
        <v>16841.765639739369</v>
      </c>
      <c r="DN54" s="59">
        <f t="shared" si="48"/>
        <v>16671.663806778</v>
      </c>
      <c r="DO54" s="59">
        <f t="shared" si="48"/>
        <v>16503.280002329542</v>
      </c>
      <c r="DP54" s="59">
        <f t="shared" si="48"/>
        <v>16336.596874306015</v>
      </c>
      <c r="DQ54" s="59">
        <f t="shared" si="48"/>
        <v>16171.597245875524</v>
      </c>
      <c r="DR54" s="59">
        <f t="shared" si="48"/>
        <v>16008.264113692181</v>
      </c>
      <c r="DS54" s="59">
        <f t="shared" si="48"/>
        <v>15846.580646143891</v>
      </c>
      <c r="DT54" s="59">
        <f t="shared" si="48"/>
        <v>15686.530181617836</v>
      </c>
      <c r="DU54" s="60">
        <f t="shared" si="48"/>
        <v>94119.18108970701</v>
      </c>
    </row>
    <row r="55" spans="2:125" s="4" customFormat="1" x14ac:dyDescent="0.4">
      <c r="B55" s="74" t="s">
        <v>37</v>
      </c>
      <c r="C55" s="103" t="s">
        <v>74</v>
      </c>
      <c r="D55" s="91"/>
      <c r="E55" s="90">
        <f>SUM(E56:E57)</f>
        <v>0</v>
      </c>
      <c r="F55" s="90">
        <f t="shared" ref="F55:BQ55" si="49">SUM(F56:F57)</f>
        <v>0</v>
      </c>
      <c r="G55" s="90">
        <f t="shared" si="49"/>
        <v>0</v>
      </c>
      <c r="H55" s="90">
        <f t="shared" si="49"/>
        <v>0</v>
      </c>
      <c r="I55" s="90">
        <f t="shared" si="49"/>
        <v>0</v>
      </c>
      <c r="J55" s="90">
        <f t="shared" si="49"/>
        <v>0</v>
      </c>
      <c r="K55" s="90">
        <f t="shared" si="49"/>
        <v>0</v>
      </c>
      <c r="L55" s="90">
        <f t="shared" si="49"/>
        <v>0</v>
      </c>
      <c r="M55" s="90">
        <f t="shared" si="49"/>
        <v>0</v>
      </c>
      <c r="N55" s="90">
        <f t="shared" si="49"/>
        <v>0</v>
      </c>
      <c r="O55" s="90">
        <f t="shared" si="49"/>
        <v>0</v>
      </c>
      <c r="P55" s="90">
        <f t="shared" si="49"/>
        <v>0</v>
      </c>
      <c r="Q55" s="90">
        <f t="shared" si="49"/>
        <v>0</v>
      </c>
      <c r="R55" s="90">
        <f t="shared" si="49"/>
        <v>0</v>
      </c>
      <c r="S55" s="90">
        <f t="shared" si="49"/>
        <v>0</v>
      </c>
      <c r="T55" s="90">
        <f t="shared" si="49"/>
        <v>0</v>
      </c>
      <c r="U55" s="90">
        <f t="shared" si="49"/>
        <v>0</v>
      </c>
      <c r="V55" s="90">
        <f t="shared" si="49"/>
        <v>0</v>
      </c>
      <c r="W55" s="90">
        <f t="shared" si="49"/>
        <v>0</v>
      </c>
      <c r="X55" s="90">
        <f t="shared" si="49"/>
        <v>0</v>
      </c>
      <c r="Y55" s="90">
        <f t="shared" si="49"/>
        <v>0</v>
      </c>
      <c r="Z55" s="90">
        <f t="shared" si="49"/>
        <v>0</v>
      </c>
      <c r="AA55" s="90">
        <f t="shared" si="49"/>
        <v>0</v>
      </c>
      <c r="AB55" s="90">
        <f t="shared" si="49"/>
        <v>0</v>
      </c>
      <c r="AC55" s="90">
        <f t="shared" si="49"/>
        <v>0</v>
      </c>
      <c r="AD55" s="90">
        <f t="shared" si="49"/>
        <v>0</v>
      </c>
      <c r="AE55" s="90">
        <f t="shared" si="49"/>
        <v>0</v>
      </c>
      <c r="AF55" s="90">
        <f t="shared" si="49"/>
        <v>127344.60955637222</v>
      </c>
      <c r="AG55" s="90">
        <f t="shared" si="49"/>
        <v>126058.42899985285</v>
      </c>
      <c r="AH55" s="90">
        <f t="shared" si="49"/>
        <v>124785.23886695434</v>
      </c>
      <c r="AI55" s="90">
        <f t="shared" si="49"/>
        <v>123524.90795439811</v>
      </c>
      <c r="AJ55" s="90">
        <f t="shared" si="49"/>
        <v>122277.30638405868</v>
      </c>
      <c r="AK55" s="90">
        <f t="shared" si="49"/>
        <v>121042.3055895797</v>
      </c>
      <c r="AL55" s="90">
        <f t="shared" si="49"/>
        <v>119819.77830312494</v>
      </c>
      <c r="AM55" s="90">
        <f t="shared" si="49"/>
        <v>118609.59854226338</v>
      </c>
      <c r="AN55" s="90">
        <f t="shared" si="49"/>
        <v>117411.64159698653</v>
      </c>
      <c r="AO55" s="90">
        <f t="shared" si="49"/>
        <v>116225.78401685697</v>
      </c>
      <c r="AP55" s="90">
        <f t="shared" si="49"/>
        <v>115051.90359828671</v>
      </c>
      <c r="AQ55" s="90">
        <f t="shared" si="49"/>
        <v>113889.87937194401</v>
      </c>
      <c r="AR55" s="90">
        <f t="shared" si="49"/>
        <v>112739.59159028738</v>
      </c>
      <c r="AS55" s="90">
        <f t="shared" si="49"/>
        <v>111600.92171522549</v>
      </c>
      <c r="AT55" s="90">
        <f t="shared" si="49"/>
        <v>110473.7524059017</v>
      </c>
      <c r="AU55" s="90">
        <f t="shared" si="49"/>
        <v>109357.9675066021</v>
      </c>
      <c r="AV55" s="90">
        <f t="shared" si="49"/>
        <v>108253.45203478543</v>
      </c>
      <c r="AW55" s="90">
        <f t="shared" si="49"/>
        <v>107160.09216923409</v>
      </c>
      <c r="AX55" s="90">
        <f t="shared" si="49"/>
        <v>106077.77523832482</v>
      </c>
      <c r="AY55" s="90">
        <f t="shared" si="49"/>
        <v>105006.38970841774</v>
      </c>
      <c r="AZ55" s="90">
        <f t="shared" si="49"/>
        <v>103945.82517236272</v>
      </c>
      <c r="BA55" s="90">
        <f t="shared" si="49"/>
        <v>102895.97233812185</v>
      </c>
      <c r="BB55" s="90">
        <f t="shared" si="49"/>
        <v>101856.72301750683</v>
      </c>
      <c r="BC55" s="90">
        <f t="shared" si="49"/>
        <v>100827.97011503001</v>
      </c>
      <c r="BD55" s="90">
        <f t="shared" si="49"/>
        <v>99809.607616868205</v>
      </c>
      <c r="BE55" s="90">
        <f t="shared" si="49"/>
        <v>98801.53057993784</v>
      </c>
      <c r="BF55" s="90">
        <f t="shared" si="49"/>
        <v>97803.635121080471</v>
      </c>
      <c r="BG55" s="90">
        <f t="shared" si="49"/>
        <v>96815.818406357561</v>
      </c>
      <c r="BH55" s="90">
        <f t="shared" si="49"/>
        <v>95837.978640453352</v>
      </c>
      <c r="BI55" s="90">
        <f t="shared" si="49"/>
        <v>94870.015056184784</v>
      </c>
      <c r="BJ55" s="90">
        <f t="shared" si="49"/>
        <v>93911.827904117323</v>
      </c>
      <c r="BK55" s="90">
        <f t="shared" si="49"/>
        <v>92963.31844228573</v>
      </c>
      <c r="BL55" s="90">
        <f t="shared" si="49"/>
        <v>92024.388926018641</v>
      </c>
      <c r="BM55" s="90">
        <f t="shared" si="49"/>
        <v>91094.942597865869</v>
      </c>
      <c r="BN55" s="90">
        <f t="shared" si="49"/>
        <v>90174.883677627426</v>
      </c>
      <c r="BO55" s="90">
        <f t="shared" si="49"/>
        <v>89264.117352483387</v>
      </c>
      <c r="BP55" s="90">
        <f t="shared" si="49"/>
        <v>88362.549767223289</v>
      </c>
      <c r="BQ55" s="90">
        <f t="shared" si="49"/>
        <v>87470.088014574343</v>
      </c>
      <c r="BR55" s="90">
        <f t="shared" ref="BR55:DU55" si="50">SUM(BR56:BR57)</f>
        <v>86586.640125627135</v>
      </c>
      <c r="BS55" s="90">
        <f t="shared" si="50"/>
        <v>85712.115060358294</v>
      </c>
      <c r="BT55" s="90">
        <f t="shared" si="50"/>
        <v>84846.422698248673</v>
      </c>
      <c r="BU55" s="90">
        <f t="shared" si="50"/>
        <v>83989.473828996357</v>
      </c>
      <c r="BV55" s="90">
        <f t="shared" si="50"/>
        <v>83141.180143323494</v>
      </c>
      <c r="BW55" s="90">
        <f t="shared" si="50"/>
        <v>82301.454223875931</v>
      </c>
      <c r="BX55" s="90">
        <f t="shared" si="50"/>
        <v>81470.209536214781</v>
      </c>
      <c r="BY55" s="90">
        <f t="shared" si="50"/>
        <v>80647.360419899007</v>
      </c>
      <c r="BZ55" s="90">
        <f t="shared" si="50"/>
        <v>79832.822079658043</v>
      </c>
      <c r="CA55" s="90">
        <f t="shared" si="50"/>
        <v>79026.510576653483</v>
      </c>
      <c r="CB55" s="90">
        <f t="shared" si="50"/>
        <v>78228.342819829282</v>
      </c>
      <c r="CC55" s="90">
        <f t="shared" si="50"/>
        <v>77438.23655734901</v>
      </c>
      <c r="CD55" s="90">
        <f t="shared" si="50"/>
        <v>76656.110368119771</v>
      </c>
      <c r="CE55" s="90">
        <f t="shared" si="50"/>
        <v>75881.883653401761</v>
      </c>
      <c r="CF55" s="90">
        <f t="shared" si="50"/>
        <v>75115.476628502409</v>
      </c>
      <c r="CG55" s="90">
        <f t="shared" si="50"/>
        <v>74356.810314554546</v>
      </c>
      <c r="CH55" s="90">
        <f t="shared" si="50"/>
        <v>73605.806530377537</v>
      </c>
      <c r="CI55" s="90">
        <f t="shared" si="50"/>
        <v>72862.387884420721</v>
      </c>
      <c r="CJ55" s="90">
        <f t="shared" si="50"/>
        <v>72126.47776678807</v>
      </c>
      <c r="CK55" s="90">
        <f t="shared" si="50"/>
        <v>71398.000341343519</v>
      </c>
      <c r="CL55" s="90">
        <f t="shared" si="50"/>
        <v>70676.880537895951</v>
      </c>
      <c r="CM55" s="90">
        <f t="shared" si="50"/>
        <v>69963.044044463197</v>
      </c>
      <c r="CN55" s="90">
        <f t="shared" si="50"/>
        <v>69256.417299614128</v>
      </c>
      <c r="CO55" s="90">
        <f t="shared" si="50"/>
        <v>68556.927484888016</v>
      </c>
      <c r="CP55" s="90">
        <f t="shared" si="50"/>
        <v>67864.502517290646</v>
      </c>
      <c r="CQ55" s="90">
        <f t="shared" si="50"/>
        <v>67179.071041866016</v>
      </c>
      <c r="CR55" s="90">
        <f t="shared" si="50"/>
        <v>66500.562424343167</v>
      </c>
      <c r="CS55" s="90">
        <f t="shared" si="50"/>
        <v>65828.906743857311</v>
      </c>
      <c r="CT55" s="90">
        <f t="shared" si="50"/>
        <v>65164.034785744348</v>
      </c>
      <c r="CU55" s="90">
        <f t="shared" si="50"/>
        <v>64505.878034408335</v>
      </c>
      <c r="CV55" s="90">
        <f t="shared" si="50"/>
        <v>63854.368666260809</v>
      </c>
      <c r="CW55" s="90">
        <f t="shared" si="50"/>
        <v>63209.439542731569</v>
      </c>
      <c r="CX55" s="90">
        <f t="shared" si="50"/>
        <v>62571.024203349982</v>
      </c>
      <c r="CY55" s="90">
        <f t="shared" si="50"/>
        <v>61939.056858896147</v>
      </c>
      <c r="CZ55" s="90">
        <f t="shared" si="50"/>
        <v>61313.472384621295</v>
      </c>
      <c r="DA55" s="90">
        <f t="shared" si="50"/>
        <v>60694.206313536619</v>
      </c>
      <c r="DB55" s="90">
        <f t="shared" si="50"/>
        <v>60081.194829769898</v>
      </c>
      <c r="DC55" s="90">
        <f t="shared" si="50"/>
        <v>59474.374761989224</v>
      </c>
      <c r="DD55" s="90">
        <f t="shared" si="50"/>
        <v>58873.683576893134</v>
      </c>
      <c r="DE55" s="90">
        <f t="shared" si="50"/>
        <v>58279.059372766518</v>
      </c>
      <c r="DF55" s="90">
        <f t="shared" si="50"/>
        <v>57690.440873101579</v>
      </c>
      <c r="DG55" s="90">
        <f t="shared" si="50"/>
        <v>57107.76742028325</v>
      </c>
      <c r="DH55" s="90">
        <f t="shared" si="50"/>
        <v>56530.978969338386</v>
      </c>
      <c r="DI55" s="90">
        <f t="shared" si="50"/>
        <v>55960.016081748072</v>
      </c>
      <c r="DJ55" s="90">
        <f t="shared" si="50"/>
        <v>55394.819919322414</v>
      </c>
      <c r="DK55" s="90">
        <f t="shared" si="50"/>
        <v>54835.332238137256</v>
      </c>
      <c r="DL55" s="90">
        <f t="shared" si="50"/>
        <v>54281.49538253207</v>
      </c>
      <c r="DM55" s="90">
        <f t="shared" si="50"/>
        <v>53733.252279168504</v>
      </c>
      <c r="DN55" s="90">
        <f t="shared" si="50"/>
        <v>53190.546431148898</v>
      </c>
      <c r="DO55" s="90">
        <f t="shared" si="50"/>
        <v>52653.321912194297</v>
      </c>
      <c r="DP55" s="90">
        <f t="shared" si="50"/>
        <v>52121.523360881132</v>
      </c>
      <c r="DQ55" s="90">
        <f t="shared" si="50"/>
        <v>51595.09597493623</v>
      </c>
      <c r="DR55" s="90">
        <f t="shared" si="50"/>
        <v>51073.985505589379</v>
      </c>
      <c r="DS55" s="90">
        <f t="shared" si="50"/>
        <v>50558.138251982928</v>
      </c>
      <c r="DT55" s="90">
        <f t="shared" si="50"/>
        <v>50047.501055637898</v>
      </c>
      <c r="DU55" s="88">
        <f t="shared" si="50"/>
        <v>300285.00633382733</v>
      </c>
    </row>
    <row r="56" spans="2:125" x14ac:dyDescent="0.4">
      <c r="B56" s="39"/>
      <c r="C56" s="55" t="s">
        <v>60</v>
      </c>
      <c r="D56" s="62"/>
      <c r="E56" s="59">
        <f>E48</f>
        <v>0</v>
      </c>
      <c r="F56" s="59">
        <f t="shared" ref="F56:BQ56" si="51">F48</f>
        <v>0</v>
      </c>
      <c r="G56" s="59">
        <f t="shared" si="51"/>
        <v>0</v>
      </c>
      <c r="H56" s="59">
        <f t="shared" si="51"/>
        <v>0</v>
      </c>
      <c r="I56" s="59">
        <f t="shared" si="51"/>
        <v>0</v>
      </c>
      <c r="J56" s="59">
        <f t="shared" si="51"/>
        <v>0</v>
      </c>
      <c r="K56" s="59">
        <f t="shared" si="51"/>
        <v>0</v>
      </c>
      <c r="L56" s="59">
        <f t="shared" si="51"/>
        <v>0</v>
      </c>
      <c r="M56" s="59">
        <f t="shared" si="51"/>
        <v>0</v>
      </c>
      <c r="N56" s="59">
        <f t="shared" si="51"/>
        <v>0</v>
      </c>
      <c r="O56" s="59">
        <f t="shared" si="51"/>
        <v>0</v>
      </c>
      <c r="P56" s="59">
        <f t="shared" si="51"/>
        <v>0</v>
      </c>
      <c r="Q56" s="59">
        <f t="shared" si="51"/>
        <v>0</v>
      </c>
      <c r="R56" s="59">
        <f t="shared" si="51"/>
        <v>0</v>
      </c>
      <c r="S56" s="59">
        <f t="shared" si="51"/>
        <v>0</v>
      </c>
      <c r="T56" s="59">
        <f t="shared" si="51"/>
        <v>0</v>
      </c>
      <c r="U56" s="59">
        <f t="shared" si="51"/>
        <v>0</v>
      </c>
      <c r="V56" s="59">
        <f t="shared" si="51"/>
        <v>0</v>
      </c>
      <c r="W56" s="59">
        <f t="shared" si="51"/>
        <v>0</v>
      </c>
      <c r="X56" s="59">
        <f t="shared" si="51"/>
        <v>0</v>
      </c>
      <c r="Y56" s="59">
        <f t="shared" si="51"/>
        <v>0</v>
      </c>
      <c r="Z56" s="59">
        <f t="shared" si="51"/>
        <v>0</v>
      </c>
      <c r="AA56" s="59">
        <f t="shared" si="51"/>
        <v>0</v>
      </c>
      <c r="AB56" s="59">
        <f t="shared" si="51"/>
        <v>0</v>
      </c>
      <c r="AC56" s="59">
        <f t="shared" si="51"/>
        <v>0</v>
      </c>
      <c r="AD56" s="59">
        <f t="shared" si="51"/>
        <v>0</v>
      </c>
      <c r="AE56" s="59">
        <f t="shared" si="51"/>
        <v>0</v>
      </c>
      <c r="AF56" s="59">
        <f t="shared" si="51"/>
        <v>114039.94885645273</v>
      </c>
      <c r="AG56" s="59">
        <f t="shared" si="51"/>
        <v>112888.14537300255</v>
      </c>
      <c r="AH56" s="59">
        <f t="shared" si="51"/>
        <v>111747.97510473523</v>
      </c>
      <c r="AI56" s="59">
        <f t="shared" si="51"/>
        <v>110619.32055617741</v>
      </c>
      <c r="AJ56" s="59">
        <f t="shared" si="51"/>
        <v>109502.06541856001</v>
      </c>
      <c r="AK56" s="59">
        <f t="shared" si="51"/>
        <v>108396.09455783256</v>
      </c>
      <c r="AL56" s="59">
        <f t="shared" si="51"/>
        <v>107301.29400279846</v>
      </c>
      <c r="AM56" s="59">
        <f t="shared" si="51"/>
        <v>106217.55093337019</v>
      </c>
      <c r="AN56" s="59">
        <f t="shared" si="51"/>
        <v>105144.75366894316</v>
      </c>
      <c r="AO56" s="59">
        <f t="shared" si="51"/>
        <v>104082.79165688684</v>
      </c>
      <c r="AP56" s="59">
        <f t="shared" si="51"/>
        <v>103031.55546115228</v>
      </c>
      <c r="AQ56" s="59">
        <f t="shared" si="51"/>
        <v>101990.93675099465</v>
      </c>
      <c r="AR56" s="59">
        <f t="shared" si="51"/>
        <v>100960.82828980959</v>
      </c>
      <c r="AS56" s="59">
        <f t="shared" si="51"/>
        <v>99941.123924082523</v>
      </c>
      <c r="AT56" s="59">
        <f t="shared" si="51"/>
        <v>98931.718572449288</v>
      </c>
      <c r="AU56" s="59">
        <f t="shared" si="51"/>
        <v>97932.508214867557</v>
      </c>
      <c r="AV56" s="59">
        <f t="shared" si="51"/>
        <v>96943.389881897398</v>
      </c>
      <c r="AW56" s="59">
        <f t="shared" si="51"/>
        <v>95964.261644090235</v>
      </c>
      <c r="AX56" s="59">
        <f t="shared" si="51"/>
        <v>94995.022601484918</v>
      </c>
      <c r="AY56" s="59">
        <f t="shared" si="51"/>
        <v>94035.572873209923</v>
      </c>
      <c r="AZ56" s="59">
        <f t="shared" si="51"/>
        <v>93085.813587190496</v>
      </c>
      <c r="BA56" s="59">
        <f t="shared" si="51"/>
        <v>92145.646869959877</v>
      </c>
      <c r="BB56" s="59">
        <f t="shared" si="51"/>
        <v>91214.975836573285</v>
      </c>
      <c r="BC56" s="59">
        <f t="shared" si="51"/>
        <v>90293.704580623889</v>
      </c>
      <c r="BD56" s="59">
        <f t="shared" si="51"/>
        <v>89381.738164359587</v>
      </c>
      <c r="BE56" s="59">
        <f t="shared" si="51"/>
        <v>88478.982608899561</v>
      </c>
      <c r="BF56" s="59">
        <f t="shared" si="51"/>
        <v>87585.344884549675</v>
      </c>
      <c r="BG56" s="59">
        <f t="shared" si="51"/>
        <v>86700.732901215728</v>
      </c>
      <c r="BH56" s="59">
        <f t="shared" si="51"/>
        <v>85825.055498913454</v>
      </c>
      <c r="BI56" s="59">
        <f t="shared" si="51"/>
        <v>84958.222438374432</v>
      </c>
      <c r="BJ56" s="59">
        <f t="shared" si="51"/>
        <v>84100.144391746857</v>
      </c>
      <c r="BK56" s="59">
        <f t="shared" si="51"/>
        <v>83250.732933390216</v>
      </c>
      <c r="BL56" s="59">
        <f t="shared" si="51"/>
        <v>82409.90053076297</v>
      </c>
      <c r="BM56" s="59">
        <f t="shared" si="51"/>
        <v>81577.56053540227</v>
      </c>
      <c r="BN56" s="59">
        <f t="shared" si="51"/>
        <v>80753.627173994711</v>
      </c>
      <c r="BO56" s="59">
        <f t="shared" si="51"/>
        <v>79938.015539537359</v>
      </c>
      <c r="BP56" s="59">
        <f t="shared" si="51"/>
        <v>79130.641582588025</v>
      </c>
      <c r="BQ56" s="59">
        <f t="shared" si="51"/>
        <v>78331.422102603887</v>
      </c>
      <c r="BR56" s="59">
        <f t="shared" ref="BR56:DU56" si="52">BR48</f>
        <v>77540.274739367582</v>
      </c>
      <c r="BS56" s="59">
        <f t="shared" si="52"/>
        <v>76757.117964499965</v>
      </c>
      <c r="BT56" s="59">
        <f t="shared" si="52"/>
        <v>75981.871073058515</v>
      </c>
      <c r="BU56" s="59">
        <f t="shared" si="52"/>
        <v>75214.454175220628</v>
      </c>
      <c r="BV56" s="59">
        <f t="shared" si="52"/>
        <v>74454.788188050894</v>
      </c>
      <c r="BW56" s="59">
        <f t="shared" si="52"/>
        <v>73702.794827351579</v>
      </c>
      <c r="BX56" s="59">
        <f t="shared" si="52"/>
        <v>72958.396599595333</v>
      </c>
      <c r="BY56" s="59">
        <f t="shared" si="52"/>
        <v>72221.516793939416</v>
      </c>
      <c r="BZ56" s="59">
        <f t="shared" si="52"/>
        <v>71492.079474320635</v>
      </c>
      <c r="CA56" s="59">
        <f t="shared" si="52"/>
        <v>70770.009471629994</v>
      </c>
      <c r="CB56" s="59">
        <f t="shared" si="52"/>
        <v>70055.232375966531</v>
      </c>
      <c r="CC56" s="59">
        <f t="shared" si="52"/>
        <v>69347.674528969263</v>
      </c>
      <c r="CD56" s="59">
        <f t="shared" si="52"/>
        <v>68647.263016226672</v>
      </c>
      <c r="CE56" s="59">
        <f t="shared" si="52"/>
        <v>67953.925659762783</v>
      </c>
      <c r="CF56" s="59">
        <f t="shared" si="52"/>
        <v>67267.591010599179</v>
      </c>
      <c r="CG56" s="59">
        <f t="shared" si="52"/>
        <v>66588.188341392131</v>
      </c>
      <c r="CH56" s="59">
        <f t="shared" si="52"/>
        <v>65915.647639144066</v>
      </c>
      <c r="CI56" s="59">
        <f t="shared" si="52"/>
        <v>65249.899597988711</v>
      </c>
      <c r="CJ56" s="59">
        <f t="shared" si="52"/>
        <v>64590.875612049029</v>
      </c>
      <c r="CK56" s="59">
        <f t="shared" si="52"/>
        <v>63938.507768367337</v>
      </c>
      <c r="CL56" s="59">
        <f t="shared" si="52"/>
        <v>63292.728839906827</v>
      </c>
      <c r="CM56" s="59">
        <f t="shared" si="52"/>
        <v>62653.472278623769</v>
      </c>
      <c r="CN56" s="59">
        <f t="shared" si="52"/>
        <v>62020.672208609671</v>
      </c>
      <c r="CO56" s="59">
        <f t="shared" si="52"/>
        <v>61394.263419302712</v>
      </c>
      <c r="CP56" s="59">
        <f t="shared" si="52"/>
        <v>60774.181358767753</v>
      </c>
      <c r="CQ56" s="59">
        <f t="shared" si="52"/>
        <v>60160.362127044202</v>
      </c>
      <c r="CR56" s="59">
        <f t="shared" si="52"/>
        <v>59552.742469561053</v>
      </c>
      <c r="CS56" s="59">
        <f t="shared" si="52"/>
        <v>58951.25977061849</v>
      </c>
      <c r="CT56" s="59">
        <f t="shared" si="52"/>
        <v>58355.852046935244</v>
      </c>
      <c r="CU56" s="59">
        <f t="shared" si="52"/>
        <v>57766.4579412612</v>
      </c>
      <c r="CV56" s="59">
        <f t="shared" si="52"/>
        <v>57183.016716054459</v>
      </c>
      <c r="CW56" s="59">
        <f t="shared" si="52"/>
        <v>56605.468247222307</v>
      </c>
      <c r="CX56" s="59">
        <f t="shared" si="52"/>
        <v>56033.753017925359</v>
      </c>
      <c r="CY56" s="59">
        <f t="shared" si="52"/>
        <v>55467.812112444313</v>
      </c>
      <c r="CZ56" s="59">
        <f t="shared" si="52"/>
        <v>54907.587210108628</v>
      </c>
      <c r="DA56" s="59">
        <f t="shared" si="52"/>
        <v>54353.020579286531</v>
      </c>
      <c r="DB56" s="59">
        <f t="shared" si="52"/>
        <v>53804.055071435738</v>
      </c>
      <c r="DC56" s="59">
        <f t="shared" si="52"/>
        <v>53260.634115214234</v>
      </c>
      <c r="DD56" s="59">
        <f t="shared" si="52"/>
        <v>52722.701710650574</v>
      </c>
      <c r="DE56" s="59">
        <f t="shared" si="52"/>
        <v>52190.202423373004</v>
      </c>
      <c r="DF56" s="59">
        <f t="shared" si="52"/>
        <v>51663.081378896939</v>
      </c>
      <c r="DG56" s="59">
        <f t="shared" si="52"/>
        <v>51141.284256970081</v>
      </c>
      <c r="DH56" s="59">
        <f t="shared" si="52"/>
        <v>50624.75728597468</v>
      </c>
      <c r="DI56" s="59">
        <f t="shared" si="52"/>
        <v>50113.447237386339</v>
      </c>
      <c r="DJ56" s="59">
        <f t="shared" si="52"/>
        <v>49607.301420288735</v>
      </c>
      <c r="DK56" s="59">
        <f t="shared" si="52"/>
        <v>49106.267675943818</v>
      </c>
      <c r="DL56" s="59">
        <f t="shared" si="52"/>
        <v>48610.294372416785</v>
      </c>
      <c r="DM56" s="59">
        <f t="shared" si="52"/>
        <v>48119.330399255377</v>
      </c>
      <c r="DN56" s="59">
        <f t="shared" si="52"/>
        <v>47633.3251622229</v>
      </c>
      <c r="DO56" s="59">
        <f t="shared" si="52"/>
        <v>47152.228578084447</v>
      </c>
      <c r="DP56" s="59">
        <f t="shared" si="52"/>
        <v>46675.991069445794</v>
      </c>
      <c r="DQ56" s="59">
        <f t="shared" si="52"/>
        <v>46204.56355964439</v>
      </c>
      <c r="DR56" s="59">
        <f t="shared" si="52"/>
        <v>45737.897467691982</v>
      </c>
      <c r="DS56" s="59">
        <f t="shared" si="52"/>
        <v>45275.944703268295</v>
      </c>
      <c r="DT56" s="59">
        <f t="shared" si="52"/>
        <v>44818.657661765283</v>
      </c>
      <c r="DU56" s="60">
        <f t="shared" si="52"/>
        <v>268911.94597059168</v>
      </c>
    </row>
    <row r="57" spans="2:125" x14ac:dyDescent="0.4">
      <c r="B57" s="92"/>
      <c r="C57" s="63" t="s">
        <v>61</v>
      </c>
      <c r="D57" s="64"/>
      <c r="E57" s="65">
        <f>E49</f>
        <v>0</v>
      </c>
      <c r="F57" s="65">
        <f t="shared" ref="F57:BQ57" si="53">F49</f>
        <v>0</v>
      </c>
      <c r="G57" s="65">
        <f t="shared" si="53"/>
        <v>0</v>
      </c>
      <c r="H57" s="65">
        <f t="shared" si="53"/>
        <v>0</v>
      </c>
      <c r="I57" s="65">
        <f t="shared" si="53"/>
        <v>0</v>
      </c>
      <c r="J57" s="65">
        <f t="shared" si="53"/>
        <v>0</v>
      </c>
      <c r="K57" s="65">
        <f t="shared" si="53"/>
        <v>0</v>
      </c>
      <c r="L57" s="65">
        <f t="shared" si="53"/>
        <v>0</v>
      </c>
      <c r="M57" s="65">
        <f t="shared" si="53"/>
        <v>0</v>
      </c>
      <c r="N57" s="65">
        <f t="shared" si="53"/>
        <v>0</v>
      </c>
      <c r="O57" s="65">
        <f t="shared" si="53"/>
        <v>0</v>
      </c>
      <c r="P57" s="65">
        <f t="shared" si="53"/>
        <v>0</v>
      </c>
      <c r="Q57" s="65">
        <f t="shared" si="53"/>
        <v>0</v>
      </c>
      <c r="R57" s="65">
        <f t="shared" si="53"/>
        <v>0</v>
      </c>
      <c r="S57" s="65">
        <f t="shared" si="53"/>
        <v>0</v>
      </c>
      <c r="T57" s="65">
        <f t="shared" si="53"/>
        <v>0</v>
      </c>
      <c r="U57" s="65">
        <f t="shared" si="53"/>
        <v>0</v>
      </c>
      <c r="V57" s="65">
        <f t="shared" si="53"/>
        <v>0</v>
      </c>
      <c r="W57" s="65">
        <f t="shared" si="53"/>
        <v>0</v>
      </c>
      <c r="X57" s="65">
        <f t="shared" si="53"/>
        <v>0</v>
      </c>
      <c r="Y57" s="65">
        <f t="shared" si="53"/>
        <v>0</v>
      </c>
      <c r="Z57" s="65">
        <f t="shared" si="53"/>
        <v>0</v>
      </c>
      <c r="AA57" s="65">
        <f t="shared" si="53"/>
        <v>0</v>
      </c>
      <c r="AB57" s="65">
        <f t="shared" si="53"/>
        <v>0</v>
      </c>
      <c r="AC57" s="65">
        <f t="shared" si="53"/>
        <v>0</v>
      </c>
      <c r="AD57" s="65">
        <f t="shared" si="53"/>
        <v>0</v>
      </c>
      <c r="AE57" s="65">
        <f t="shared" si="53"/>
        <v>0</v>
      </c>
      <c r="AF57" s="65">
        <f t="shared" si="53"/>
        <v>13304.660699919485</v>
      </c>
      <c r="AG57" s="65">
        <f t="shared" si="53"/>
        <v>13170.283626850298</v>
      </c>
      <c r="AH57" s="65">
        <f t="shared" si="53"/>
        <v>13037.263762219111</v>
      </c>
      <c r="AI57" s="65">
        <f t="shared" si="53"/>
        <v>12905.587398220698</v>
      </c>
      <c r="AJ57" s="65">
        <f t="shared" si="53"/>
        <v>12775.24096549867</v>
      </c>
      <c r="AK57" s="65">
        <f t="shared" si="53"/>
        <v>12646.211031747132</v>
      </c>
      <c r="AL57" s="65">
        <f t="shared" si="53"/>
        <v>12518.484300326487</v>
      </c>
      <c r="AM57" s="65">
        <f t="shared" si="53"/>
        <v>12392.04760889319</v>
      </c>
      <c r="AN57" s="65">
        <f t="shared" si="53"/>
        <v>12266.887928043368</v>
      </c>
      <c r="AO57" s="65">
        <f t="shared" si="53"/>
        <v>12142.992359970131</v>
      </c>
      <c r="AP57" s="65">
        <f t="shared" si="53"/>
        <v>12020.348137134431</v>
      </c>
      <c r="AQ57" s="65">
        <f t="shared" si="53"/>
        <v>11898.942620949374</v>
      </c>
      <c r="AR57" s="65">
        <f t="shared" si="53"/>
        <v>11778.763300477785</v>
      </c>
      <c r="AS57" s="65">
        <f t="shared" si="53"/>
        <v>11659.797791142959</v>
      </c>
      <c r="AT57" s="65">
        <f t="shared" si="53"/>
        <v>11542.033833452415</v>
      </c>
      <c r="AU57" s="65">
        <f t="shared" si="53"/>
        <v>11425.459291734545</v>
      </c>
      <c r="AV57" s="65">
        <f t="shared" si="53"/>
        <v>11310.062152888026</v>
      </c>
      <c r="AW57" s="65">
        <f t="shared" si="53"/>
        <v>11195.830525143856</v>
      </c>
      <c r="AX57" s="65">
        <f t="shared" si="53"/>
        <v>11082.752636839903</v>
      </c>
      <c r="AY57" s="65">
        <f t="shared" si="53"/>
        <v>10970.816835207819</v>
      </c>
      <c r="AZ57" s="65">
        <f t="shared" si="53"/>
        <v>10860.01158517222</v>
      </c>
      <c r="BA57" s="65">
        <f t="shared" si="53"/>
        <v>10750.32546816198</v>
      </c>
      <c r="BB57" s="65">
        <f t="shared" si="53"/>
        <v>10641.747180933544</v>
      </c>
      <c r="BC57" s="65">
        <f t="shared" si="53"/>
        <v>10534.265534406115</v>
      </c>
      <c r="BD57" s="65">
        <f t="shared" si="53"/>
        <v>10427.869452508614</v>
      </c>
      <c r="BE57" s="65">
        <f t="shared" si="53"/>
        <v>10322.547971038277</v>
      </c>
      <c r="BF57" s="65">
        <f t="shared" si="53"/>
        <v>10218.290236530791</v>
      </c>
      <c r="BG57" s="65">
        <f t="shared" si="53"/>
        <v>10115.085505141829</v>
      </c>
      <c r="BH57" s="65">
        <f t="shared" si="53"/>
        <v>10012.923141539897</v>
      </c>
      <c r="BI57" s="65">
        <f t="shared" si="53"/>
        <v>9911.7926178103444</v>
      </c>
      <c r="BJ57" s="65">
        <f t="shared" si="53"/>
        <v>9811.6835123704604</v>
      </c>
      <c r="BK57" s="65">
        <f t="shared" si="53"/>
        <v>9712.5855088955195</v>
      </c>
      <c r="BL57" s="65">
        <f t="shared" si="53"/>
        <v>9614.4883952556756</v>
      </c>
      <c r="BM57" s="65">
        <f t="shared" si="53"/>
        <v>9517.3820624635937</v>
      </c>
      <c r="BN57" s="65">
        <f t="shared" si="53"/>
        <v>9421.2565036327105</v>
      </c>
      <c r="BO57" s="65">
        <f t="shared" si="53"/>
        <v>9326.1018129460208</v>
      </c>
      <c r="BP57" s="65">
        <f t="shared" si="53"/>
        <v>9231.9081846352656</v>
      </c>
      <c r="BQ57" s="65">
        <f t="shared" si="53"/>
        <v>9138.6659119704491</v>
      </c>
      <c r="BR57" s="65">
        <f t="shared" ref="BR57:DU57" si="54">BR49</f>
        <v>9046.3653862595474</v>
      </c>
      <c r="BS57" s="65">
        <f t="shared" si="54"/>
        <v>8954.9970958583253</v>
      </c>
      <c r="BT57" s="65">
        <f t="shared" si="54"/>
        <v>8864.5516251901554</v>
      </c>
      <c r="BU57" s="65">
        <f t="shared" si="54"/>
        <v>8775.0196537757347</v>
      </c>
      <c r="BV57" s="65">
        <f t="shared" si="54"/>
        <v>8686.3919552726002</v>
      </c>
      <c r="BW57" s="65">
        <f t="shared" si="54"/>
        <v>8598.6593965243464</v>
      </c>
      <c r="BX57" s="65">
        <f t="shared" si="54"/>
        <v>8511.8129366194498</v>
      </c>
      <c r="BY57" s="65">
        <f t="shared" si="54"/>
        <v>8425.8436259595928</v>
      </c>
      <c r="BZ57" s="65">
        <f t="shared" si="54"/>
        <v>8340.7426053374002</v>
      </c>
      <c r="CA57" s="65">
        <f t="shared" si="54"/>
        <v>8256.5011050234916</v>
      </c>
      <c r="CB57" s="65">
        <f t="shared" si="54"/>
        <v>8173.1104438627544</v>
      </c>
      <c r="CC57" s="65">
        <f t="shared" si="54"/>
        <v>8090.5620283797407</v>
      </c>
      <c r="CD57" s="65">
        <f t="shared" si="54"/>
        <v>8008.847351893105</v>
      </c>
      <c r="CE57" s="65">
        <f t="shared" si="54"/>
        <v>7927.9579936389846</v>
      </c>
      <c r="CF57" s="65">
        <f t="shared" si="54"/>
        <v>7847.8856179032309</v>
      </c>
      <c r="CG57" s="65">
        <f t="shared" si="54"/>
        <v>7768.6219731624087</v>
      </c>
      <c r="CH57" s="65">
        <f t="shared" si="54"/>
        <v>7690.1588912334682</v>
      </c>
      <c r="CI57" s="65">
        <f t="shared" si="54"/>
        <v>7612.4882864320098</v>
      </c>
      <c r="CJ57" s="65">
        <f t="shared" si="54"/>
        <v>7535.6021547390465</v>
      </c>
      <c r="CK57" s="65">
        <f t="shared" si="54"/>
        <v>7459.4925729761817</v>
      </c>
      <c r="CL57" s="65">
        <f t="shared" si="54"/>
        <v>7384.1516979891221</v>
      </c>
      <c r="CM57" s="65">
        <f t="shared" si="54"/>
        <v>7309.5717658394324</v>
      </c>
      <c r="CN57" s="65">
        <f t="shared" si="54"/>
        <v>7235.7450910044545</v>
      </c>
      <c r="CO57" s="65">
        <f t="shared" si="54"/>
        <v>7162.6640655853098</v>
      </c>
      <c r="CP57" s="65">
        <f t="shared" si="54"/>
        <v>7090.3211585228983</v>
      </c>
      <c r="CQ57" s="65">
        <f t="shared" si="54"/>
        <v>7018.7089148218174</v>
      </c>
      <c r="CR57" s="65">
        <f t="shared" si="54"/>
        <v>6947.8199547821168</v>
      </c>
      <c r="CS57" s="65">
        <f t="shared" si="54"/>
        <v>6877.6469732388177</v>
      </c>
      <c r="CT57" s="65">
        <f t="shared" si="54"/>
        <v>6808.182738809106</v>
      </c>
      <c r="CU57" s="65">
        <f t="shared" si="54"/>
        <v>6739.4200931471341</v>
      </c>
      <c r="CV57" s="65">
        <f t="shared" si="54"/>
        <v>6671.3519502063482</v>
      </c>
      <c r="CW57" s="65">
        <f t="shared" si="54"/>
        <v>6603.9712955092637</v>
      </c>
      <c r="CX57" s="65">
        <f t="shared" si="54"/>
        <v>6537.2711854246199</v>
      </c>
      <c r="CY57" s="65">
        <f t="shared" si="54"/>
        <v>6471.2447464518309</v>
      </c>
      <c r="CZ57" s="65">
        <f t="shared" si="54"/>
        <v>6405.8851745126676</v>
      </c>
      <c r="DA57" s="65">
        <f t="shared" si="54"/>
        <v>6341.1857342500898</v>
      </c>
      <c r="DB57" s="65">
        <f t="shared" si="54"/>
        <v>6277.1397583341641</v>
      </c>
      <c r="DC57" s="65">
        <f t="shared" si="54"/>
        <v>6213.7406467749888</v>
      </c>
      <c r="DD57" s="65">
        <f t="shared" si="54"/>
        <v>6150.9818662425614</v>
      </c>
      <c r="DE57" s="65">
        <f t="shared" si="54"/>
        <v>6088.856949393512</v>
      </c>
      <c r="DF57" s="65">
        <f t="shared" si="54"/>
        <v>6027.3594942046375</v>
      </c>
      <c r="DG57" s="65">
        <f t="shared" si="54"/>
        <v>5966.4831633131707</v>
      </c>
      <c r="DH57" s="65">
        <f t="shared" si="54"/>
        <v>5906.2216833637076</v>
      </c>
      <c r="DI57" s="65">
        <f t="shared" si="54"/>
        <v>5846.5688443617346</v>
      </c>
      <c r="DJ57" s="65">
        <f t="shared" si="54"/>
        <v>5787.5184990336811</v>
      </c>
      <c r="DK57" s="65">
        <f t="shared" si="54"/>
        <v>5729.0645621934409</v>
      </c>
      <c r="DL57" s="65">
        <f t="shared" si="54"/>
        <v>5671.2010101152873</v>
      </c>
      <c r="DM57" s="65">
        <f t="shared" si="54"/>
        <v>5613.9218799131231</v>
      </c>
      <c r="DN57" s="65">
        <f t="shared" si="54"/>
        <v>5557.2212689260004</v>
      </c>
      <c r="DO57" s="65">
        <f t="shared" si="54"/>
        <v>5501.093334109848</v>
      </c>
      <c r="DP57" s="65">
        <f t="shared" si="54"/>
        <v>5445.5322914353383</v>
      </c>
      <c r="DQ57" s="65">
        <f t="shared" si="54"/>
        <v>5390.5324152918411</v>
      </c>
      <c r="DR57" s="65">
        <f t="shared" si="54"/>
        <v>5336.0880378973934</v>
      </c>
      <c r="DS57" s="65">
        <f t="shared" si="54"/>
        <v>5282.1935487146302</v>
      </c>
      <c r="DT57" s="65">
        <f t="shared" si="54"/>
        <v>5228.8433938726121</v>
      </c>
      <c r="DU57" s="93">
        <f t="shared" si="54"/>
        <v>31373.060363235672</v>
      </c>
    </row>
    <row r="58" spans="2:125" ht="3.95" customHeight="1" x14ac:dyDescent="0.4">
      <c r="B58" s="39"/>
      <c r="C58" s="55"/>
      <c r="D58" s="62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60"/>
    </row>
    <row r="59" spans="2:125" x14ac:dyDescent="0.4">
      <c r="B59" s="39"/>
      <c r="C59" s="4" t="s">
        <v>91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DU59" s="42"/>
    </row>
    <row r="60" spans="2:125" s="4" customFormat="1" x14ac:dyDescent="0.4">
      <c r="B60" s="94" t="s">
        <v>38</v>
      </c>
      <c r="C60" s="98" t="s">
        <v>75</v>
      </c>
      <c r="D60" s="20">
        <f>SUM(D61:D62)</f>
        <v>-14840000</v>
      </c>
      <c r="E60" s="20">
        <f>SUM(E61:E62)</f>
        <v>-14170000</v>
      </c>
      <c r="F60" s="20">
        <f t="shared" ref="F60:BQ60" si="55">SUM(F61:F62)</f>
        <v>-13506767</v>
      </c>
      <c r="G60" s="20">
        <f t="shared" si="55"/>
        <v>-12850232.6533</v>
      </c>
      <c r="H60" s="20">
        <f t="shared" si="55"/>
        <v>-12200329.303501669</v>
      </c>
      <c r="I60" s="20">
        <f t="shared" si="55"/>
        <v>-11556989.977536304</v>
      </c>
      <c r="J60" s="20">
        <f t="shared" si="55"/>
        <v>-10920148.378763188</v>
      </c>
      <c r="K60" s="20">
        <f t="shared" si="55"/>
        <v>-10289738.880137678</v>
      </c>
      <c r="L60" s="20">
        <f t="shared" si="55"/>
        <v>-9665696.5174482875</v>
      </c>
      <c r="M60" s="20">
        <f t="shared" si="55"/>
        <v>-9047956.9826220609</v>
      </c>
      <c r="N60" s="20">
        <f t="shared" si="55"/>
        <v>-8436456.6170975771</v>
      </c>
      <c r="O60" s="20">
        <f t="shared" si="55"/>
        <v>-7831132.4052648917</v>
      </c>
      <c r="P60" s="20">
        <f t="shared" si="55"/>
        <v>-7231921.9679717161</v>
      </c>
      <c r="Q60" s="20">
        <f t="shared" si="55"/>
        <v>-6638763.5560952015</v>
      </c>
      <c r="R60" s="20">
        <f t="shared" si="55"/>
        <v>-6051596.0441786405</v>
      </c>
      <c r="S60" s="20">
        <f t="shared" si="55"/>
        <v>-5470358.9241324356</v>
      </c>
      <c r="T60" s="20">
        <f t="shared" si="55"/>
        <v>-4894992.2989986977</v>
      </c>
      <c r="U60" s="20">
        <f t="shared" si="55"/>
        <v>-4325436.8767788112</v>
      </c>
      <c r="V60" s="20">
        <f t="shared" si="55"/>
        <v>-3761633.9643233451</v>
      </c>
      <c r="W60" s="20">
        <f t="shared" si="55"/>
        <v>-3203525.4612836791</v>
      </c>
      <c r="X60" s="20">
        <f t="shared" si="55"/>
        <v>-2651053.8541247142</v>
      </c>
      <c r="Y60" s="20">
        <f t="shared" si="55"/>
        <v>-2104162.2101980546</v>
      </c>
      <c r="Z60" s="20">
        <f t="shared" si="55"/>
        <v>-1562794.1718750542</v>
      </c>
      <c r="AA60" s="20">
        <f t="shared" si="55"/>
        <v>-1026893.9507391162</v>
      </c>
      <c r="AB60" s="20">
        <f t="shared" si="55"/>
        <v>-496406.32183665107</v>
      </c>
      <c r="AC60" s="20">
        <f t="shared" si="55"/>
        <v>28723.382013899092</v>
      </c>
      <c r="AD60" s="20">
        <f t="shared" si="55"/>
        <v>548549.27585555869</v>
      </c>
      <c r="AE60" s="20">
        <f t="shared" si="55"/>
        <v>1063124.9281694174</v>
      </c>
      <c r="AF60" s="20">
        <f t="shared" si="55"/>
        <v>1445158.7568385343</v>
      </c>
      <c r="AG60" s="20">
        <f t="shared" si="55"/>
        <v>1823334.0438380928</v>
      </c>
      <c r="AH60" s="20">
        <f t="shared" si="55"/>
        <v>2197689.7604389559</v>
      </c>
      <c r="AI60" s="20">
        <f t="shared" si="55"/>
        <v>2568264.4843021501</v>
      </c>
      <c r="AJ60" s="20">
        <f t="shared" si="55"/>
        <v>2935096.4034543266</v>
      </c>
      <c r="AK60" s="20">
        <f t="shared" si="55"/>
        <v>3298223.3202230656</v>
      </c>
      <c r="AL60" s="20">
        <f t="shared" si="55"/>
        <v>3657682.6551324404</v>
      </c>
      <c r="AM60" s="20">
        <f t="shared" si="55"/>
        <v>4013511.4507592306</v>
      </c>
      <c r="AN60" s="20">
        <f t="shared" si="55"/>
        <v>4365746.37555019</v>
      </c>
      <c r="AO60" s="20">
        <f t="shared" si="55"/>
        <v>4714423.7276007608</v>
      </c>
      <c r="AP60" s="20">
        <f t="shared" si="55"/>
        <v>5059579.4383956203</v>
      </c>
      <c r="AQ60" s="20">
        <f t="shared" si="55"/>
        <v>5401249.076511452</v>
      </c>
      <c r="AR60" s="20">
        <f t="shared" si="55"/>
        <v>5739467.8512823144</v>
      </c>
      <c r="AS60" s="20">
        <f t="shared" si="55"/>
        <v>6074270.6164279906</v>
      </c>
      <c r="AT60" s="20">
        <f t="shared" si="55"/>
        <v>6405691.8736456959</v>
      </c>
      <c r="AU60" s="20">
        <f t="shared" si="55"/>
        <v>6733765.7761655021</v>
      </c>
      <c r="AV60" s="20">
        <f t="shared" si="55"/>
        <v>7058526.1322698593</v>
      </c>
      <c r="AW60" s="20">
        <f t="shared" si="55"/>
        <v>7380006.408777561</v>
      </c>
      <c r="AX60" s="20">
        <f t="shared" si="55"/>
        <v>7698239.7344925357</v>
      </c>
      <c r="AY60" s="20">
        <f t="shared" si="55"/>
        <v>8013258.903617789</v>
      </c>
      <c r="AZ60" s="20">
        <f t="shared" si="55"/>
        <v>8325096.3791348776</v>
      </c>
      <c r="BA60" s="20">
        <f t="shared" si="55"/>
        <v>8633784.2961492427</v>
      </c>
      <c r="BB60" s="20">
        <f t="shared" si="55"/>
        <v>8939354.4652017634</v>
      </c>
      <c r="BC60" s="20">
        <f t="shared" si="55"/>
        <v>9241838.375546854</v>
      </c>
      <c r="BD60" s="20">
        <f t="shared" si="55"/>
        <v>9541267.1983974576</v>
      </c>
      <c r="BE60" s="20">
        <f t="shared" si="55"/>
        <v>9837671.7901372723</v>
      </c>
      <c r="BF60" s="20">
        <f t="shared" si="55"/>
        <v>10131082.695500514</v>
      </c>
      <c r="BG60" s="20">
        <f t="shared" si="55"/>
        <v>10421530.150719585</v>
      </c>
      <c r="BH60" s="20">
        <f t="shared" si="55"/>
        <v>10709044.086640945</v>
      </c>
      <c r="BI60" s="20">
        <f t="shared" si="55"/>
        <v>10993654.131809499</v>
      </c>
      <c r="BJ60" s="20">
        <f t="shared" si="55"/>
        <v>11275389.615521852</v>
      </c>
      <c r="BK60" s="20">
        <f t="shared" si="55"/>
        <v>11554279.570848709</v>
      </c>
      <c r="BL60" s="20">
        <f t="shared" si="55"/>
        <v>11830352.737626765</v>
      </c>
      <c r="BM60" s="20">
        <f t="shared" si="55"/>
        <v>12103637.565420363</v>
      </c>
      <c r="BN60" s="20">
        <f t="shared" si="55"/>
        <v>12374162.216453245</v>
      </c>
      <c r="BO60" s="20">
        <f t="shared" si="55"/>
        <v>12641954.568510696</v>
      </c>
      <c r="BP60" s="20">
        <f t="shared" si="55"/>
        <v>12907042.217812365</v>
      </c>
      <c r="BQ60" s="20">
        <f t="shared" si="55"/>
        <v>13169452.481856089</v>
      </c>
      <c r="BR60" s="20">
        <f t="shared" ref="BR60:DU60" si="56">SUM(BR61:BR62)</f>
        <v>13429212.402232969</v>
      </c>
      <c r="BS60" s="20">
        <f t="shared" si="56"/>
        <v>13686348.747414043</v>
      </c>
      <c r="BT60" s="20">
        <f t="shared" si="56"/>
        <v>13940888.01550879</v>
      </c>
      <c r="BU60" s="20">
        <f t="shared" si="56"/>
        <v>14192856.436995778</v>
      </c>
      <c r="BV60" s="20">
        <f t="shared" si="56"/>
        <v>14442279.977425748</v>
      </c>
      <c r="BW60" s="20">
        <f t="shared" si="56"/>
        <v>14689184.340097375</v>
      </c>
      <c r="BX60" s="20">
        <f t="shared" si="56"/>
        <v>14933594.968706019</v>
      </c>
      <c r="BY60" s="20">
        <f t="shared" si="56"/>
        <v>15175537.049965717</v>
      </c>
      <c r="BZ60" s="20">
        <f t="shared" si="56"/>
        <v>15415035.516204692</v>
      </c>
      <c r="CA60" s="20">
        <f t="shared" si="56"/>
        <v>15652115.047934651</v>
      </c>
      <c r="CB60" s="20">
        <f t="shared" si="56"/>
        <v>15886800.076394141</v>
      </c>
      <c r="CC60" s="20">
        <f t="shared" si="56"/>
        <v>16119114.786066188</v>
      </c>
      <c r="CD60" s="20">
        <f t="shared" si="56"/>
        <v>16349083.117170546</v>
      </c>
      <c r="CE60" s="20">
        <f t="shared" si="56"/>
        <v>16576728.768130751</v>
      </c>
      <c r="CF60" s="20">
        <f t="shared" si="56"/>
        <v>16802075.198016256</v>
      </c>
      <c r="CG60" s="20">
        <f t="shared" si="56"/>
        <v>17025145.62895992</v>
      </c>
      <c r="CH60" s="20">
        <f t="shared" si="56"/>
        <v>17245963.048551053</v>
      </c>
      <c r="CI60" s="20">
        <f t="shared" si="56"/>
        <v>17464550.212204318</v>
      </c>
      <c r="CJ60" s="20">
        <f t="shared" si="56"/>
        <v>17680929.645504683</v>
      </c>
      <c r="CK60" s="20">
        <f t="shared" si="56"/>
        <v>17895123.64652871</v>
      </c>
      <c r="CL60" s="20">
        <f t="shared" si="56"/>
        <v>18107154.288142398</v>
      </c>
      <c r="CM60" s="20">
        <f t="shared" si="56"/>
        <v>18317043.420275789</v>
      </c>
      <c r="CN60" s="20">
        <f t="shared" si="56"/>
        <v>18524812.672174629</v>
      </c>
      <c r="CO60" s="20">
        <f t="shared" si="56"/>
        <v>18730483.454629291</v>
      </c>
      <c r="CP60" s="20">
        <f t="shared" si="56"/>
        <v>18934076.962181166</v>
      </c>
      <c r="CQ60" s="20">
        <f t="shared" si="56"/>
        <v>19135614.175306763</v>
      </c>
      <c r="CR60" s="20">
        <f t="shared" si="56"/>
        <v>19335115.862579796</v>
      </c>
      <c r="CS60" s="20">
        <f t="shared" si="56"/>
        <v>19532602.582811367</v>
      </c>
      <c r="CT60" s="20">
        <f t="shared" si="56"/>
        <v>19728094.687168602</v>
      </c>
      <c r="CU60" s="20">
        <f t="shared" si="56"/>
        <v>19921612.321271826</v>
      </c>
      <c r="CV60" s="20">
        <f t="shared" si="56"/>
        <v>20113175.427270606</v>
      </c>
      <c r="CW60" s="20">
        <f t="shared" si="56"/>
        <v>20302803.745898802</v>
      </c>
      <c r="CX60" s="20">
        <f t="shared" si="56"/>
        <v>20490516.818508856</v>
      </c>
      <c r="CY60" s="20">
        <f t="shared" si="56"/>
        <v>20676333.989085544</v>
      </c>
      <c r="CZ60" s="20">
        <f t="shared" si="56"/>
        <v>20860274.406239409</v>
      </c>
      <c r="DA60" s="20">
        <f t="shared" si="56"/>
        <v>21042357.025180016</v>
      </c>
      <c r="DB60" s="20">
        <f t="shared" si="56"/>
        <v>21222600.609669328</v>
      </c>
      <c r="DC60" s="20">
        <f t="shared" si="56"/>
        <v>21401023.733955294</v>
      </c>
      <c r="DD60" s="20">
        <f t="shared" si="56"/>
        <v>21577644.784685973</v>
      </c>
      <c r="DE60" s="20">
        <f t="shared" si="56"/>
        <v>21752481.962804269</v>
      </c>
      <c r="DF60" s="20">
        <f t="shared" si="56"/>
        <v>21925553.285423577</v>
      </c>
      <c r="DG60" s="20">
        <f t="shared" si="56"/>
        <v>22096876.587684423</v>
      </c>
      <c r="DH60" s="20">
        <f t="shared" si="56"/>
        <v>22266469.524592441</v>
      </c>
      <c r="DI60" s="20">
        <f t="shared" si="56"/>
        <v>22434349.572837684</v>
      </c>
      <c r="DJ60" s="20">
        <f t="shared" si="56"/>
        <v>22600534.032595649</v>
      </c>
      <c r="DK60" s="20">
        <f t="shared" si="56"/>
        <v>22765040.029310063</v>
      </c>
      <c r="DL60" s="20">
        <f t="shared" si="56"/>
        <v>22927884.51545766</v>
      </c>
      <c r="DM60" s="20">
        <f t="shared" si="56"/>
        <v>23089084.272295162</v>
      </c>
      <c r="DN60" s="20">
        <f t="shared" si="56"/>
        <v>23248655.911588609</v>
      </c>
      <c r="DO60" s="20">
        <f t="shared" si="56"/>
        <v>23406615.877325192</v>
      </c>
      <c r="DP60" s="20">
        <f t="shared" si="56"/>
        <v>23562980.447407838</v>
      </c>
      <c r="DQ60" s="20">
        <f t="shared" si="56"/>
        <v>23717765.735332645</v>
      </c>
      <c r="DR60" s="20">
        <f t="shared" si="56"/>
        <v>23870987.691849411</v>
      </c>
      <c r="DS60" s="20">
        <f t="shared" si="56"/>
        <v>24022662.106605362</v>
      </c>
      <c r="DT60" s="20">
        <f t="shared" si="56"/>
        <v>24172804.609772276</v>
      </c>
      <c r="DU60" s="95">
        <f t="shared" si="56"/>
        <v>25073659.628773756</v>
      </c>
    </row>
    <row r="61" spans="2:125" x14ac:dyDescent="0.4">
      <c r="B61" s="39"/>
      <c r="C61" s="55" t="s">
        <v>60</v>
      </c>
      <c r="D61" s="59">
        <f>(Assumptions!E24+Assumptions!E28)*-1</f>
        <v>-13250000</v>
      </c>
      <c r="E61" s="59">
        <f>D61+E53+E7*(1-Assumptions!$E$23)</f>
        <v>-12650000</v>
      </c>
      <c r="F61" s="59">
        <f>E61+F53+F7*(1-Assumptions!$E$23)</f>
        <v>-12056060</v>
      </c>
      <c r="G61" s="59">
        <f>F61+G53+G7*(1-Assumptions!$E$23)</f>
        <v>-11468118.794</v>
      </c>
      <c r="H61" s="59">
        <f>G61+H53+H7*(1-Assumptions!$E$23)</f>
        <v>-10886115.7941806</v>
      </c>
      <c r="I61" s="59">
        <f>H61+I53+I7*(1-Assumptions!$E$23)</f>
        <v>-10309991.024659377</v>
      </c>
      <c r="J61" s="59">
        <f>I61+J53+J7*(1-Assumptions!$E$23)</f>
        <v>-9739685.1153103169</v>
      </c>
      <c r="K61" s="59">
        <f>J61+K53+K7*(1-Assumptions!$E$23)</f>
        <v>-9175139.2956456821</v>
      </c>
      <c r="L61" s="59">
        <f>K61+L53+L7*(1-Assumptions!$E$23)</f>
        <v>-8616295.3887596615</v>
      </c>
      <c r="M61" s="59">
        <f>L61+M53+M7*(1-Assumptions!$E$23)</f>
        <v>-8063095.8053331887</v>
      </c>
      <c r="N61" s="59">
        <f>M61+N53+N7*(1-Assumptions!$E$23)</f>
        <v>-7515483.5376993231</v>
      </c>
      <c r="O61" s="59">
        <f>N61+O53+O7*(1-Assumptions!$E$23)</f>
        <v>-6973402.1539685596</v>
      </c>
      <c r="P61" s="59">
        <f>O61+P53+P7*(1-Assumptions!$E$23)</f>
        <v>-6436795.7922134772</v>
      </c>
      <c r="Q61" s="59">
        <f>P61+Q53+Q7*(1-Assumptions!$E$23)</f>
        <v>-5905609.154712121</v>
      </c>
      <c r="R61" s="59">
        <f>Q61+R53+R7*(1-Assumptions!$E$23)</f>
        <v>-5379787.5022495287</v>
      </c>
      <c r="S61" s="59">
        <f>R61+S53+S7*(1-Assumptions!$E$23)</f>
        <v>-4859276.6484768083</v>
      </c>
      <c r="T61" s="59">
        <f>S61+T53+T7*(1-Assumptions!$E$23)</f>
        <v>-4344022.9543271922</v>
      </c>
      <c r="U61" s="59">
        <f>T61+U53+U7*(1-Assumptions!$E$23)</f>
        <v>-3833973.3224884877</v>
      </c>
      <c r="V61" s="59">
        <f>U61+V53+V7*(1-Assumptions!$E$23)</f>
        <v>-3329075.1919313539</v>
      </c>
      <c r="W61" s="59">
        <f>V61+W53+W7*(1-Assumptions!$E$23)</f>
        <v>-2829276.5324928472</v>
      </c>
      <c r="X61" s="59">
        <f>W61+X53+X7*(1-Assumptions!$E$23)</f>
        <v>-2334525.8395146695</v>
      </c>
      <c r="Y61" s="59">
        <f>X61+Y53+Y7*(1-Assumptions!$E$23)</f>
        <v>-1844772.1285355713</v>
      </c>
      <c r="Z61" s="59">
        <f>Y61+Z53+Z7*(1-Assumptions!$E$23)</f>
        <v>-1359964.930037362</v>
      </c>
      <c r="AA61" s="59">
        <f>Z61+AA53+AA7*(1-Assumptions!$E$23)</f>
        <v>-880054.28424398461</v>
      </c>
      <c r="AB61" s="59">
        <f>AA61+AB53+AB7*(1-Assumptions!$E$23)</f>
        <v>-404990.73597312038</v>
      </c>
      <c r="AC61" s="59">
        <f>AB61+AC53+AC7*(1-Assumptions!$E$23)</f>
        <v>65274.670460208145</v>
      </c>
      <c r="AD61" s="59">
        <f>AC61+AD53+AD7*(1-Assumptions!$E$23)</f>
        <v>530790.39628856</v>
      </c>
      <c r="AE61" s="59">
        <f>AD61+AE53+AE7*(1-Assumptions!$E$23)</f>
        <v>991604.41328604554</v>
      </c>
      <c r="AF61" s="59">
        <f>AE61+AF53+AF7*(1-Assumptions!$E$23)</f>
        <v>1333724.2598554038</v>
      </c>
      <c r="AG61" s="59">
        <f>AF61+AG53+AG7*(1-Assumptions!$E$23)</f>
        <v>1672388.6959744114</v>
      </c>
      <c r="AH61" s="59">
        <f>AG61+AH53+AH7*(1-Assumptions!$E$23)</f>
        <v>2007632.6212886171</v>
      </c>
      <c r="AI61" s="59">
        <f>AH61+AI53+AI7*(1-Assumptions!$E$23)</f>
        <v>2339490.5829571495</v>
      </c>
      <c r="AJ61" s="59">
        <f>AI61+AJ53+AJ7*(1-Assumptions!$E$23)</f>
        <v>2667996.7792128297</v>
      </c>
      <c r="AK61" s="59">
        <f>AJ61+AK53+AK7*(1-Assumptions!$E$23)</f>
        <v>2993185.0628863275</v>
      </c>
      <c r="AL61" s="59">
        <f>AK61+AL53+AL7*(1-Assumptions!$E$23)</f>
        <v>3315088.9448947227</v>
      </c>
      <c r="AM61" s="59">
        <f>AL61+AM53+AM7*(1-Assumptions!$E$23)</f>
        <v>3633741.5976948333</v>
      </c>
      <c r="AN61" s="59">
        <f>AM61+AN53+AN7*(1-Assumptions!$E$23)</f>
        <v>3949175.8587016626</v>
      </c>
      <c r="AO61" s="59">
        <f>AN61+AO53+AO7*(1-Assumptions!$E$23)</f>
        <v>4261424.2336723227</v>
      </c>
      <c r="AP61" s="59">
        <f>AO61+AP53+AP7*(1-Assumptions!$E$23)</f>
        <v>4570518.9000557791</v>
      </c>
      <c r="AQ61" s="59">
        <f>AP61+AQ53+AQ7*(1-Assumptions!$E$23)</f>
        <v>4876491.7103087632</v>
      </c>
      <c r="AR61" s="59">
        <f>AQ61+AR53+AR7*(1-Assumptions!$E$23)</f>
        <v>5179374.1951781921</v>
      </c>
      <c r="AS61" s="59">
        <f>AR61+AS53+AS7*(1-Assumptions!$E$23)</f>
        <v>5479197.5669504395</v>
      </c>
      <c r="AT61" s="59">
        <f>AS61+AT53+AT7*(1-Assumptions!$E$23)</f>
        <v>5775992.7226677872</v>
      </c>
      <c r="AU61" s="59">
        <f>AT61+AU53+AU7*(1-Assumptions!$E$23)</f>
        <v>6069790.2473123902</v>
      </c>
      <c r="AV61" s="59">
        <f>AU61+AV53+AV7*(1-Assumptions!$E$23)</f>
        <v>6360620.4169580825</v>
      </c>
      <c r="AW61" s="59">
        <f>AV61+AW53+AW7*(1-Assumptions!$E$23)</f>
        <v>6648513.2018903531</v>
      </c>
      <c r="AX61" s="59">
        <f>AW61+AX53+AX7*(1-Assumptions!$E$23)</f>
        <v>6933498.2696948079</v>
      </c>
      <c r="AY61" s="59">
        <f>AX61+AY53+AY7*(1-Assumptions!$E$23)</f>
        <v>7215604.9883144377</v>
      </c>
      <c r="AZ61" s="59">
        <f>AY61+AZ53+AZ7*(1-Assumptions!$E$23)</f>
        <v>7494862.4290760094</v>
      </c>
      <c r="BA61" s="59">
        <f>AZ61+BA53+BA7*(1-Assumptions!$E$23)</f>
        <v>7771299.3696858892</v>
      </c>
      <c r="BB61" s="59">
        <f>BA61+BB53+BB7*(1-Assumptions!$E$23)</f>
        <v>8044944.2971956087</v>
      </c>
      <c r="BC61" s="59">
        <f>BB61+BC53+BC7*(1-Assumptions!$E$23)</f>
        <v>8315825.4109374806</v>
      </c>
      <c r="BD61" s="59">
        <f>BC61+BD53+BD7*(1-Assumptions!$E$23)</f>
        <v>8583970.6254305597</v>
      </c>
      <c r="BE61" s="59">
        <f>BD61+BE53+BE7*(1-Assumptions!$E$23)</f>
        <v>8849407.5732572582</v>
      </c>
      <c r="BF61" s="59">
        <f>BE61+BF53+BF7*(1-Assumptions!$E$23)</f>
        <v>9112163.6079109069</v>
      </c>
      <c r="BG61" s="59">
        <f>BF61+BG53+BG7*(1-Assumptions!$E$23)</f>
        <v>9372265.8066145536</v>
      </c>
      <c r="BH61" s="59">
        <f>BG61+BH53+BH7*(1-Assumptions!$E$23)</f>
        <v>9629740.9731112942</v>
      </c>
      <c r="BI61" s="59">
        <f>BH61+BI53+BI7*(1-Assumptions!$E$23)</f>
        <v>9884615.6404264178</v>
      </c>
      <c r="BJ61" s="59">
        <f>BI61+BJ53+BJ7*(1-Assumptions!$E$23)</f>
        <v>10136916.073601658</v>
      </c>
      <c r="BK61" s="59">
        <f>BJ61+BK53+BK7*(1-Assumptions!$E$23)</f>
        <v>10386668.272401828</v>
      </c>
      <c r="BL61" s="59">
        <f>BK61+BL53+BL7*(1-Assumptions!$E$23)</f>
        <v>10633897.973994117</v>
      </c>
      <c r="BM61" s="59">
        <f>BL61+BM53+BM7*(1-Assumptions!$E$23)</f>
        <v>10878630.655600324</v>
      </c>
      <c r="BN61" s="59">
        <f>BM61+BN53+BN7*(1-Assumptions!$E$23)</f>
        <v>11120891.537122309</v>
      </c>
      <c r="BO61" s="59">
        <f>BN61+BO53+BO7*(1-Assumptions!$E$23)</f>
        <v>11360705.583740922</v>
      </c>
      <c r="BP61" s="59">
        <f>BO61+BP53+BP7*(1-Assumptions!$E$23)</f>
        <v>11598097.508488685</v>
      </c>
      <c r="BQ61" s="59">
        <f>BP61+BQ53+BQ7*(1-Assumptions!$E$23)</f>
        <v>11833091.774796497</v>
      </c>
      <c r="BR61" s="59">
        <f>BQ61+BR53+BR7*(1-Assumptions!$E$23)</f>
        <v>12065712.599014599</v>
      </c>
      <c r="BS61" s="59">
        <f>BR61+BS53+BS7*(1-Assumptions!$E$23)</f>
        <v>12295983.952908099</v>
      </c>
      <c r="BT61" s="59">
        <f>BS61+BT53+BT7*(1-Assumptions!$E$23)</f>
        <v>12523929.566127274</v>
      </c>
      <c r="BU61" s="59">
        <f>BT61+BU53+BU7*(1-Assumptions!$E$23)</f>
        <v>12749572.928652937</v>
      </c>
      <c r="BV61" s="59">
        <f>BU61+BV53+BV7*(1-Assumptions!$E$23)</f>
        <v>12972937.293217089</v>
      </c>
      <c r="BW61" s="59">
        <f>BV61+BW53+BW7*(1-Assumptions!$E$23)</f>
        <v>13194045.677699143</v>
      </c>
      <c r="BX61" s="59">
        <f>BW61+BX53+BX7*(1-Assumptions!$E$23)</f>
        <v>13412920.867497928</v>
      </c>
      <c r="BY61" s="59">
        <f>BX61+BY53+BY7*(1-Assumptions!$E$23)</f>
        <v>13629585.417879747</v>
      </c>
      <c r="BZ61" s="59">
        <f>BY61+BZ53+BZ7*(1-Assumptions!$E$23)</f>
        <v>13844061.656302709</v>
      </c>
      <c r="CA61" s="59">
        <f>BZ61+CA53+CA7*(1-Assumptions!$E$23)</f>
        <v>14056371.684717599</v>
      </c>
      <c r="CB61" s="59">
        <f>CA61+CB53+CB7*(1-Assumptions!$E$23)</f>
        <v>14266537.381845498</v>
      </c>
      <c r="CC61" s="59">
        <f>CB61+CC53+CC7*(1-Assumptions!$E$23)</f>
        <v>14474580.405432407</v>
      </c>
      <c r="CD61" s="59">
        <f>CC61+CD53+CD7*(1-Assumptions!$E$23)</f>
        <v>14680522.194481086</v>
      </c>
      <c r="CE61" s="59">
        <f>CD61+CE53+CE7*(1-Assumptions!$E$23)</f>
        <v>14884383.971460374</v>
      </c>
      <c r="CF61" s="59">
        <f>CE61+CF53+CF7*(1-Assumptions!$E$23)</f>
        <v>15086186.744492171</v>
      </c>
      <c r="CG61" s="59">
        <f>CF61+CG53+CG7*(1-Assumptions!$E$23)</f>
        <v>15285951.309516348</v>
      </c>
      <c r="CH61" s="59">
        <f>CG61+CH53+CH7*(1-Assumptions!$E$23)</f>
        <v>15483698.252433781</v>
      </c>
      <c r="CI61" s="59">
        <f>CH61+CI53+CI7*(1-Assumptions!$E$23)</f>
        <v>15679447.951227747</v>
      </c>
      <c r="CJ61" s="59">
        <f>CI61+CJ53+CJ7*(1-Assumptions!$E$23)</f>
        <v>15873220.578063894</v>
      </c>
      <c r="CK61" s="59">
        <f>CJ61+CK53+CK7*(1-Assumptions!$E$23)</f>
        <v>16065036.101368995</v>
      </c>
      <c r="CL61" s="59">
        <f>CK61+CL53+CL7*(1-Assumptions!$E$23)</f>
        <v>16254914.287888715</v>
      </c>
      <c r="CM61" s="59">
        <f>CL61+CM53+CM7*(1-Assumptions!$E$23)</f>
        <v>16442874.704724586</v>
      </c>
      <c r="CN61" s="59">
        <f>CM61+CN53+CN7*(1-Assumptions!$E$23)</f>
        <v>16628936.721350415</v>
      </c>
      <c r="CO61" s="59">
        <f>CN61+CO53+CO7*(1-Assumptions!$E$23)</f>
        <v>16813119.511608321</v>
      </c>
      <c r="CP61" s="59">
        <f>CO61+CP53+CP7*(1-Assumptions!$E$23)</f>
        <v>16995442.055684626</v>
      </c>
      <c r="CQ61" s="59">
        <f>CP61+CQ53+CQ7*(1-Assumptions!$E$23)</f>
        <v>17175923.14206576</v>
      </c>
      <c r="CR61" s="59">
        <f>CQ61+CR53+CR7*(1-Assumptions!$E$23)</f>
        <v>17354581.369474445</v>
      </c>
      <c r="CS61" s="59">
        <f>CR61+CS53+CS7*(1-Assumptions!$E$23)</f>
        <v>17531435.148786299</v>
      </c>
      <c r="CT61" s="59">
        <f>CS61+CT53+CT7*(1-Assumptions!$E$23)</f>
        <v>17706502.704927105</v>
      </c>
      <c r="CU61" s="59">
        <f>CT61+CU53+CU7*(1-Assumptions!$E$23)</f>
        <v>17879802.07875089</v>
      </c>
      <c r="CV61" s="59">
        <f>CU61+CV53+CV7*(1-Assumptions!$E$23)</f>
        <v>18051351.128899053</v>
      </c>
      <c r="CW61" s="59">
        <f>CV61+CW53+CW7*(1-Assumptions!$E$23)</f>
        <v>18221167.53364072</v>
      </c>
      <c r="CX61" s="59">
        <f>CW61+CX53+CX7*(1-Assumptions!$E$23)</f>
        <v>18389268.792694498</v>
      </c>
      <c r="CY61" s="59">
        <f>CX61+CY53+CY7*(1-Assumptions!$E$23)</f>
        <v>18555672.229031831</v>
      </c>
      <c r="CZ61" s="59">
        <f>CY61+CZ53+CZ7*(1-Assumptions!$E$23)</f>
        <v>18720394.990662158</v>
      </c>
      <c r="DA61" s="59">
        <f>CZ61+DA53+DA7*(1-Assumptions!$E$23)</f>
        <v>18883454.052400015</v>
      </c>
      <c r="DB61" s="59">
        <f>DA61+DB53+DB7*(1-Assumptions!$E$23)</f>
        <v>19044866.217614323</v>
      </c>
      <c r="DC61" s="59">
        <f>DB61+DC53+DC7*(1-Assumptions!$E$23)</f>
        <v>19204648.119959965</v>
      </c>
      <c r="DD61" s="59">
        <f>DC61+DD53+DD7*(1-Assumptions!$E$23)</f>
        <v>19362816.225091916</v>
      </c>
      <c r="DE61" s="59">
        <f>DD61+DE53+DE7*(1-Assumptions!$E$23)</f>
        <v>19519386.832362033</v>
      </c>
      <c r="DF61" s="59">
        <f>DE61+DF53+DF7*(1-Assumptions!$E$23)</f>
        <v>19674376.076498725</v>
      </c>
      <c r="DG61" s="59">
        <f>DF61+DG53+DG7*(1-Assumptions!$E$23)</f>
        <v>19827799.929269634</v>
      </c>
      <c r="DH61" s="59">
        <f>DG61+DH53+DH7*(1-Assumptions!$E$23)</f>
        <v>19979674.201127559</v>
      </c>
      <c r="DI61" s="59">
        <f>DH61+DI53+DI7*(1-Assumptions!$E$23)</f>
        <v>20130014.542839717</v>
      </c>
      <c r="DJ61" s="59">
        <f>DI61+DJ53+DJ7*(1-Assumptions!$E$23)</f>
        <v>20278836.447100583</v>
      </c>
      <c r="DK61" s="59">
        <f>DJ61+DK53+DK7*(1-Assumptions!$E$23)</f>
        <v>20426155.250128414</v>
      </c>
      <c r="DL61" s="59">
        <f>DK61+DL53+DL7*(1-Assumptions!$E$23)</f>
        <v>20571986.133245666</v>
      </c>
      <c r="DM61" s="59">
        <f>DL61+DM53+DM7*(1-Assumptions!$E$23)</f>
        <v>20716344.12444343</v>
      </c>
      <c r="DN61" s="59">
        <f>DM61+DN53+DN7*(1-Assumptions!$E$23)</f>
        <v>20859244.0999301</v>
      </c>
      <c r="DO61" s="59">
        <f>DN61+DO53+DO7*(1-Assumptions!$E$23)</f>
        <v>21000700.785664354</v>
      </c>
      <c r="DP61" s="59">
        <f>DO61+DP53+DP7*(1-Assumptions!$E$23)</f>
        <v>21140728.758872692</v>
      </c>
      <c r="DQ61" s="59">
        <f>DP61+DQ53+DQ7*(1-Assumptions!$E$23)</f>
        <v>21279342.449551623</v>
      </c>
      <c r="DR61" s="59">
        <f>DQ61+DR53+DR7*(1-Assumptions!$E$23)</f>
        <v>21416556.141954698</v>
      </c>
      <c r="DS61" s="59">
        <f>DR61+DS53+DS7*(1-Assumptions!$E$23)</f>
        <v>21552383.976064503</v>
      </c>
      <c r="DT61" s="59">
        <f>DS61+DT53+DT7*(1-Assumptions!$E$23)</f>
        <v>21686839.949049801</v>
      </c>
      <c r="DU61" s="60">
        <f>DT61+DU53+DU7*(1-Assumptions!$E$23)</f>
        <v>22493575.786961574</v>
      </c>
    </row>
    <row r="62" spans="2:125" x14ac:dyDescent="0.4">
      <c r="B62" s="39"/>
      <c r="C62" s="55" t="s">
        <v>61</v>
      </c>
      <c r="D62" s="59">
        <f>(Assumptions!F24+Assumptions!F28)*-1</f>
        <v>-1590000</v>
      </c>
      <c r="E62" s="59">
        <f>D62+E54+E8*(1-Assumptions!$F$23)</f>
        <v>-1520000</v>
      </c>
      <c r="F62" s="59">
        <f>E62+F54+F8*(1-Assumptions!$F$23)</f>
        <v>-1450707</v>
      </c>
      <c r="G62" s="59">
        <f>F62+G54+G8*(1-Assumptions!$F$23)</f>
        <v>-1382113.8592999999</v>
      </c>
      <c r="H62" s="59">
        <f>G62+H54+H8*(1-Assumptions!$F$23)</f>
        <v>-1314213.5093210698</v>
      </c>
      <c r="I62" s="59">
        <f>H62+I54+I8*(1-Assumptions!$F$23)</f>
        <v>-1246998.9528769271</v>
      </c>
      <c r="J62" s="59">
        <f>I62+J54+J8*(1-Assumptions!$F$23)</f>
        <v>-1180463.2634528701</v>
      </c>
      <c r="K62" s="59">
        <f>J62+K54+K8*(1-Assumptions!$F$23)</f>
        <v>-1114599.5844919961</v>
      </c>
      <c r="L62" s="59">
        <f>K62+L54+L8*(1-Assumptions!$F$23)</f>
        <v>-1049401.1286886269</v>
      </c>
      <c r="M62" s="59">
        <f>L62+M54+M8*(1-Assumptions!$F$23)</f>
        <v>-984861.17728887184</v>
      </c>
      <c r="N62" s="59">
        <f>M62+N54+N8*(1-Assumptions!$F$23)</f>
        <v>-920973.07939825428</v>
      </c>
      <c r="O62" s="59">
        <f>N62+O54+O8*(1-Assumptions!$F$23)</f>
        <v>-857730.25129633187</v>
      </c>
      <c r="P62" s="59">
        <f>O62+P54+P8*(1-Assumptions!$F$23)</f>
        <v>-795126.17575823888</v>
      </c>
      <c r="Q62" s="59">
        <f>P62+Q54+Q8*(1-Assumptions!$F$23)</f>
        <v>-733154.40138308064</v>
      </c>
      <c r="R62" s="59">
        <f>Q62+R54+R8*(1-Assumptions!$F$23)</f>
        <v>-671808.54192911158</v>
      </c>
      <c r="S62" s="59">
        <f>R62+S54+S8*(1-Assumptions!$F$23)</f>
        <v>-611082.2756556276</v>
      </c>
      <c r="T62" s="59">
        <f>S62+T54+T8*(1-Assumptions!$F$23)</f>
        <v>-550969.34467150574</v>
      </c>
      <c r="U62" s="59">
        <f>T62+U54+U8*(1-Assumptions!$F$23)</f>
        <v>-491463.55429032352</v>
      </c>
      <c r="V62" s="59">
        <f>U62+V54+V8*(1-Assumptions!$F$23)</f>
        <v>-432558.77239199122</v>
      </c>
      <c r="W62" s="59">
        <f>V62+W54+W8*(1-Assumptions!$F$23)</f>
        <v>-374248.92879083211</v>
      </c>
      <c r="X62" s="59">
        <f>W62+X54+X8*(1-Assumptions!$F$23)</f>
        <v>-316528.01461004472</v>
      </c>
      <c r="Y62" s="59">
        <f>X62+Y54+Y8*(1-Assumptions!$F$23)</f>
        <v>-259390.08166248328</v>
      </c>
      <c r="Z62" s="59">
        <f>Y62+Z54+Z8*(1-Assumptions!$F$23)</f>
        <v>-202829.24183769221</v>
      </c>
      <c r="AA62" s="59">
        <f>Z62+AA54+AA8*(1-Assumptions!$F$23)</f>
        <v>-146839.66649513153</v>
      </c>
      <c r="AB62" s="59">
        <f>AA62+AB54+AB8*(1-Assumptions!$F$23)</f>
        <v>-91415.585863530709</v>
      </c>
      <c r="AC62" s="59">
        <f>AB62+AC54+AC8*(1-Assumptions!$F$23)</f>
        <v>-36551.288446309052</v>
      </c>
      <c r="AD62" s="59">
        <f>AC62+AD54+AD8*(1-Assumptions!$F$23)</f>
        <v>17758.879566998665</v>
      </c>
      <c r="AE62" s="59">
        <f>AD62+AE54+AE8*(1-Assumptions!$F$23)</f>
        <v>71520.514883371972</v>
      </c>
      <c r="AF62" s="59">
        <f>AE62+AF54+AF8*(1-Assumptions!$F$23)</f>
        <v>111434.49698313043</v>
      </c>
      <c r="AG62" s="59">
        <f>AF62+AG54+AG8*(1-Assumptions!$F$23)</f>
        <v>150945.34786368132</v>
      </c>
      <c r="AH62" s="59">
        <f>AG62+AH54+AH8*(1-Assumptions!$F$23)</f>
        <v>190057.13915033865</v>
      </c>
      <c r="AI62" s="59">
        <f>AH62+AI54+AI8*(1-Assumptions!$F$23)</f>
        <v>228773.90134500075</v>
      </c>
      <c r="AJ62" s="59">
        <f>AI62+AJ54+AJ8*(1-Assumptions!$F$23)</f>
        <v>267099.62424149679</v>
      </c>
      <c r="AK62" s="59">
        <f>AJ62+AK54+AK8*(1-Assumptions!$F$23)</f>
        <v>305038.25733673817</v>
      </c>
      <c r="AL62" s="59">
        <f>AK62+AL54+AL8*(1-Assumptions!$F$23)</f>
        <v>342593.71023771761</v>
      </c>
      <c r="AM62" s="59">
        <f>AL62+AM54+AM8*(1-Assumptions!$F$23)</f>
        <v>379769.85306439718</v>
      </c>
      <c r="AN62" s="59">
        <f>AM62+AN54+AN8*(1-Assumptions!$F$23)</f>
        <v>416570.5168485273</v>
      </c>
      <c r="AO62" s="59">
        <f>AN62+AO54+AO8*(1-Assumptions!$F$23)</f>
        <v>452999.4939284377</v>
      </c>
      <c r="AP62" s="59">
        <f>AO62+AP54+AP8*(1-Assumptions!$F$23)</f>
        <v>489060.538339841</v>
      </c>
      <c r="AQ62" s="59">
        <f>AP62+AQ54+AQ8*(1-Assumptions!$F$23)</f>
        <v>524757.36620268913</v>
      </c>
      <c r="AR62" s="59">
        <f>AQ62+AR54+AR8*(1-Assumptions!$F$23)</f>
        <v>560093.65610412252</v>
      </c>
      <c r="AS62" s="59">
        <f>AR62+AS54+AS8*(1-Assumptions!$F$23)</f>
        <v>595073.04947755137</v>
      </c>
      <c r="AT62" s="59">
        <f>AS62+AT54+AT8*(1-Assumptions!$F$23)</f>
        <v>629699.15097790863</v>
      </c>
      <c r="AU62" s="59">
        <f>AT62+AU54+AU8*(1-Assumptions!$F$23)</f>
        <v>663975.52885311225</v>
      </c>
      <c r="AV62" s="59">
        <f>AU62+AV54+AV8*(1-Assumptions!$F$23)</f>
        <v>697905.71531177638</v>
      </c>
      <c r="AW62" s="59">
        <f>AV62+AW54+AW8*(1-Assumptions!$F$23)</f>
        <v>731493.20688720793</v>
      </c>
      <c r="AX62" s="59">
        <f>AW62+AX54+AX8*(1-Assumptions!$F$23)</f>
        <v>764741.46479772765</v>
      </c>
      <c r="AY62" s="59">
        <f>AX62+AY54+AY8*(1-Assumptions!$F$23)</f>
        <v>797653.91530335112</v>
      </c>
      <c r="AZ62" s="59">
        <f>AY62+AZ54+AZ8*(1-Assumptions!$F$23)</f>
        <v>830233.95005886781</v>
      </c>
      <c r="BA62" s="59">
        <f>AZ62+BA54+BA8*(1-Assumptions!$F$23)</f>
        <v>862484.9264633538</v>
      </c>
      <c r="BB62" s="59">
        <f>BA62+BB54+BB8*(1-Assumptions!$F$23)</f>
        <v>894410.16800615448</v>
      </c>
      <c r="BC62" s="59">
        <f>BB62+BC54+BC8*(1-Assumptions!$F$23)</f>
        <v>926012.96460937278</v>
      </c>
      <c r="BD62" s="59">
        <f>BC62+BD54+BD8*(1-Assumptions!$F$23)</f>
        <v>957296.57296689868</v>
      </c>
      <c r="BE62" s="59">
        <f>BD62+BE54+BE8*(1-Assumptions!$F$23)</f>
        <v>988264.21688001347</v>
      </c>
      <c r="BF62" s="59">
        <f>BE62+BF54+BF8*(1-Assumptions!$F$23)</f>
        <v>1018919.0875896058</v>
      </c>
      <c r="BG62" s="59">
        <f>BF62+BG54+BG8*(1-Assumptions!$F$23)</f>
        <v>1049264.3441050313</v>
      </c>
      <c r="BH62" s="59">
        <f>BG62+BH54+BH8*(1-Assumptions!$F$23)</f>
        <v>1079303.113529651</v>
      </c>
      <c r="BI62" s="59">
        <f>BH62+BI54+BI8*(1-Assumptions!$F$23)</f>
        <v>1109038.491383082</v>
      </c>
      <c r="BJ62" s="59">
        <f>BI62+BJ54+BJ8*(1-Assumptions!$F$23)</f>
        <v>1138473.5419201935</v>
      </c>
      <c r="BK62" s="59">
        <f>BJ62+BK54+BK8*(1-Assumptions!$F$23)</f>
        <v>1167611.29844688</v>
      </c>
      <c r="BL62" s="59">
        <f>BK62+BL54+BL8*(1-Assumptions!$F$23)</f>
        <v>1196454.763632647</v>
      </c>
      <c r="BM62" s="59">
        <f>BL62+BM54+BM8*(1-Assumptions!$F$23)</f>
        <v>1225006.9098200379</v>
      </c>
      <c r="BN62" s="59">
        <f>BM62+BN54+BN8*(1-Assumptions!$F$23)</f>
        <v>1253270.6793309359</v>
      </c>
      <c r="BO62" s="59">
        <f>BN62+BO54+BO8*(1-Assumptions!$F$23)</f>
        <v>1281248.9847697739</v>
      </c>
      <c r="BP62" s="59">
        <f>BO62+BP54+BP8*(1-Assumptions!$F$23)</f>
        <v>1308944.7093236798</v>
      </c>
      <c r="BQ62" s="59">
        <f>BP62+BQ54+BQ8*(1-Assumptions!$F$23)</f>
        <v>1336360.7070595911</v>
      </c>
      <c r="BR62" s="59">
        <f>BQ62+BR54+BR8*(1-Assumptions!$F$23)</f>
        <v>1363499.8032183698</v>
      </c>
      <c r="BS62" s="59">
        <f>BR62+BS54+BS8*(1-Assumptions!$F$23)</f>
        <v>1390364.7945059447</v>
      </c>
      <c r="BT62" s="59">
        <f>BS62+BT54+BT8*(1-Assumptions!$F$23)</f>
        <v>1416958.4493815152</v>
      </c>
      <c r="BU62" s="59">
        <f>BT62+BU54+BU8*(1-Assumptions!$F$23)</f>
        <v>1443283.5083428423</v>
      </c>
      <c r="BV62" s="59">
        <f>BU62+BV54+BV8*(1-Assumptions!$F$23)</f>
        <v>1469342.6842086602</v>
      </c>
      <c r="BW62" s="59">
        <f>BV62+BW54+BW8*(1-Assumptions!$F$23)</f>
        <v>1495138.6623982331</v>
      </c>
      <c r="BX62" s="59">
        <f>BW62+BX54+BX8*(1-Assumptions!$F$23)</f>
        <v>1520674.1012080915</v>
      </c>
      <c r="BY62" s="59">
        <f>BX62+BY54+BY8*(1-Assumptions!$F$23)</f>
        <v>1545951.6320859704</v>
      </c>
      <c r="BZ62" s="59">
        <f>BY62+BZ54+BZ8*(1-Assumptions!$F$23)</f>
        <v>1570973.8599019826</v>
      </c>
      <c r="CA62" s="59">
        <f>BZ62+CA54+CA8*(1-Assumptions!$F$23)</f>
        <v>1595743.363217053</v>
      </c>
      <c r="CB62" s="59">
        <f>CA62+CB54+CB8*(1-Assumptions!$F$23)</f>
        <v>1620262.6945486413</v>
      </c>
      <c r="CC62" s="59">
        <f>CB62+CC54+CC8*(1-Assumptions!$F$23)</f>
        <v>1644534.3806337805</v>
      </c>
      <c r="CD62" s="59">
        <f>CC62+CD54+CD8*(1-Assumptions!$F$23)</f>
        <v>1668560.9226894598</v>
      </c>
      <c r="CE62" s="59">
        <f>CD62+CE54+CE8*(1-Assumptions!$F$23)</f>
        <v>1692344.7966703768</v>
      </c>
      <c r="CF62" s="59">
        <f>CE62+CF54+CF8*(1-Assumptions!$F$23)</f>
        <v>1715888.4535240864</v>
      </c>
      <c r="CG62" s="59">
        <f>CF62+CG54+CG8*(1-Assumptions!$F$23)</f>
        <v>1739194.3194435737</v>
      </c>
      <c r="CH62" s="59">
        <f>CG62+CH54+CH8*(1-Assumptions!$F$23)</f>
        <v>1762264.7961172741</v>
      </c>
      <c r="CI62" s="59">
        <f>CH62+CI54+CI8*(1-Assumptions!$F$23)</f>
        <v>1785102.2609765702</v>
      </c>
      <c r="CJ62" s="59">
        <f>CI62+CJ54+CJ8*(1-Assumptions!$F$23)</f>
        <v>1807709.0674407873</v>
      </c>
      <c r="CK62" s="59">
        <f>CJ62+CK54+CK8*(1-Assumptions!$F$23)</f>
        <v>1830087.5451597159</v>
      </c>
      <c r="CL62" s="59">
        <f>CK62+CL54+CL8*(1-Assumptions!$F$23)</f>
        <v>1852240.0002536832</v>
      </c>
      <c r="CM62" s="59">
        <f>CL62+CM54+CM8*(1-Assumptions!$F$23)</f>
        <v>1874168.7155512015</v>
      </c>
      <c r="CN62" s="59">
        <f>CM62+CN54+CN8*(1-Assumptions!$F$23)</f>
        <v>1895875.9508242148</v>
      </c>
      <c r="CO62" s="59">
        <f>CN62+CO54+CO8*(1-Assumptions!$F$23)</f>
        <v>1917363.9430209708</v>
      </c>
      <c r="CP62" s="59">
        <f>CO62+CP54+CP8*(1-Assumptions!$F$23)</f>
        <v>1938634.9064965395</v>
      </c>
      <c r="CQ62" s="59">
        <f>CP62+CQ54+CQ8*(1-Assumptions!$F$23)</f>
        <v>1959691.0332410049</v>
      </c>
      <c r="CR62" s="59">
        <f>CQ62+CR54+CR8*(1-Assumptions!$F$23)</f>
        <v>1980534.4931053512</v>
      </c>
      <c r="CS62" s="59">
        <f>CR62+CS54+CS8*(1-Assumptions!$F$23)</f>
        <v>2001167.4340250676</v>
      </c>
      <c r="CT62" s="59">
        <f>CS62+CT54+CT8*(1-Assumptions!$F$23)</f>
        <v>2021591.9822414948</v>
      </c>
      <c r="CU62" s="59">
        <f>CT62+CU54+CU8*(1-Assumptions!$F$23)</f>
        <v>2041810.2425209363</v>
      </c>
      <c r="CV62" s="59">
        <f>CU62+CV54+CV8*(1-Assumptions!$F$23)</f>
        <v>2061824.2983715553</v>
      </c>
      <c r="CW62" s="59">
        <f>CV62+CW54+CW8*(1-Assumptions!$F$23)</f>
        <v>2081636.212258083</v>
      </c>
      <c r="CX62" s="59">
        <f>CW62+CX54+CX8*(1-Assumptions!$F$23)</f>
        <v>2101248.0258143567</v>
      </c>
      <c r="CY62" s="59">
        <f>CX62+CY54+CY8*(1-Assumptions!$F$23)</f>
        <v>2120661.7600537124</v>
      </c>
      <c r="CZ62" s="59">
        <f>CY62+CZ54+CZ8*(1-Assumptions!$F$23)</f>
        <v>2139879.4155772505</v>
      </c>
      <c r="DA62" s="59">
        <f>CZ62+DA54+DA8*(1-Assumptions!$F$23)</f>
        <v>2158902.9727800009</v>
      </c>
      <c r="DB62" s="59">
        <f>DA62+DB54+DB8*(1-Assumptions!$F$23)</f>
        <v>2177734.3920550034</v>
      </c>
      <c r="DC62" s="59">
        <f>DB62+DC54+DC8*(1-Assumptions!$F$23)</f>
        <v>2196375.6139953285</v>
      </c>
      <c r="DD62" s="59">
        <f>DC62+DD54+DD8*(1-Assumptions!$F$23)</f>
        <v>2214828.5595940561</v>
      </c>
      <c r="DE62" s="59">
        <f>DD62+DE54+DE8*(1-Assumptions!$F$23)</f>
        <v>2233095.1304422366</v>
      </c>
      <c r="DF62" s="59">
        <f>DE62+DF54+DF8*(1-Assumptions!$F$23)</f>
        <v>2251177.2089248504</v>
      </c>
      <c r="DG62" s="59">
        <f>DF62+DG54+DG8*(1-Assumptions!$F$23)</f>
        <v>2269076.6584147899</v>
      </c>
      <c r="DH62" s="59">
        <f>DG62+DH54+DH8*(1-Assumptions!$F$23)</f>
        <v>2286795.3234648812</v>
      </c>
      <c r="DI62" s="59">
        <f>DH62+DI54+DI8*(1-Assumptions!$F$23)</f>
        <v>2304335.0299979663</v>
      </c>
      <c r="DJ62" s="59">
        <f>DI62+DJ54+DJ8*(1-Assumptions!$F$23)</f>
        <v>2321697.5854950673</v>
      </c>
      <c r="DK62" s="59">
        <f>DJ62+DK54+DK8*(1-Assumptions!$F$23)</f>
        <v>2338884.7791816476</v>
      </c>
      <c r="DL62" s="59">
        <f>DK62+DL54+DL8*(1-Assumptions!$F$23)</f>
        <v>2355898.3822119934</v>
      </c>
      <c r="DM62" s="59">
        <f>DL62+DM54+DM8*(1-Assumptions!$F$23)</f>
        <v>2372740.147851733</v>
      </c>
      <c r="DN62" s="59">
        <f>DM62+DN54+DN8*(1-Assumptions!$F$23)</f>
        <v>2389411.8116585109</v>
      </c>
      <c r="DO62" s="59">
        <f>DN62+DO54+DO8*(1-Assumptions!$F$23)</f>
        <v>2405915.0916608404</v>
      </c>
      <c r="DP62" s="59">
        <f>DO62+DP54+DP8*(1-Assumptions!$F$23)</f>
        <v>2422251.6885351464</v>
      </c>
      <c r="DQ62" s="59">
        <f>DP62+DQ54+DQ8*(1-Assumptions!$F$23)</f>
        <v>2438423.2857810222</v>
      </c>
      <c r="DR62" s="59">
        <f>DQ62+DR54+DR8*(1-Assumptions!$F$23)</f>
        <v>2454431.5498947143</v>
      </c>
      <c r="DS62" s="59">
        <f>DR62+DS54+DS8*(1-Assumptions!$F$23)</f>
        <v>2470278.130540858</v>
      </c>
      <c r="DT62" s="59">
        <f>DS62+DT54+DT8*(1-Assumptions!$F$23)</f>
        <v>2485964.660722476</v>
      </c>
      <c r="DU62" s="60">
        <f>DT62+DU54+DU8*(1-Assumptions!$F$23)</f>
        <v>2580083.8418121831</v>
      </c>
    </row>
    <row r="63" spans="2:125" s="4" customFormat="1" x14ac:dyDescent="0.4">
      <c r="B63" s="74" t="s">
        <v>37</v>
      </c>
      <c r="C63" s="103" t="s">
        <v>74</v>
      </c>
      <c r="D63" s="91"/>
      <c r="E63" s="90">
        <f t="shared" ref="E63:E65" si="57">E55</f>
        <v>0</v>
      </c>
      <c r="F63" s="90">
        <f t="shared" ref="F63:F65" si="58">E63+F55</f>
        <v>0</v>
      </c>
      <c r="G63" s="90">
        <f t="shared" ref="G63:BR63" si="59">F63+G55</f>
        <v>0</v>
      </c>
      <c r="H63" s="90">
        <f t="shared" si="59"/>
        <v>0</v>
      </c>
      <c r="I63" s="90">
        <f t="shared" si="59"/>
        <v>0</v>
      </c>
      <c r="J63" s="90">
        <f t="shared" si="59"/>
        <v>0</v>
      </c>
      <c r="K63" s="90">
        <f t="shared" si="59"/>
        <v>0</v>
      </c>
      <c r="L63" s="90">
        <f t="shared" si="59"/>
        <v>0</v>
      </c>
      <c r="M63" s="90">
        <f t="shared" si="59"/>
        <v>0</v>
      </c>
      <c r="N63" s="90">
        <f t="shared" si="59"/>
        <v>0</v>
      </c>
      <c r="O63" s="90">
        <f t="shared" si="59"/>
        <v>0</v>
      </c>
      <c r="P63" s="90">
        <f t="shared" si="59"/>
        <v>0</v>
      </c>
      <c r="Q63" s="90">
        <f t="shared" si="59"/>
        <v>0</v>
      </c>
      <c r="R63" s="90">
        <f t="shared" si="59"/>
        <v>0</v>
      </c>
      <c r="S63" s="90">
        <f t="shared" si="59"/>
        <v>0</v>
      </c>
      <c r="T63" s="90">
        <f t="shared" si="59"/>
        <v>0</v>
      </c>
      <c r="U63" s="90">
        <f t="shared" si="59"/>
        <v>0</v>
      </c>
      <c r="V63" s="90">
        <f t="shared" si="59"/>
        <v>0</v>
      </c>
      <c r="W63" s="90">
        <f t="shared" si="59"/>
        <v>0</v>
      </c>
      <c r="X63" s="90">
        <f t="shared" si="59"/>
        <v>0</v>
      </c>
      <c r="Y63" s="90">
        <f t="shared" si="59"/>
        <v>0</v>
      </c>
      <c r="Z63" s="90">
        <f t="shared" si="59"/>
        <v>0</v>
      </c>
      <c r="AA63" s="90">
        <f t="shared" si="59"/>
        <v>0</v>
      </c>
      <c r="AB63" s="90">
        <f t="shared" si="59"/>
        <v>0</v>
      </c>
      <c r="AC63" s="90">
        <f t="shared" si="59"/>
        <v>0</v>
      </c>
      <c r="AD63" s="90">
        <f t="shared" si="59"/>
        <v>0</v>
      </c>
      <c r="AE63" s="90">
        <f t="shared" si="59"/>
        <v>0</v>
      </c>
      <c r="AF63" s="90">
        <f t="shared" si="59"/>
        <v>127344.60955637222</v>
      </c>
      <c r="AG63" s="90">
        <f t="shared" si="59"/>
        <v>253403.03855622507</v>
      </c>
      <c r="AH63" s="90">
        <f t="shared" si="59"/>
        <v>378188.27742317942</v>
      </c>
      <c r="AI63" s="90">
        <f t="shared" si="59"/>
        <v>501713.18537757755</v>
      </c>
      <c r="AJ63" s="90">
        <f t="shared" si="59"/>
        <v>623990.49176163622</v>
      </c>
      <c r="AK63" s="90">
        <f t="shared" si="59"/>
        <v>745032.79735121597</v>
      </c>
      <c r="AL63" s="90">
        <f t="shared" si="59"/>
        <v>864852.57565434091</v>
      </c>
      <c r="AM63" s="90">
        <f t="shared" si="59"/>
        <v>983462.17419660429</v>
      </c>
      <c r="AN63" s="90">
        <f t="shared" si="59"/>
        <v>1100873.8157935909</v>
      </c>
      <c r="AO63" s="90">
        <f t="shared" si="59"/>
        <v>1217099.5998104478</v>
      </c>
      <c r="AP63" s="90">
        <f t="shared" si="59"/>
        <v>1332151.5034087345</v>
      </c>
      <c r="AQ63" s="90">
        <f t="shared" si="59"/>
        <v>1446041.3827806786</v>
      </c>
      <c r="AR63" s="90">
        <f t="shared" si="59"/>
        <v>1558780.974370966</v>
      </c>
      <c r="AS63" s="90">
        <f t="shared" si="59"/>
        <v>1670381.8960861915</v>
      </c>
      <c r="AT63" s="90">
        <f t="shared" si="59"/>
        <v>1780855.6484920932</v>
      </c>
      <c r="AU63" s="90">
        <f t="shared" si="59"/>
        <v>1890213.6159986954</v>
      </c>
      <c r="AV63" s="90">
        <f t="shared" si="59"/>
        <v>1998467.0680334808</v>
      </c>
      <c r="AW63" s="90">
        <f t="shared" si="59"/>
        <v>2105627.1602027151</v>
      </c>
      <c r="AX63" s="90">
        <f t="shared" si="59"/>
        <v>2211704.93544104</v>
      </c>
      <c r="AY63" s="90">
        <f t="shared" si="59"/>
        <v>2316711.3251494579</v>
      </c>
      <c r="AZ63" s="90">
        <f t="shared" si="59"/>
        <v>2420657.1503218208</v>
      </c>
      <c r="BA63" s="90">
        <f t="shared" si="59"/>
        <v>2523553.1226599426</v>
      </c>
      <c r="BB63" s="90">
        <f t="shared" si="59"/>
        <v>2625409.8456774494</v>
      </c>
      <c r="BC63" s="90">
        <f t="shared" si="59"/>
        <v>2726237.8157924796</v>
      </c>
      <c r="BD63" s="90">
        <f t="shared" si="59"/>
        <v>2826047.4234093479</v>
      </c>
      <c r="BE63" s="90">
        <f t="shared" si="59"/>
        <v>2924848.9539892855</v>
      </c>
      <c r="BF63" s="90">
        <f t="shared" si="59"/>
        <v>3022652.5891103661</v>
      </c>
      <c r="BG63" s="90">
        <f t="shared" si="59"/>
        <v>3119468.4075167235</v>
      </c>
      <c r="BH63" s="90">
        <f t="shared" si="59"/>
        <v>3215306.3861571769</v>
      </c>
      <c r="BI63" s="90">
        <f t="shared" si="59"/>
        <v>3310176.4012133619</v>
      </c>
      <c r="BJ63" s="90">
        <f t="shared" si="59"/>
        <v>3404088.2291174792</v>
      </c>
      <c r="BK63" s="90">
        <f t="shared" si="59"/>
        <v>3497051.5475597647</v>
      </c>
      <c r="BL63" s="90">
        <f t="shared" si="59"/>
        <v>3589075.9364857832</v>
      </c>
      <c r="BM63" s="90">
        <f t="shared" si="59"/>
        <v>3680170.8790836493</v>
      </c>
      <c r="BN63" s="90">
        <f t="shared" si="59"/>
        <v>3770345.7627612767</v>
      </c>
      <c r="BO63" s="90">
        <f t="shared" si="59"/>
        <v>3859609.88011376</v>
      </c>
      <c r="BP63" s="90">
        <f t="shared" si="59"/>
        <v>3947972.4298809832</v>
      </c>
      <c r="BQ63" s="90">
        <f t="shared" si="59"/>
        <v>4035442.5178955575</v>
      </c>
      <c r="BR63" s="90">
        <f t="shared" si="59"/>
        <v>4122029.1580211846</v>
      </c>
      <c r="BS63" s="90">
        <f t="shared" ref="BS63:DU63" si="60">BR63+BS55</f>
        <v>4207741.2730815429</v>
      </c>
      <c r="BT63" s="90">
        <f t="shared" si="60"/>
        <v>4292587.695779792</v>
      </c>
      <c r="BU63" s="90">
        <f t="shared" si="60"/>
        <v>4376577.1696087886</v>
      </c>
      <c r="BV63" s="90">
        <f t="shared" si="60"/>
        <v>4459718.3497521123</v>
      </c>
      <c r="BW63" s="90">
        <f t="shared" si="60"/>
        <v>4542019.8039759882</v>
      </c>
      <c r="BX63" s="90">
        <f t="shared" si="60"/>
        <v>4623490.0135122025</v>
      </c>
      <c r="BY63" s="90">
        <f t="shared" si="60"/>
        <v>4704137.3739321018</v>
      </c>
      <c r="BZ63" s="90">
        <f t="shared" si="60"/>
        <v>4783970.1960117593</v>
      </c>
      <c r="CA63" s="90">
        <f t="shared" si="60"/>
        <v>4862996.7065884126</v>
      </c>
      <c r="CB63" s="90">
        <f t="shared" si="60"/>
        <v>4941225.0494082421</v>
      </c>
      <c r="CC63" s="90">
        <f t="shared" si="60"/>
        <v>5018663.2859655907</v>
      </c>
      <c r="CD63" s="90">
        <f t="shared" si="60"/>
        <v>5095319.3963337103</v>
      </c>
      <c r="CE63" s="90">
        <f t="shared" si="60"/>
        <v>5171201.2799871117</v>
      </c>
      <c r="CF63" s="90">
        <f t="shared" si="60"/>
        <v>5246316.7566156145</v>
      </c>
      <c r="CG63" s="90">
        <f t="shared" si="60"/>
        <v>5320673.5669301692</v>
      </c>
      <c r="CH63" s="90">
        <f t="shared" si="60"/>
        <v>5394279.3734605471</v>
      </c>
      <c r="CI63" s="90">
        <f t="shared" si="60"/>
        <v>5467141.7613449674</v>
      </c>
      <c r="CJ63" s="90">
        <f t="shared" si="60"/>
        <v>5539268.239111755</v>
      </c>
      <c r="CK63" s="90">
        <f t="shared" si="60"/>
        <v>5610666.2394530987</v>
      </c>
      <c r="CL63" s="90">
        <f t="shared" si="60"/>
        <v>5681343.1199909952</v>
      </c>
      <c r="CM63" s="90">
        <f t="shared" si="60"/>
        <v>5751306.1640354581</v>
      </c>
      <c r="CN63" s="90">
        <f t="shared" si="60"/>
        <v>5820562.5813350724</v>
      </c>
      <c r="CO63" s="90">
        <f t="shared" si="60"/>
        <v>5889119.5088199601</v>
      </c>
      <c r="CP63" s="90">
        <f t="shared" si="60"/>
        <v>5956984.0113372505</v>
      </c>
      <c r="CQ63" s="90">
        <f t="shared" si="60"/>
        <v>6024163.0823791167</v>
      </c>
      <c r="CR63" s="90">
        <f t="shared" si="60"/>
        <v>6090663.6448034598</v>
      </c>
      <c r="CS63" s="90">
        <f t="shared" si="60"/>
        <v>6156492.5515473168</v>
      </c>
      <c r="CT63" s="90">
        <f t="shared" si="60"/>
        <v>6221656.5863330616</v>
      </c>
      <c r="CU63" s="90">
        <f t="shared" si="60"/>
        <v>6286162.4643674698</v>
      </c>
      <c r="CV63" s="90">
        <f t="shared" si="60"/>
        <v>6350016.8330337303</v>
      </c>
      <c r="CW63" s="90">
        <f t="shared" si="60"/>
        <v>6413226.2725764615</v>
      </c>
      <c r="CX63" s="90">
        <f t="shared" si="60"/>
        <v>6475797.2967798114</v>
      </c>
      <c r="CY63" s="90">
        <f t="shared" si="60"/>
        <v>6537736.3536387077</v>
      </c>
      <c r="CZ63" s="90">
        <f t="shared" si="60"/>
        <v>6599049.826023329</v>
      </c>
      <c r="DA63" s="90">
        <f t="shared" si="60"/>
        <v>6659744.0323368656</v>
      </c>
      <c r="DB63" s="90">
        <f t="shared" si="60"/>
        <v>6719825.2271666359</v>
      </c>
      <c r="DC63" s="90">
        <f t="shared" si="60"/>
        <v>6779299.6019286253</v>
      </c>
      <c r="DD63" s="90">
        <f t="shared" si="60"/>
        <v>6838173.2855055183</v>
      </c>
      <c r="DE63" s="90">
        <f t="shared" si="60"/>
        <v>6896452.3448782852</v>
      </c>
      <c r="DF63" s="90">
        <f t="shared" si="60"/>
        <v>6954142.7857513865</v>
      </c>
      <c r="DG63" s="90">
        <f t="shared" si="60"/>
        <v>7011250.5531716701</v>
      </c>
      <c r="DH63" s="90">
        <f t="shared" si="60"/>
        <v>7067781.5321410084</v>
      </c>
      <c r="DI63" s="90">
        <f t="shared" si="60"/>
        <v>7123741.5482227569</v>
      </c>
      <c r="DJ63" s="90">
        <f t="shared" si="60"/>
        <v>7179136.3681420796</v>
      </c>
      <c r="DK63" s="90">
        <f t="shared" si="60"/>
        <v>7233971.7003802173</v>
      </c>
      <c r="DL63" s="90">
        <f t="shared" si="60"/>
        <v>7288253.1957627498</v>
      </c>
      <c r="DM63" s="90">
        <f t="shared" si="60"/>
        <v>7341986.4480419187</v>
      </c>
      <c r="DN63" s="90">
        <f t="shared" si="60"/>
        <v>7395176.994473068</v>
      </c>
      <c r="DO63" s="90">
        <f t="shared" si="60"/>
        <v>7447830.3163852626</v>
      </c>
      <c r="DP63" s="90">
        <f t="shared" si="60"/>
        <v>7499951.8397461437</v>
      </c>
      <c r="DQ63" s="90">
        <f t="shared" si="60"/>
        <v>7551546.9357210798</v>
      </c>
      <c r="DR63" s="90">
        <f t="shared" si="60"/>
        <v>7602620.9212266691</v>
      </c>
      <c r="DS63" s="90">
        <f t="shared" si="60"/>
        <v>7653179.0594786517</v>
      </c>
      <c r="DT63" s="90">
        <f t="shared" si="60"/>
        <v>7703226.56053429</v>
      </c>
      <c r="DU63" s="88">
        <f t="shared" si="60"/>
        <v>8003511.5668681171</v>
      </c>
    </row>
    <row r="64" spans="2:125" x14ac:dyDescent="0.4">
      <c r="B64" s="39"/>
      <c r="C64" s="55" t="s">
        <v>60</v>
      </c>
      <c r="D64" s="62"/>
      <c r="E64" s="59">
        <f t="shared" si="57"/>
        <v>0</v>
      </c>
      <c r="F64" s="59">
        <f t="shared" si="58"/>
        <v>0</v>
      </c>
      <c r="G64" s="59">
        <f t="shared" ref="G64:BR64" si="61">F64+G56</f>
        <v>0</v>
      </c>
      <c r="H64" s="59">
        <f t="shared" si="61"/>
        <v>0</v>
      </c>
      <c r="I64" s="59">
        <f t="shared" si="61"/>
        <v>0</v>
      </c>
      <c r="J64" s="59">
        <f t="shared" si="61"/>
        <v>0</v>
      </c>
      <c r="K64" s="59">
        <f t="shared" si="61"/>
        <v>0</v>
      </c>
      <c r="L64" s="59">
        <f t="shared" si="61"/>
        <v>0</v>
      </c>
      <c r="M64" s="59">
        <f t="shared" si="61"/>
        <v>0</v>
      </c>
      <c r="N64" s="59">
        <f t="shared" si="61"/>
        <v>0</v>
      </c>
      <c r="O64" s="59">
        <f t="shared" si="61"/>
        <v>0</v>
      </c>
      <c r="P64" s="59">
        <f t="shared" si="61"/>
        <v>0</v>
      </c>
      <c r="Q64" s="59">
        <f t="shared" si="61"/>
        <v>0</v>
      </c>
      <c r="R64" s="59">
        <f t="shared" si="61"/>
        <v>0</v>
      </c>
      <c r="S64" s="59">
        <f t="shared" si="61"/>
        <v>0</v>
      </c>
      <c r="T64" s="59">
        <f t="shared" si="61"/>
        <v>0</v>
      </c>
      <c r="U64" s="59">
        <f t="shared" si="61"/>
        <v>0</v>
      </c>
      <c r="V64" s="59">
        <f t="shared" si="61"/>
        <v>0</v>
      </c>
      <c r="W64" s="59">
        <f t="shared" si="61"/>
        <v>0</v>
      </c>
      <c r="X64" s="59">
        <f t="shared" si="61"/>
        <v>0</v>
      </c>
      <c r="Y64" s="59">
        <f t="shared" si="61"/>
        <v>0</v>
      </c>
      <c r="Z64" s="59">
        <f t="shared" si="61"/>
        <v>0</v>
      </c>
      <c r="AA64" s="59">
        <f t="shared" si="61"/>
        <v>0</v>
      </c>
      <c r="AB64" s="59">
        <f t="shared" si="61"/>
        <v>0</v>
      </c>
      <c r="AC64" s="59">
        <f t="shared" si="61"/>
        <v>0</v>
      </c>
      <c r="AD64" s="59">
        <f t="shared" si="61"/>
        <v>0</v>
      </c>
      <c r="AE64" s="59">
        <f t="shared" si="61"/>
        <v>0</v>
      </c>
      <c r="AF64" s="59">
        <f t="shared" si="61"/>
        <v>114039.94885645273</v>
      </c>
      <c r="AG64" s="59">
        <f t="shared" si="61"/>
        <v>226928.09422945528</v>
      </c>
      <c r="AH64" s="59">
        <f t="shared" si="61"/>
        <v>338676.06933419051</v>
      </c>
      <c r="AI64" s="59">
        <f t="shared" si="61"/>
        <v>449295.38989036792</v>
      </c>
      <c r="AJ64" s="59">
        <f t="shared" si="61"/>
        <v>558797.45530892792</v>
      </c>
      <c r="AK64" s="59">
        <f t="shared" si="61"/>
        <v>667193.5498667605</v>
      </c>
      <c r="AL64" s="59">
        <f t="shared" si="61"/>
        <v>774494.843869559</v>
      </c>
      <c r="AM64" s="59">
        <f t="shared" si="61"/>
        <v>880712.39480292914</v>
      </c>
      <c r="AN64" s="59">
        <f t="shared" si="61"/>
        <v>985857.14847187232</v>
      </c>
      <c r="AO64" s="59">
        <f t="shared" si="61"/>
        <v>1089939.9401287592</v>
      </c>
      <c r="AP64" s="59">
        <f t="shared" si="61"/>
        <v>1192971.4955899115</v>
      </c>
      <c r="AQ64" s="59">
        <f t="shared" si="61"/>
        <v>1294962.432340906</v>
      </c>
      <c r="AR64" s="59">
        <f t="shared" si="61"/>
        <v>1395923.2606307156</v>
      </c>
      <c r="AS64" s="59">
        <f t="shared" si="61"/>
        <v>1495864.3845547982</v>
      </c>
      <c r="AT64" s="59">
        <f t="shared" si="61"/>
        <v>1594796.1031272477</v>
      </c>
      <c r="AU64" s="59">
        <f t="shared" si="61"/>
        <v>1692728.6113421153</v>
      </c>
      <c r="AV64" s="59">
        <f t="shared" si="61"/>
        <v>1789672.0012240128</v>
      </c>
      <c r="AW64" s="59">
        <f t="shared" si="61"/>
        <v>1885636.2628681031</v>
      </c>
      <c r="AX64" s="59">
        <f t="shared" si="61"/>
        <v>1980631.2854695881</v>
      </c>
      <c r="AY64" s="59">
        <f t="shared" si="61"/>
        <v>2074666.858342798</v>
      </c>
      <c r="AZ64" s="59">
        <f t="shared" si="61"/>
        <v>2167752.6719299885</v>
      </c>
      <c r="BA64" s="59">
        <f t="shared" si="61"/>
        <v>2259898.3187999483</v>
      </c>
      <c r="BB64" s="59">
        <f t="shared" si="61"/>
        <v>2351113.2946365215</v>
      </c>
      <c r="BC64" s="59">
        <f t="shared" si="61"/>
        <v>2441406.9992171451</v>
      </c>
      <c r="BD64" s="59">
        <f t="shared" si="61"/>
        <v>2530788.7373815048</v>
      </c>
      <c r="BE64" s="59">
        <f t="shared" si="61"/>
        <v>2619267.7199904043</v>
      </c>
      <c r="BF64" s="59">
        <f t="shared" si="61"/>
        <v>2706853.0648749541</v>
      </c>
      <c r="BG64" s="59">
        <f t="shared" si="61"/>
        <v>2793553.7977761696</v>
      </c>
      <c r="BH64" s="59">
        <f t="shared" si="61"/>
        <v>2879378.853275083</v>
      </c>
      <c r="BI64" s="59">
        <f t="shared" si="61"/>
        <v>2964337.0757134575</v>
      </c>
      <c r="BJ64" s="59">
        <f t="shared" si="61"/>
        <v>3048437.2201052043</v>
      </c>
      <c r="BK64" s="59">
        <f t="shared" si="61"/>
        <v>3131687.9530385947</v>
      </c>
      <c r="BL64" s="59">
        <f t="shared" si="61"/>
        <v>3214097.8535693577</v>
      </c>
      <c r="BM64" s="59">
        <f t="shared" si="61"/>
        <v>3295675.4141047597</v>
      </c>
      <c r="BN64" s="59">
        <f t="shared" si="61"/>
        <v>3376429.0412787544</v>
      </c>
      <c r="BO64" s="59">
        <f t="shared" si="61"/>
        <v>3456367.0568182915</v>
      </c>
      <c r="BP64" s="59">
        <f t="shared" si="61"/>
        <v>3535497.6984008797</v>
      </c>
      <c r="BQ64" s="59">
        <f t="shared" si="61"/>
        <v>3613829.1205034838</v>
      </c>
      <c r="BR64" s="59">
        <f t="shared" si="61"/>
        <v>3691369.3952428512</v>
      </c>
      <c r="BS64" s="59">
        <f t="shared" ref="BS64:DU64" si="62">BR64+BS56</f>
        <v>3768126.5132073513</v>
      </c>
      <c r="BT64" s="59">
        <f t="shared" si="62"/>
        <v>3844108.3842804097</v>
      </c>
      <c r="BU64" s="59">
        <f t="shared" si="62"/>
        <v>3919322.8384556305</v>
      </c>
      <c r="BV64" s="59">
        <f t="shared" si="62"/>
        <v>3993777.6266436814</v>
      </c>
      <c r="BW64" s="59">
        <f t="shared" si="62"/>
        <v>4067480.4214710332</v>
      </c>
      <c r="BX64" s="59">
        <f t="shared" si="62"/>
        <v>4140438.8180706287</v>
      </c>
      <c r="BY64" s="59">
        <f t="shared" si="62"/>
        <v>4212660.334864568</v>
      </c>
      <c r="BZ64" s="59">
        <f t="shared" si="62"/>
        <v>4284152.4143388886</v>
      </c>
      <c r="CA64" s="59">
        <f t="shared" si="62"/>
        <v>4354922.4238105183</v>
      </c>
      <c r="CB64" s="59">
        <f t="shared" si="62"/>
        <v>4424977.6561864847</v>
      </c>
      <c r="CC64" s="59">
        <f t="shared" si="62"/>
        <v>4494325.3307154542</v>
      </c>
      <c r="CD64" s="59">
        <f t="shared" si="62"/>
        <v>4562972.5937316809</v>
      </c>
      <c r="CE64" s="59">
        <f t="shared" si="62"/>
        <v>4630926.5193914436</v>
      </c>
      <c r="CF64" s="59">
        <f t="shared" si="62"/>
        <v>4698194.110402043</v>
      </c>
      <c r="CG64" s="59">
        <f t="shared" si="62"/>
        <v>4764782.2987434352</v>
      </c>
      <c r="CH64" s="59">
        <f t="shared" si="62"/>
        <v>4830697.9463825794</v>
      </c>
      <c r="CI64" s="59">
        <f t="shared" si="62"/>
        <v>4895947.8459805679</v>
      </c>
      <c r="CJ64" s="59">
        <f t="shared" si="62"/>
        <v>4960538.7215926172</v>
      </c>
      <c r="CK64" s="59">
        <f t="shared" si="62"/>
        <v>5024477.2293609846</v>
      </c>
      <c r="CL64" s="59">
        <f t="shared" si="62"/>
        <v>5087769.9582008915</v>
      </c>
      <c r="CM64" s="59">
        <f t="shared" si="62"/>
        <v>5150423.4304795153</v>
      </c>
      <c r="CN64" s="59">
        <f t="shared" si="62"/>
        <v>5212444.1026881253</v>
      </c>
      <c r="CO64" s="59">
        <f t="shared" si="62"/>
        <v>5273838.3661074284</v>
      </c>
      <c r="CP64" s="59">
        <f t="shared" si="62"/>
        <v>5334612.5474661961</v>
      </c>
      <c r="CQ64" s="59">
        <f t="shared" si="62"/>
        <v>5394772.9095932404</v>
      </c>
      <c r="CR64" s="59">
        <f t="shared" si="62"/>
        <v>5454325.6520628016</v>
      </c>
      <c r="CS64" s="59">
        <f t="shared" si="62"/>
        <v>5513276.9118334204</v>
      </c>
      <c r="CT64" s="59">
        <f t="shared" si="62"/>
        <v>5571632.7638803553</v>
      </c>
      <c r="CU64" s="59">
        <f t="shared" si="62"/>
        <v>5629399.2218216164</v>
      </c>
      <c r="CV64" s="59">
        <f t="shared" si="62"/>
        <v>5686582.238537671</v>
      </c>
      <c r="CW64" s="59">
        <f t="shared" si="62"/>
        <v>5743187.7067848938</v>
      </c>
      <c r="CX64" s="59">
        <f t="shared" si="62"/>
        <v>5799221.4598028194</v>
      </c>
      <c r="CY64" s="59">
        <f t="shared" si="62"/>
        <v>5854689.2719152635</v>
      </c>
      <c r="CZ64" s="59">
        <f t="shared" si="62"/>
        <v>5909596.859125372</v>
      </c>
      <c r="DA64" s="59">
        <f t="shared" si="62"/>
        <v>5963949.8797046589</v>
      </c>
      <c r="DB64" s="59">
        <f t="shared" si="62"/>
        <v>6017753.9347760947</v>
      </c>
      <c r="DC64" s="59">
        <f t="shared" si="62"/>
        <v>6071014.5688913092</v>
      </c>
      <c r="DD64" s="59">
        <f t="shared" si="62"/>
        <v>6123737.2706019599</v>
      </c>
      <c r="DE64" s="59">
        <f t="shared" si="62"/>
        <v>6175927.4730253331</v>
      </c>
      <c r="DF64" s="59">
        <f t="shared" si="62"/>
        <v>6227590.5544042299</v>
      </c>
      <c r="DG64" s="59">
        <f t="shared" si="62"/>
        <v>6278731.8386612004</v>
      </c>
      <c r="DH64" s="59">
        <f t="shared" si="62"/>
        <v>6329356.5959471753</v>
      </c>
      <c r="DI64" s="59">
        <f t="shared" si="62"/>
        <v>6379470.0431845617</v>
      </c>
      <c r="DJ64" s="59">
        <f t="shared" si="62"/>
        <v>6429077.3446048507</v>
      </c>
      <c r="DK64" s="59">
        <f t="shared" si="62"/>
        <v>6478183.6122807944</v>
      </c>
      <c r="DL64" s="59">
        <f t="shared" si="62"/>
        <v>6526793.9066532115</v>
      </c>
      <c r="DM64" s="59">
        <f t="shared" si="62"/>
        <v>6574913.2370524667</v>
      </c>
      <c r="DN64" s="59">
        <f t="shared" si="62"/>
        <v>6622546.5622146893</v>
      </c>
      <c r="DO64" s="59">
        <f t="shared" si="62"/>
        <v>6669698.7907927735</v>
      </c>
      <c r="DP64" s="59">
        <f t="shared" si="62"/>
        <v>6716374.7818622189</v>
      </c>
      <c r="DQ64" s="59">
        <f t="shared" si="62"/>
        <v>6762579.3454218637</v>
      </c>
      <c r="DR64" s="59">
        <f t="shared" si="62"/>
        <v>6808317.2428895561</v>
      </c>
      <c r="DS64" s="59">
        <f t="shared" si="62"/>
        <v>6853593.187592824</v>
      </c>
      <c r="DT64" s="59">
        <f t="shared" si="62"/>
        <v>6898411.8452545889</v>
      </c>
      <c r="DU64" s="60">
        <f t="shared" si="62"/>
        <v>7167323.791225181</v>
      </c>
    </row>
    <row r="65" spans="1:125" x14ac:dyDescent="0.4">
      <c r="B65" s="92"/>
      <c r="C65" s="63" t="s">
        <v>61</v>
      </c>
      <c r="D65" s="64"/>
      <c r="E65" s="65">
        <f t="shared" si="57"/>
        <v>0</v>
      </c>
      <c r="F65" s="65">
        <f t="shared" si="58"/>
        <v>0</v>
      </c>
      <c r="G65" s="65">
        <f t="shared" ref="G65:BR65" si="63">F65+G57</f>
        <v>0</v>
      </c>
      <c r="H65" s="65">
        <f t="shared" si="63"/>
        <v>0</v>
      </c>
      <c r="I65" s="65">
        <f t="shared" si="63"/>
        <v>0</v>
      </c>
      <c r="J65" s="65">
        <f t="shared" si="63"/>
        <v>0</v>
      </c>
      <c r="K65" s="65">
        <f t="shared" si="63"/>
        <v>0</v>
      </c>
      <c r="L65" s="65">
        <f t="shared" si="63"/>
        <v>0</v>
      </c>
      <c r="M65" s="65">
        <f t="shared" si="63"/>
        <v>0</v>
      </c>
      <c r="N65" s="65">
        <f t="shared" si="63"/>
        <v>0</v>
      </c>
      <c r="O65" s="65">
        <f t="shared" si="63"/>
        <v>0</v>
      </c>
      <c r="P65" s="65">
        <f t="shared" si="63"/>
        <v>0</v>
      </c>
      <c r="Q65" s="65">
        <f t="shared" si="63"/>
        <v>0</v>
      </c>
      <c r="R65" s="65">
        <f t="shared" si="63"/>
        <v>0</v>
      </c>
      <c r="S65" s="65">
        <f t="shared" si="63"/>
        <v>0</v>
      </c>
      <c r="T65" s="65">
        <f t="shared" si="63"/>
        <v>0</v>
      </c>
      <c r="U65" s="65">
        <f t="shared" si="63"/>
        <v>0</v>
      </c>
      <c r="V65" s="65">
        <f t="shared" si="63"/>
        <v>0</v>
      </c>
      <c r="W65" s="65">
        <f t="shared" si="63"/>
        <v>0</v>
      </c>
      <c r="X65" s="65">
        <f t="shared" si="63"/>
        <v>0</v>
      </c>
      <c r="Y65" s="65">
        <f t="shared" si="63"/>
        <v>0</v>
      </c>
      <c r="Z65" s="65">
        <f t="shared" si="63"/>
        <v>0</v>
      </c>
      <c r="AA65" s="65">
        <f t="shared" si="63"/>
        <v>0</v>
      </c>
      <c r="AB65" s="65">
        <f t="shared" si="63"/>
        <v>0</v>
      </c>
      <c r="AC65" s="65">
        <f t="shared" si="63"/>
        <v>0</v>
      </c>
      <c r="AD65" s="65">
        <f t="shared" si="63"/>
        <v>0</v>
      </c>
      <c r="AE65" s="65">
        <f t="shared" si="63"/>
        <v>0</v>
      </c>
      <c r="AF65" s="65">
        <f t="shared" si="63"/>
        <v>13304.660699919485</v>
      </c>
      <c r="AG65" s="65">
        <f t="shared" si="63"/>
        <v>26474.944326769782</v>
      </c>
      <c r="AH65" s="65">
        <f t="shared" si="63"/>
        <v>39512.208088988889</v>
      </c>
      <c r="AI65" s="65">
        <f t="shared" si="63"/>
        <v>52417.795487209587</v>
      </c>
      <c r="AJ65" s="65">
        <f t="shared" si="63"/>
        <v>65193.036452708257</v>
      </c>
      <c r="AK65" s="65">
        <f t="shared" si="63"/>
        <v>77839.247484455394</v>
      </c>
      <c r="AL65" s="65">
        <f t="shared" si="63"/>
        <v>90357.731784781878</v>
      </c>
      <c r="AM65" s="65">
        <f t="shared" si="63"/>
        <v>102749.77939367507</v>
      </c>
      <c r="AN65" s="65">
        <f t="shared" si="63"/>
        <v>115016.66732171844</v>
      </c>
      <c r="AO65" s="65">
        <f t="shared" si="63"/>
        <v>127159.65968168857</v>
      </c>
      <c r="AP65" s="65">
        <f t="shared" si="63"/>
        <v>139180.00781882301</v>
      </c>
      <c r="AQ65" s="65">
        <f t="shared" si="63"/>
        <v>151078.95043977239</v>
      </c>
      <c r="AR65" s="65">
        <f t="shared" si="63"/>
        <v>162857.71374025018</v>
      </c>
      <c r="AS65" s="65">
        <f t="shared" si="63"/>
        <v>174517.51153139313</v>
      </c>
      <c r="AT65" s="65">
        <f t="shared" si="63"/>
        <v>186059.54536484554</v>
      </c>
      <c r="AU65" s="65">
        <f t="shared" si="63"/>
        <v>197485.0046565801</v>
      </c>
      <c r="AV65" s="65">
        <f t="shared" si="63"/>
        <v>208795.06680946812</v>
      </c>
      <c r="AW65" s="65">
        <f t="shared" si="63"/>
        <v>219990.89733461197</v>
      </c>
      <c r="AX65" s="65">
        <f t="shared" si="63"/>
        <v>231073.64997145187</v>
      </c>
      <c r="AY65" s="65">
        <f t="shared" si="63"/>
        <v>242044.46680665968</v>
      </c>
      <c r="AZ65" s="65">
        <f t="shared" si="63"/>
        <v>252904.47839183189</v>
      </c>
      <c r="BA65" s="65">
        <f t="shared" si="63"/>
        <v>263654.80385999387</v>
      </c>
      <c r="BB65" s="65">
        <f t="shared" si="63"/>
        <v>274296.55104092741</v>
      </c>
      <c r="BC65" s="65">
        <f t="shared" si="63"/>
        <v>284830.81657533353</v>
      </c>
      <c r="BD65" s="65">
        <f t="shared" si="63"/>
        <v>295258.68602784217</v>
      </c>
      <c r="BE65" s="65">
        <f t="shared" si="63"/>
        <v>305581.23399888043</v>
      </c>
      <c r="BF65" s="65">
        <f t="shared" si="63"/>
        <v>315799.5242354112</v>
      </c>
      <c r="BG65" s="65">
        <f t="shared" si="63"/>
        <v>325914.60974055302</v>
      </c>
      <c r="BH65" s="65">
        <f t="shared" si="63"/>
        <v>335927.53288209293</v>
      </c>
      <c r="BI65" s="65">
        <f t="shared" si="63"/>
        <v>345839.32549990329</v>
      </c>
      <c r="BJ65" s="65">
        <f t="shared" si="63"/>
        <v>355651.00901227375</v>
      </c>
      <c r="BK65" s="65">
        <f t="shared" si="63"/>
        <v>365363.59452116926</v>
      </c>
      <c r="BL65" s="65">
        <f t="shared" si="63"/>
        <v>374978.08291642496</v>
      </c>
      <c r="BM65" s="65">
        <f t="shared" si="63"/>
        <v>384495.46497888857</v>
      </c>
      <c r="BN65" s="65">
        <f t="shared" si="63"/>
        <v>393916.72148252127</v>
      </c>
      <c r="BO65" s="65">
        <f t="shared" si="63"/>
        <v>403242.8232954673</v>
      </c>
      <c r="BP65" s="65">
        <f t="shared" si="63"/>
        <v>412474.73148010258</v>
      </c>
      <c r="BQ65" s="65">
        <f t="shared" si="63"/>
        <v>421613.39739207301</v>
      </c>
      <c r="BR65" s="65">
        <f t="shared" si="63"/>
        <v>430659.76277833257</v>
      </c>
      <c r="BS65" s="65">
        <f t="shared" ref="BS65:DU65" si="64">BR65+BS57</f>
        <v>439614.7598741909</v>
      </c>
      <c r="BT65" s="65">
        <f t="shared" si="64"/>
        <v>448479.31149938103</v>
      </c>
      <c r="BU65" s="65">
        <f t="shared" si="64"/>
        <v>457254.33115315676</v>
      </c>
      <c r="BV65" s="65">
        <f t="shared" si="64"/>
        <v>465940.72310842935</v>
      </c>
      <c r="BW65" s="65">
        <f t="shared" si="64"/>
        <v>474539.38250495371</v>
      </c>
      <c r="BX65" s="65">
        <f t="shared" si="64"/>
        <v>483051.19544157316</v>
      </c>
      <c r="BY65" s="65">
        <f t="shared" si="64"/>
        <v>491477.03906753275</v>
      </c>
      <c r="BZ65" s="65">
        <f t="shared" si="64"/>
        <v>499817.78167287016</v>
      </c>
      <c r="CA65" s="65">
        <f t="shared" si="64"/>
        <v>508074.28277789365</v>
      </c>
      <c r="CB65" s="65">
        <f t="shared" si="64"/>
        <v>516247.39322175639</v>
      </c>
      <c r="CC65" s="65">
        <f t="shared" si="64"/>
        <v>524337.95525013609</v>
      </c>
      <c r="CD65" s="65">
        <f t="shared" si="64"/>
        <v>532346.80260202917</v>
      </c>
      <c r="CE65" s="65">
        <f t="shared" si="64"/>
        <v>540274.76059566811</v>
      </c>
      <c r="CF65" s="65">
        <f t="shared" si="64"/>
        <v>548122.64621357131</v>
      </c>
      <c r="CG65" s="65">
        <f t="shared" si="64"/>
        <v>555891.26818673371</v>
      </c>
      <c r="CH65" s="65">
        <f t="shared" si="64"/>
        <v>563581.42707796721</v>
      </c>
      <c r="CI65" s="65">
        <f t="shared" si="64"/>
        <v>571193.9153643992</v>
      </c>
      <c r="CJ65" s="65">
        <f t="shared" si="64"/>
        <v>578729.51751913829</v>
      </c>
      <c r="CK65" s="65">
        <f t="shared" si="64"/>
        <v>586189.01009211445</v>
      </c>
      <c r="CL65" s="65">
        <f t="shared" si="64"/>
        <v>593573.16179010354</v>
      </c>
      <c r="CM65" s="65">
        <f t="shared" si="64"/>
        <v>600882.73355594301</v>
      </c>
      <c r="CN65" s="65">
        <f t="shared" si="64"/>
        <v>608118.47864694742</v>
      </c>
      <c r="CO65" s="65">
        <f t="shared" si="64"/>
        <v>615281.14271253278</v>
      </c>
      <c r="CP65" s="65">
        <f t="shared" si="64"/>
        <v>622371.46387105563</v>
      </c>
      <c r="CQ65" s="65">
        <f t="shared" si="64"/>
        <v>629390.17278587748</v>
      </c>
      <c r="CR65" s="65">
        <f t="shared" si="64"/>
        <v>636337.99274065963</v>
      </c>
      <c r="CS65" s="65">
        <f t="shared" si="64"/>
        <v>643215.63971389842</v>
      </c>
      <c r="CT65" s="65">
        <f t="shared" si="64"/>
        <v>650023.82245270757</v>
      </c>
      <c r="CU65" s="65">
        <f t="shared" si="64"/>
        <v>656763.24254585465</v>
      </c>
      <c r="CV65" s="65">
        <f t="shared" si="64"/>
        <v>663434.59449606098</v>
      </c>
      <c r="CW65" s="65">
        <f t="shared" si="64"/>
        <v>670038.56579157023</v>
      </c>
      <c r="CX65" s="65">
        <f t="shared" si="64"/>
        <v>676575.83697699488</v>
      </c>
      <c r="CY65" s="65">
        <f t="shared" si="64"/>
        <v>683047.08172344672</v>
      </c>
      <c r="CZ65" s="65">
        <f t="shared" si="64"/>
        <v>689452.96689795936</v>
      </c>
      <c r="DA65" s="65">
        <f t="shared" si="64"/>
        <v>695794.15263220947</v>
      </c>
      <c r="DB65" s="65">
        <f t="shared" si="64"/>
        <v>702071.29239054362</v>
      </c>
      <c r="DC65" s="65">
        <f t="shared" si="64"/>
        <v>708285.03303731862</v>
      </c>
      <c r="DD65" s="65">
        <f t="shared" si="64"/>
        <v>714436.01490356121</v>
      </c>
      <c r="DE65" s="65">
        <f t="shared" si="64"/>
        <v>720524.87185295473</v>
      </c>
      <c r="DF65" s="65">
        <f t="shared" si="64"/>
        <v>726552.23134715937</v>
      </c>
      <c r="DG65" s="65">
        <f t="shared" si="64"/>
        <v>732518.71451047249</v>
      </c>
      <c r="DH65" s="65">
        <f t="shared" si="64"/>
        <v>738424.93619383615</v>
      </c>
      <c r="DI65" s="65">
        <f t="shared" si="64"/>
        <v>744271.50503819785</v>
      </c>
      <c r="DJ65" s="65">
        <f t="shared" si="64"/>
        <v>750059.02353723149</v>
      </c>
      <c r="DK65" s="65">
        <f t="shared" si="64"/>
        <v>755788.08809942496</v>
      </c>
      <c r="DL65" s="65">
        <f t="shared" si="64"/>
        <v>761459.28910954029</v>
      </c>
      <c r="DM65" s="65">
        <f t="shared" si="64"/>
        <v>767073.21098945336</v>
      </c>
      <c r="DN65" s="65">
        <f t="shared" si="64"/>
        <v>772630.43225837941</v>
      </c>
      <c r="DO65" s="65">
        <f t="shared" si="64"/>
        <v>778131.52559248928</v>
      </c>
      <c r="DP65" s="65">
        <f t="shared" si="64"/>
        <v>783577.05788392457</v>
      </c>
      <c r="DQ65" s="65">
        <f t="shared" si="64"/>
        <v>788967.59029921645</v>
      </c>
      <c r="DR65" s="65">
        <f t="shared" si="64"/>
        <v>794303.67833711382</v>
      </c>
      <c r="DS65" s="65">
        <f t="shared" si="64"/>
        <v>799585.87188582844</v>
      </c>
      <c r="DT65" s="65">
        <f t="shared" si="64"/>
        <v>804814.71527970105</v>
      </c>
      <c r="DU65" s="93">
        <f t="shared" si="64"/>
        <v>836187.7756429367</v>
      </c>
    </row>
    <row r="66" spans="1:125" x14ac:dyDescent="0.4">
      <c r="B66" s="39"/>
      <c r="C66" s="55"/>
      <c r="D66" s="62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60"/>
    </row>
    <row r="67" spans="1:125" x14ac:dyDescent="0.4">
      <c r="A67" s="1" t="s">
        <v>36</v>
      </c>
      <c r="B67" s="74" t="s">
        <v>85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Z67" s="59"/>
      <c r="DU67" s="42"/>
    </row>
    <row r="68" spans="1:125" s="4" customFormat="1" x14ac:dyDescent="0.4">
      <c r="B68" s="94"/>
      <c r="C68" s="19" t="s">
        <v>86</v>
      </c>
      <c r="D68" s="20">
        <f>SUM(D69:D70)</f>
        <v>0</v>
      </c>
      <c r="E68" s="20">
        <f>SUM(E69:E70)</f>
        <v>0</v>
      </c>
      <c r="F68" s="20">
        <f>SUM(F69:F70)</f>
        <v>0</v>
      </c>
      <c r="G68" s="20">
        <f t="shared" ref="G68:BR68" si="65">SUM(G69:G70)</f>
        <v>0</v>
      </c>
      <c r="H68" s="20">
        <f t="shared" si="65"/>
        <v>0</v>
      </c>
      <c r="I68" s="20">
        <f t="shared" si="65"/>
        <v>0</v>
      </c>
      <c r="J68" s="20">
        <f t="shared" si="65"/>
        <v>0</v>
      </c>
      <c r="K68" s="20">
        <f t="shared" si="65"/>
        <v>0</v>
      </c>
      <c r="L68" s="20">
        <f t="shared" si="65"/>
        <v>0</v>
      </c>
      <c r="M68" s="20">
        <f t="shared" si="65"/>
        <v>0</v>
      </c>
      <c r="N68" s="20">
        <f t="shared" si="65"/>
        <v>0</v>
      </c>
      <c r="O68" s="20">
        <f t="shared" si="65"/>
        <v>0</v>
      </c>
      <c r="P68" s="20">
        <f t="shared" si="65"/>
        <v>0</v>
      </c>
      <c r="Q68" s="20">
        <f t="shared" si="65"/>
        <v>0</v>
      </c>
      <c r="R68" s="20">
        <f t="shared" si="65"/>
        <v>0</v>
      </c>
      <c r="S68" s="20">
        <f t="shared" si="65"/>
        <v>0</v>
      </c>
      <c r="T68" s="20">
        <f t="shared" si="65"/>
        <v>0</v>
      </c>
      <c r="U68" s="20">
        <f t="shared" si="65"/>
        <v>0</v>
      </c>
      <c r="V68" s="20">
        <f t="shared" si="65"/>
        <v>0</v>
      </c>
      <c r="W68" s="20">
        <f t="shared" si="65"/>
        <v>0</v>
      </c>
      <c r="X68" s="20">
        <f t="shared" si="65"/>
        <v>0</v>
      </c>
      <c r="Y68" s="20">
        <f t="shared" si="65"/>
        <v>0</v>
      </c>
      <c r="Z68" s="20">
        <f t="shared" si="65"/>
        <v>0</v>
      </c>
      <c r="AA68" s="20">
        <f t="shared" si="65"/>
        <v>0</v>
      </c>
      <c r="AB68" s="20">
        <f t="shared" si="65"/>
        <v>0</v>
      </c>
      <c r="AC68" s="20">
        <f t="shared" si="65"/>
        <v>0</v>
      </c>
      <c r="AD68" s="20">
        <f t="shared" si="65"/>
        <v>0</v>
      </c>
      <c r="AE68" s="20">
        <f t="shared" si="65"/>
        <v>0</v>
      </c>
      <c r="AF68" s="20">
        <f t="shared" si="65"/>
        <v>0</v>
      </c>
      <c r="AG68" s="20">
        <f t="shared" si="65"/>
        <v>0</v>
      </c>
      <c r="AH68" s="20">
        <f t="shared" si="65"/>
        <v>0</v>
      </c>
      <c r="AI68" s="20">
        <f t="shared" si="65"/>
        <v>0</v>
      </c>
      <c r="AJ68" s="20">
        <f t="shared" si="65"/>
        <v>0</v>
      </c>
      <c r="AK68" s="20">
        <f t="shared" si="65"/>
        <v>0</v>
      </c>
      <c r="AL68" s="20">
        <f t="shared" si="65"/>
        <v>0</v>
      </c>
      <c r="AM68" s="20">
        <f t="shared" si="65"/>
        <v>0</v>
      </c>
      <c r="AN68" s="20">
        <f t="shared" si="65"/>
        <v>0</v>
      </c>
      <c r="AO68" s="20">
        <f t="shared" si="65"/>
        <v>0</v>
      </c>
      <c r="AP68" s="20">
        <f t="shared" si="65"/>
        <v>0</v>
      </c>
      <c r="AQ68" s="20">
        <f t="shared" si="65"/>
        <v>0</v>
      </c>
      <c r="AR68" s="20">
        <f t="shared" si="65"/>
        <v>0</v>
      </c>
      <c r="AS68" s="20">
        <f t="shared" si="65"/>
        <v>0</v>
      </c>
      <c r="AT68" s="20">
        <f t="shared" si="65"/>
        <v>0</v>
      </c>
      <c r="AU68" s="20">
        <f t="shared" si="65"/>
        <v>0</v>
      </c>
      <c r="AV68" s="20">
        <f t="shared" si="65"/>
        <v>0</v>
      </c>
      <c r="AW68" s="20">
        <f t="shared" si="65"/>
        <v>0</v>
      </c>
      <c r="AX68" s="20">
        <f t="shared" si="65"/>
        <v>0</v>
      </c>
      <c r="AY68" s="20">
        <f t="shared" si="65"/>
        <v>0</v>
      </c>
      <c r="AZ68" s="20">
        <f t="shared" si="65"/>
        <v>0</v>
      </c>
      <c r="BA68" s="20">
        <f t="shared" si="65"/>
        <v>0</v>
      </c>
      <c r="BB68" s="20">
        <f t="shared" si="65"/>
        <v>0</v>
      </c>
      <c r="BC68" s="20">
        <f t="shared" si="65"/>
        <v>0</v>
      </c>
      <c r="BD68" s="20">
        <f t="shared" si="65"/>
        <v>0</v>
      </c>
      <c r="BE68" s="20">
        <f t="shared" si="65"/>
        <v>0</v>
      </c>
      <c r="BF68" s="20">
        <f t="shared" si="65"/>
        <v>0</v>
      </c>
      <c r="BG68" s="20">
        <f t="shared" si="65"/>
        <v>0</v>
      </c>
      <c r="BH68" s="20">
        <f t="shared" si="65"/>
        <v>0</v>
      </c>
      <c r="BI68" s="20">
        <f t="shared" si="65"/>
        <v>0</v>
      </c>
      <c r="BJ68" s="20">
        <f t="shared" si="65"/>
        <v>0</v>
      </c>
      <c r="BK68" s="20">
        <f t="shared" si="65"/>
        <v>0</v>
      </c>
      <c r="BL68" s="20">
        <f t="shared" si="65"/>
        <v>0</v>
      </c>
      <c r="BM68" s="20">
        <f t="shared" si="65"/>
        <v>0</v>
      </c>
      <c r="BN68" s="20">
        <f t="shared" si="65"/>
        <v>0</v>
      </c>
      <c r="BO68" s="20">
        <f t="shared" si="65"/>
        <v>0</v>
      </c>
      <c r="BP68" s="20">
        <f t="shared" si="65"/>
        <v>0</v>
      </c>
      <c r="BQ68" s="20">
        <f t="shared" si="65"/>
        <v>0</v>
      </c>
      <c r="BR68" s="20">
        <f t="shared" si="65"/>
        <v>0</v>
      </c>
      <c r="BS68" s="20">
        <f t="shared" ref="BS68:DU68" si="66">SUM(BS69:BS70)</f>
        <v>0</v>
      </c>
      <c r="BT68" s="20">
        <f t="shared" si="66"/>
        <v>0</v>
      </c>
      <c r="BU68" s="20">
        <f t="shared" si="66"/>
        <v>0</v>
      </c>
      <c r="BV68" s="20">
        <f t="shared" si="66"/>
        <v>0</v>
      </c>
      <c r="BW68" s="20">
        <f t="shared" si="66"/>
        <v>0</v>
      </c>
      <c r="BX68" s="20">
        <f t="shared" si="66"/>
        <v>0</v>
      </c>
      <c r="BY68" s="20">
        <f t="shared" si="66"/>
        <v>0</v>
      </c>
      <c r="BZ68" s="20">
        <f t="shared" si="66"/>
        <v>0</v>
      </c>
      <c r="CA68" s="20">
        <f t="shared" si="66"/>
        <v>0</v>
      </c>
      <c r="CB68" s="20">
        <f t="shared" si="66"/>
        <v>0</v>
      </c>
      <c r="CC68" s="20">
        <f t="shared" si="66"/>
        <v>0</v>
      </c>
      <c r="CD68" s="20">
        <f t="shared" si="66"/>
        <v>0</v>
      </c>
      <c r="CE68" s="20">
        <f t="shared" si="66"/>
        <v>0</v>
      </c>
      <c r="CF68" s="20">
        <f t="shared" si="66"/>
        <v>0</v>
      </c>
      <c r="CG68" s="20">
        <f t="shared" si="66"/>
        <v>0</v>
      </c>
      <c r="CH68" s="20">
        <f t="shared" si="66"/>
        <v>0</v>
      </c>
      <c r="CI68" s="20">
        <f t="shared" si="66"/>
        <v>0</v>
      </c>
      <c r="CJ68" s="20">
        <f t="shared" si="66"/>
        <v>0</v>
      </c>
      <c r="CK68" s="20">
        <f t="shared" si="66"/>
        <v>0</v>
      </c>
      <c r="CL68" s="20">
        <f t="shared" si="66"/>
        <v>0</v>
      </c>
      <c r="CM68" s="20">
        <f t="shared" si="66"/>
        <v>0</v>
      </c>
      <c r="CN68" s="20">
        <f t="shared" si="66"/>
        <v>0</v>
      </c>
      <c r="CO68" s="20">
        <f t="shared" si="66"/>
        <v>0</v>
      </c>
      <c r="CP68" s="20">
        <f t="shared" si="66"/>
        <v>0</v>
      </c>
      <c r="CQ68" s="20">
        <f t="shared" si="66"/>
        <v>0</v>
      </c>
      <c r="CR68" s="20">
        <f t="shared" si="66"/>
        <v>0</v>
      </c>
      <c r="CS68" s="20">
        <f t="shared" si="66"/>
        <v>0</v>
      </c>
      <c r="CT68" s="20">
        <f t="shared" si="66"/>
        <v>0</v>
      </c>
      <c r="CU68" s="20">
        <f t="shared" si="66"/>
        <v>0</v>
      </c>
      <c r="CV68" s="20">
        <f t="shared" si="66"/>
        <v>0</v>
      </c>
      <c r="CW68" s="20">
        <f t="shared" si="66"/>
        <v>0</v>
      </c>
      <c r="CX68" s="20">
        <f t="shared" si="66"/>
        <v>0</v>
      </c>
      <c r="CY68" s="20">
        <f t="shared" si="66"/>
        <v>0</v>
      </c>
      <c r="CZ68" s="20">
        <f t="shared" si="66"/>
        <v>0</v>
      </c>
      <c r="DA68" s="20">
        <f t="shared" si="66"/>
        <v>0</v>
      </c>
      <c r="DB68" s="20">
        <f t="shared" si="66"/>
        <v>0</v>
      </c>
      <c r="DC68" s="20">
        <f t="shared" si="66"/>
        <v>0</v>
      </c>
      <c r="DD68" s="20">
        <f t="shared" si="66"/>
        <v>0</v>
      </c>
      <c r="DE68" s="20">
        <f t="shared" si="66"/>
        <v>0</v>
      </c>
      <c r="DF68" s="20">
        <f t="shared" si="66"/>
        <v>0</v>
      </c>
      <c r="DG68" s="20">
        <f t="shared" si="66"/>
        <v>0</v>
      </c>
      <c r="DH68" s="20">
        <f t="shared" si="66"/>
        <v>0</v>
      </c>
      <c r="DI68" s="20">
        <f t="shared" si="66"/>
        <v>0</v>
      </c>
      <c r="DJ68" s="20">
        <f t="shared" si="66"/>
        <v>0</v>
      </c>
      <c r="DK68" s="20">
        <f t="shared" si="66"/>
        <v>0</v>
      </c>
      <c r="DL68" s="20">
        <f t="shared" si="66"/>
        <v>0</v>
      </c>
      <c r="DM68" s="20">
        <f t="shared" si="66"/>
        <v>0</v>
      </c>
      <c r="DN68" s="20">
        <f t="shared" si="66"/>
        <v>0</v>
      </c>
      <c r="DO68" s="20">
        <f t="shared" si="66"/>
        <v>0</v>
      </c>
      <c r="DP68" s="20">
        <f t="shared" si="66"/>
        <v>0</v>
      </c>
      <c r="DQ68" s="20">
        <f t="shared" si="66"/>
        <v>0</v>
      </c>
      <c r="DR68" s="20">
        <f t="shared" si="66"/>
        <v>0</v>
      </c>
      <c r="DS68" s="20">
        <f t="shared" si="66"/>
        <v>0</v>
      </c>
      <c r="DT68" s="20">
        <f t="shared" si="66"/>
        <v>0</v>
      </c>
      <c r="DU68" s="95">
        <f t="shared" si="66"/>
        <v>0</v>
      </c>
    </row>
    <row r="69" spans="1:125" s="9" customFormat="1" x14ac:dyDescent="0.4">
      <c r="B69" s="32"/>
      <c r="C69" s="55" t="s">
        <v>60</v>
      </c>
      <c r="D69" s="58">
        <f>Assumptions!E6*Assumptions!E7*Assumptions!E23</f>
        <v>0</v>
      </c>
      <c r="E69" s="58">
        <f>D69+-E7*Assumptions!$E$23+E29</f>
        <v>0</v>
      </c>
      <c r="F69" s="58">
        <f>E69+-F7*Assumptions!$E$23+F29</f>
        <v>0</v>
      </c>
      <c r="G69" s="58">
        <f>F69+-G7*Assumptions!$E$23+G29</f>
        <v>0</v>
      </c>
      <c r="H69" s="58">
        <f>G69+-H7*Assumptions!$E$23+H29</f>
        <v>0</v>
      </c>
      <c r="I69" s="58">
        <f>H69+-I7*Assumptions!$E$23+I29</f>
        <v>0</v>
      </c>
      <c r="J69" s="58">
        <f>I69+-J7*Assumptions!$E$23+J29</f>
        <v>0</v>
      </c>
      <c r="K69" s="58">
        <f>J69+-K7*Assumptions!$E$23+K29</f>
        <v>0</v>
      </c>
      <c r="L69" s="58">
        <f>K69+-L7*Assumptions!$E$23+L29</f>
        <v>0</v>
      </c>
      <c r="M69" s="58">
        <f>L69+-M7*Assumptions!$E$23+M29</f>
        <v>0</v>
      </c>
      <c r="N69" s="58">
        <f>M69+-N7*Assumptions!$E$23+N29</f>
        <v>0</v>
      </c>
      <c r="O69" s="58">
        <f>N69+-O7*Assumptions!$E$23+O29</f>
        <v>0</v>
      </c>
      <c r="P69" s="58">
        <f>O69+-P7*Assumptions!$E$23+P29</f>
        <v>0</v>
      </c>
      <c r="Q69" s="58">
        <f>P69+-Q7*Assumptions!$E$23+Q29</f>
        <v>0</v>
      </c>
      <c r="R69" s="58">
        <f>Q69+-R7*Assumptions!$E$23+R29</f>
        <v>0</v>
      </c>
      <c r="S69" s="58">
        <f>R69+-S7*Assumptions!$E$23+S29</f>
        <v>0</v>
      </c>
      <c r="T69" s="58">
        <f>S69+-T7*Assumptions!$E$23+T29</f>
        <v>0</v>
      </c>
      <c r="U69" s="58">
        <f>T69+-U7*Assumptions!$E$23+U29</f>
        <v>0</v>
      </c>
      <c r="V69" s="58">
        <f>U69+-V7*Assumptions!$E$23+V29</f>
        <v>0</v>
      </c>
      <c r="W69" s="58">
        <f>V69+-W7*Assumptions!$E$23+W29</f>
        <v>0</v>
      </c>
      <c r="X69" s="58">
        <f>W69+-X7*Assumptions!$E$23+X29</f>
        <v>0</v>
      </c>
      <c r="Y69" s="58">
        <f>X69+-Y7*Assumptions!$E$23+Y29</f>
        <v>0</v>
      </c>
      <c r="Z69" s="58">
        <f>Y69+-Z7*Assumptions!$E$23+Z29</f>
        <v>0</v>
      </c>
      <c r="AA69" s="58">
        <f>Z69+-AA7*Assumptions!$E$23+AA29</f>
        <v>0</v>
      </c>
      <c r="AB69" s="58">
        <f>AA69+-AB7*Assumptions!$E$23+AB29</f>
        <v>0</v>
      </c>
      <c r="AC69" s="58">
        <f>AB69+-AC7*Assumptions!$E$23+AC29</f>
        <v>0</v>
      </c>
      <c r="AD69" s="58">
        <f>AC69+-AD7*Assumptions!$E$23+AD29</f>
        <v>0</v>
      </c>
      <c r="AE69" s="58">
        <f>AD69+-AE7*Assumptions!$E$23+AE29</f>
        <v>0</v>
      </c>
      <c r="AF69" s="58">
        <f>AE69+-AF7*Assumptions!$E$23+AF29</f>
        <v>0</v>
      </c>
      <c r="AG69" s="58">
        <f>AF69+-AG7*Assumptions!$E$23+AG29</f>
        <v>0</v>
      </c>
      <c r="AH69" s="58">
        <f>AG69+-AH7*Assumptions!$E$23+AH29</f>
        <v>0</v>
      </c>
      <c r="AI69" s="58">
        <f>AH69+-AI7*Assumptions!$E$23+AI29</f>
        <v>0</v>
      </c>
      <c r="AJ69" s="58">
        <f>AI69+-AJ7*Assumptions!$E$23+AJ29</f>
        <v>0</v>
      </c>
      <c r="AK69" s="58">
        <f>AJ69+-AK7*Assumptions!$E$23+AK29</f>
        <v>0</v>
      </c>
      <c r="AL69" s="58">
        <f>AK69+-AL7*Assumptions!$E$23+AL29</f>
        <v>0</v>
      </c>
      <c r="AM69" s="58">
        <f>AL69+-AM7*Assumptions!$E$23+AM29</f>
        <v>0</v>
      </c>
      <c r="AN69" s="58">
        <f>AM69+-AN7*Assumptions!$E$23+AN29</f>
        <v>0</v>
      </c>
      <c r="AO69" s="58">
        <f>AN69+-AO7*Assumptions!$E$23+AO29</f>
        <v>0</v>
      </c>
      <c r="AP69" s="58">
        <f>AO69+-AP7*Assumptions!$E$23+AP29</f>
        <v>0</v>
      </c>
      <c r="AQ69" s="58">
        <f>AP69+-AQ7*Assumptions!$E$23+AQ29</f>
        <v>0</v>
      </c>
      <c r="AR69" s="58">
        <f>AQ69+-AR7*Assumptions!$E$23+AR29</f>
        <v>0</v>
      </c>
      <c r="AS69" s="58">
        <f>AR69+-AS7*Assumptions!$E$23+AS29</f>
        <v>0</v>
      </c>
      <c r="AT69" s="58">
        <f>AS69+-AT7*Assumptions!$E$23+AT29</f>
        <v>0</v>
      </c>
      <c r="AU69" s="58">
        <f>AT69+-AU7*Assumptions!$E$23+AU29</f>
        <v>0</v>
      </c>
      <c r="AV69" s="58">
        <f>AU69+-AV7*Assumptions!$E$23+AV29</f>
        <v>0</v>
      </c>
      <c r="AW69" s="58">
        <f>AV69+-AW7*Assumptions!$E$23+AW29</f>
        <v>0</v>
      </c>
      <c r="AX69" s="58">
        <f>AW69+-AX7*Assumptions!$E$23+AX29</f>
        <v>0</v>
      </c>
      <c r="AY69" s="58">
        <f>AX69+-AY7*Assumptions!$E$23+AY29</f>
        <v>0</v>
      </c>
      <c r="AZ69" s="58">
        <f>AY69+-AZ7*Assumptions!$E$23+AZ29</f>
        <v>0</v>
      </c>
      <c r="BA69" s="58">
        <f>AZ69+-BA7*Assumptions!$E$23+BA29</f>
        <v>0</v>
      </c>
      <c r="BB69" s="58">
        <f>BA69+-BB7*Assumptions!$E$23+BB29</f>
        <v>0</v>
      </c>
      <c r="BC69" s="58">
        <f>BB69+-BC7*Assumptions!$E$23+BC29</f>
        <v>0</v>
      </c>
      <c r="BD69" s="58">
        <f>BC69+-BD7*Assumptions!$E$23+BD29</f>
        <v>0</v>
      </c>
      <c r="BE69" s="58">
        <f>BD69+-BE7*Assumptions!$E$23+BE29</f>
        <v>0</v>
      </c>
      <c r="BF69" s="58">
        <f>BE69+-BF7*Assumptions!$E$23+BF29</f>
        <v>0</v>
      </c>
      <c r="BG69" s="58">
        <f>BF69+-BG7*Assumptions!$E$23+BG29</f>
        <v>0</v>
      </c>
      <c r="BH69" s="58">
        <f>BG69+-BH7*Assumptions!$E$23+BH29</f>
        <v>0</v>
      </c>
      <c r="BI69" s="58">
        <f>BH69+-BI7*Assumptions!$E$23+BI29</f>
        <v>0</v>
      </c>
      <c r="BJ69" s="58">
        <f>BI69+-BJ7*Assumptions!$E$23+BJ29</f>
        <v>0</v>
      </c>
      <c r="BK69" s="58">
        <f>BJ69+-BK7*Assumptions!$E$23+BK29</f>
        <v>0</v>
      </c>
      <c r="BL69" s="58">
        <f>BK69+-BL7*Assumptions!$E$23+BL29</f>
        <v>0</v>
      </c>
      <c r="BM69" s="58">
        <f>BL69+-BM7*Assumptions!$E$23+BM29</f>
        <v>0</v>
      </c>
      <c r="BN69" s="58">
        <f>BM69+-BN7*Assumptions!$E$23+BN29</f>
        <v>0</v>
      </c>
      <c r="BO69" s="58">
        <f>BN69+-BO7*Assumptions!$E$23+BO29</f>
        <v>0</v>
      </c>
      <c r="BP69" s="58">
        <f>BO69+-BP7*Assumptions!$E$23+BP29</f>
        <v>0</v>
      </c>
      <c r="BQ69" s="58">
        <f>BP69+-BQ7*Assumptions!$E$23+BQ29</f>
        <v>0</v>
      </c>
      <c r="BR69" s="58">
        <f>BQ69+-BR7*Assumptions!$E$23+BR29</f>
        <v>0</v>
      </c>
      <c r="BS69" s="58">
        <f>BR69+-BS7*Assumptions!$E$23+BS29</f>
        <v>0</v>
      </c>
      <c r="BT69" s="58">
        <f>BS69+-BT7*Assumptions!$E$23+BT29</f>
        <v>0</v>
      </c>
      <c r="BU69" s="58">
        <f>BT69+-BU7*Assumptions!$E$23+BU29</f>
        <v>0</v>
      </c>
      <c r="BV69" s="58">
        <f>BU69+-BV7*Assumptions!$E$23+BV29</f>
        <v>0</v>
      </c>
      <c r="BW69" s="58">
        <f>BV69+-BW7*Assumptions!$E$23+BW29</f>
        <v>0</v>
      </c>
      <c r="BX69" s="58">
        <f>BW69+-BX7*Assumptions!$E$23+BX29</f>
        <v>0</v>
      </c>
      <c r="BY69" s="58">
        <f>BX69+-BY7*Assumptions!$E$23+BY29</f>
        <v>0</v>
      </c>
      <c r="BZ69" s="58">
        <f>BY69+-BZ7*Assumptions!$E$23+BZ29</f>
        <v>0</v>
      </c>
      <c r="CA69" s="58">
        <f>BZ69+-CA7*Assumptions!$E$23+CA29</f>
        <v>0</v>
      </c>
      <c r="CB69" s="58">
        <f>CA69+-CB7*Assumptions!$E$23+CB29</f>
        <v>0</v>
      </c>
      <c r="CC69" s="58">
        <f>CB69+-CC7*Assumptions!$E$23+CC29</f>
        <v>0</v>
      </c>
      <c r="CD69" s="58">
        <f>CC69+-CD7*Assumptions!$E$23+CD29</f>
        <v>0</v>
      </c>
      <c r="CE69" s="58">
        <f>CD69+-CE7*Assumptions!$E$23+CE29</f>
        <v>0</v>
      </c>
      <c r="CF69" s="58">
        <f>CE69+-CF7*Assumptions!$E$23+CF29</f>
        <v>0</v>
      </c>
      <c r="CG69" s="58">
        <f>CF69+-CG7*Assumptions!$E$23+CG29</f>
        <v>0</v>
      </c>
      <c r="CH69" s="58">
        <f>CG69+-CH7*Assumptions!$E$23+CH29</f>
        <v>0</v>
      </c>
      <c r="CI69" s="58">
        <f>CH69+-CI7*Assumptions!$E$23+CI29</f>
        <v>0</v>
      </c>
      <c r="CJ69" s="58">
        <f>CI69+-CJ7*Assumptions!$E$23+CJ29</f>
        <v>0</v>
      </c>
      <c r="CK69" s="58">
        <f>CJ69+-CK7*Assumptions!$E$23+CK29</f>
        <v>0</v>
      </c>
      <c r="CL69" s="58">
        <f>CK69+-CL7*Assumptions!$E$23+CL29</f>
        <v>0</v>
      </c>
      <c r="CM69" s="58">
        <f>CL69+-CM7*Assumptions!$E$23+CM29</f>
        <v>0</v>
      </c>
      <c r="CN69" s="58">
        <f>CM69+-CN7*Assumptions!$E$23+CN29</f>
        <v>0</v>
      </c>
      <c r="CO69" s="58">
        <f>CN69+-CO7*Assumptions!$E$23+CO29</f>
        <v>0</v>
      </c>
      <c r="CP69" s="58">
        <f>CO69+-CP7*Assumptions!$E$23+CP29</f>
        <v>0</v>
      </c>
      <c r="CQ69" s="58">
        <f>CP69+-CQ7*Assumptions!$E$23+CQ29</f>
        <v>0</v>
      </c>
      <c r="CR69" s="58">
        <f>CQ69+-CR7*Assumptions!$E$23+CR29</f>
        <v>0</v>
      </c>
      <c r="CS69" s="58">
        <f>CR69+-CS7*Assumptions!$E$23+CS29</f>
        <v>0</v>
      </c>
      <c r="CT69" s="58">
        <f>CS69+-CT7*Assumptions!$E$23+CT29</f>
        <v>0</v>
      </c>
      <c r="CU69" s="58">
        <f>CT69+-CU7*Assumptions!$E$23+CU29</f>
        <v>0</v>
      </c>
      <c r="CV69" s="58">
        <f>CU69+-CV7*Assumptions!$E$23+CV29</f>
        <v>0</v>
      </c>
      <c r="CW69" s="58">
        <f>CV69+-CW7*Assumptions!$E$23+CW29</f>
        <v>0</v>
      </c>
      <c r="CX69" s="58">
        <f>CW69+-CX7*Assumptions!$E$23+CX29</f>
        <v>0</v>
      </c>
      <c r="CY69" s="58">
        <f>CX69+-CY7*Assumptions!$E$23+CY29</f>
        <v>0</v>
      </c>
      <c r="CZ69" s="58">
        <f>CY69+-CZ7*Assumptions!$E$23+CZ29</f>
        <v>0</v>
      </c>
      <c r="DA69" s="58">
        <f>CZ69+-DA7*Assumptions!$E$23+DA29</f>
        <v>0</v>
      </c>
      <c r="DB69" s="58">
        <f>DA69+-DB7*Assumptions!$E$23+DB29</f>
        <v>0</v>
      </c>
      <c r="DC69" s="58">
        <f>DB69+-DC7*Assumptions!$E$23+DC29</f>
        <v>0</v>
      </c>
      <c r="DD69" s="58">
        <f>DC69+-DD7*Assumptions!$E$23+DD29</f>
        <v>0</v>
      </c>
      <c r="DE69" s="58">
        <f>DD69+-DE7*Assumptions!$E$23+DE29</f>
        <v>0</v>
      </c>
      <c r="DF69" s="58">
        <f>DE69+-DF7*Assumptions!$E$23+DF29</f>
        <v>0</v>
      </c>
      <c r="DG69" s="58">
        <f>DF69+-DG7*Assumptions!$E$23+DG29</f>
        <v>0</v>
      </c>
      <c r="DH69" s="58">
        <f>DG69+-DH7*Assumptions!$E$23+DH29</f>
        <v>0</v>
      </c>
      <c r="DI69" s="58">
        <f>DH69+-DI7*Assumptions!$E$23+DI29</f>
        <v>0</v>
      </c>
      <c r="DJ69" s="58">
        <f>DI69+-DJ7*Assumptions!$E$23+DJ29</f>
        <v>0</v>
      </c>
      <c r="DK69" s="58">
        <f>DJ69+-DK7*Assumptions!$E$23+DK29</f>
        <v>0</v>
      </c>
      <c r="DL69" s="58">
        <f>DK69+-DL7*Assumptions!$E$23+DL29</f>
        <v>0</v>
      </c>
      <c r="DM69" s="58">
        <f>DL69+-DM7*Assumptions!$E$23+DM29</f>
        <v>0</v>
      </c>
      <c r="DN69" s="58">
        <f>DM69+-DN7*Assumptions!$E$23+DN29</f>
        <v>0</v>
      </c>
      <c r="DO69" s="58">
        <f>DN69+-DO7*Assumptions!$E$23+DO29</f>
        <v>0</v>
      </c>
      <c r="DP69" s="58">
        <f>DO69+-DP7*Assumptions!$E$23+DP29</f>
        <v>0</v>
      </c>
      <c r="DQ69" s="58">
        <f>DP69+-DQ7*Assumptions!$E$23+DQ29</f>
        <v>0</v>
      </c>
      <c r="DR69" s="58">
        <f>DQ69+-DR7*Assumptions!$E$23+DR29</f>
        <v>0</v>
      </c>
      <c r="DS69" s="58">
        <f>DR69+-DS7*Assumptions!$E$23+DS29</f>
        <v>0</v>
      </c>
      <c r="DT69" s="58">
        <f>DS69+-DT7*Assumptions!$E$23+DT29</f>
        <v>0</v>
      </c>
      <c r="DU69" s="154">
        <f>DT69+-DU7*Assumptions!$E$23+DU29</f>
        <v>0</v>
      </c>
    </row>
    <row r="70" spans="1:125" s="9" customFormat="1" ht="13.5" thickBot="1" x14ac:dyDescent="0.45">
      <c r="B70" s="33"/>
      <c r="C70" s="96" t="s">
        <v>61</v>
      </c>
      <c r="D70" s="97">
        <f>Assumptions!F6*Assumptions!F7*Assumptions!F23</f>
        <v>0</v>
      </c>
      <c r="E70" s="97">
        <f>D70+-E8*Assumptions!$F$23+E30</f>
        <v>0</v>
      </c>
      <c r="F70" s="97">
        <f>E70+-F8*Assumptions!$F$23+F30</f>
        <v>0</v>
      </c>
      <c r="G70" s="97">
        <f>F70+-G8*Assumptions!$F$23+G30</f>
        <v>0</v>
      </c>
      <c r="H70" s="97">
        <f>G70+-H8*Assumptions!$F$23+H30</f>
        <v>0</v>
      </c>
      <c r="I70" s="97">
        <f>H70+-I8*Assumptions!$F$23+I30</f>
        <v>0</v>
      </c>
      <c r="J70" s="97">
        <f>I70+-J8*Assumptions!$F$23+J30</f>
        <v>0</v>
      </c>
      <c r="K70" s="97">
        <f>J70+-K8*Assumptions!$F$23+K30</f>
        <v>0</v>
      </c>
      <c r="L70" s="97">
        <f>K70+-L8*Assumptions!$F$23+L30</f>
        <v>0</v>
      </c>
      <c r="M70" s="97">
        <f>L70+-M8*Assumptions!$F$23+M30</f>
        <v>0</v>
      </c>
      <c r="N70" s="97">
        <f>M70+-N8*Assumptions!$F$23+N30</f>
        <v>0</v>
      </c>
      <c r="O70" s="97">
        <f>N70+-O8*Assumptions!$F$23+O30</f>
        <v>0</v>
      </c>
      <c r="P70" s="97">
        <f>O70+-P8*Assumptions!$F$23+P30</f>
        <v>0</v>
      </c>
      <c r="Q70" s="97">
        <f>P70+-Q8*Assumptions!$F$23+Q30</f>
        <v>0</v>
      </c>
      <c r="R70" s="97">
        <f>Q70+-R8*Assumptions!$F$23+R30</f>
        <v>0</v>
      </c>
      <c r="S70" s="97">
        <f>R70+-S8*Assumptions!$F$23+S30</f>
        <v>0</v>
      </c>
      <c r="T70" s="97">
        <f>S70+-T8*Assumptions!$F$23+T30</f>
        <v>0</v>
      </c>
      <c r="U70" s="97">
        <f>T70+-U8*Assumptions!$F$23+U30</f>
        <v>0</v>
      </c>
      <c r="V70" s="97">
        <f>U70+-V8*Assumptions!$F$23+V30</f>
        <v>0</v>
      </c>
      <c r="W70" s="97">
        <f>V70+-W8*Assumptions!$F$23+W30</f>
        <v>0</v>
      </c>
      <c r="X70" s="97">
        <f>W70+-X8*Assumptions!$F$23+X30</f>
        <v>0</v>
      </c>
      <c r="Y70" s="97">
        <f>X70+-Y8*Assumptions!$F$23+Y30</f>
        <v>0</v>
      </c>
      <c r="Z70" s="97">
        <f>Y70+-Z8*Assumptions!$F$23+Z30</f>
        <v>0</v>
      </c>
      <c r="AA70" s="97">
        <f>Z70+-AA8*Assumptions!$F$23+AA30</f>
        <v>0</v>
      </c>
      <c r="AB70" s="97">
        <f>AA70+-AB8*Assumptions!$F$23+AB30</f>
        <v>0</v>
      </c>
      <c r="AC70" s="97">
        <f>AB70+-AC8*Assumptions!$F$23+AC30</f>
        <v>0</v>
      </c>
      <c r="AD70" s="97">
        <f>AC70+-AD8*Assumptions!$F$23+AD30</f>
        <v>0</v>
      </c>
      <c r="AE70" s="97">
        <f>AD70+-AE8*Assumptions!$F$23+AE30</f>
        <v>0</v>
      </c>
      <c r="AF70" s="97">
        <f>AE70+-AF8*Assumptions!$F$23+AF30</f>
        <v>0</v>
      </c>
      <c r="AG70" s="97">
        <f>AF70+-AG8*Assumptions!$F$23+AG30</f>
        <v>0</v>
      </c>
      <c r="AH70" s="97">
        <f>AG70+-AH8*Assumptions!$F$23+AH30</f>
        <v>0</v>
      </c>
      <c r="AI70" s="97">
        <f>AH70+-AI8*Assumptions!$F$23+AI30</f>
        <v>0</v>
      </c>
      <c r="AJ70" s="97">
        <f>AI70+-AJ8*Assumptions!$F$23+AJ30</f>
        <v>0</v>
      </c>
      <c r="AK70" s="97">
        <f>AJ70+-AK8*Assumptions!$F$23+AK30</f>
        <v>0</v>
      </c>
      <c r="AL70" s="97">
        <f>AK70+-AL8*Assumptions!$F$23+AL30</f>
        <v>0</v>
      </c>
      <c r="AM70" s="97">
        <f>AL70+-AM8*Assumptions!$F$23+AM30</f>
        <v>0</v>
      </c>
      <c r="AN70" s="97">
        <f>AM70+-AN8*Assumptions!$F$23+AN30</f>
        <v>0</v>
      </c>
      <c r="AO70" s="97">
        <f>AN70+-AO8*Assumptions!$F$23+AO30</f>
        <v>0</v>
      </c>
      <c r="AP70" s="97">
        <f>AO70+-AP8*Assumptions!$F$23+AP30</f>
        <v>0</v>
      </c>
      <c r="AQ70" s="97">
        <f>AP70+-AQ8*Assumptions!$F$23+AQ30</f>
        <v>0</v>
      </c>
      <c r="AR70" s="97">
        <f>AQ70+-AR8*Assumptions!$F$23+AR30</f>
        <v>0</v>
      </c>
      <c r="AS70" s="97">
        <f>AR70+-AS8*Assumptions!$F$23+AS30</f>
        <v>0</v>
      </c>
      <c r="AT70" s="97">
        <f>AS70+-AT8*Assumptions!$F$23+AT30</f>
        <v>0</v>
      </c>
      <c r="AU70" s="97">
        <f>AT70+-AU8*Assumptions!$F$23+AU30</f>
        <v>0</v>
      </c>
      <c r="AV70" s="97">
        <f>AU70+-AV8*Assumptions!$F$23+AV30</f>
        <v>0</v>
      </c>
      <c r="AW70" s="97">
        <f>AV70+-AW8*Assumptions!$F$23+AW30</f>
        <v>0</v>
      </c>
      <c r="AX70" s="97">
        <f>AW70+-AX8*Assumptions!$F$23+AX30</f>
        <v>0</v>
      </c>
      <c r="AY70" s="97">
        <f>AX70+-AY8*Assumptions!$F$23+AY30</f>
        <v>0</v>
      </c>
      <c r="AZ70" s="97">
        <f>AY70+-AZ8*Assumptions!$F$23+AZ30</f>
        <v>0</v>
      </c>
      <c r="BA70" s="97">
        <f>AZ70+-BA8*Assumptions!$F$23+BA30</f>
        <v>0</v>
      </c>
      <c r="BB70" s="97">
        <f>BA70+-BB8*Assumptions!$F$23+BB30</f>
        <v>0</v>
      </c>
      <c r="BC70" s="97">
        <f>BB70+-BC8*Assumptions!$F$23+BC30</f>
        <v>0</v>
      </c>
      <c r="BD70" s="97">
        <f>BC70+-BD8*Assumptions!$F$23+BD30</f>
        <v>0</v>
      </c>
      <c r="BE70" s="97">
        <f>BD70+-BE8*Assumptions!$F$23+BE30</f>
        <v>0</v>
      </c>
      <c r="BF70" s="97">
        <f>BE70+-BF8*Assumptions!$F$23+BF30</f>
        <v>0</v>
      </c>
      <c r="BG70" s="97">
        <f>BF70+-BG8*Assumptions!$F$23+BG30</f>
        <v>0</v>
      </c>
      <c r="BH70" s="97">
        <f>BG70+-BH8*Assumptions!$F$23+BH30</f>
        <v>0</v>
      </c>
      <c r="BI70" s="97">
        <f>BH70+-BI8*Assumptions!$F$23+BI30</f>
        <v>0</v>
      </c>
      <c r="BJ70" s="97">
        <f>BI70+-BJ8*Assumptions!$F$23+BJ30</f>
        <v>0</v>
      </c>
      <c r="BK70" s="97">
        <f>BJ70+-BK8*Assumptions!$F$23+BK30</f>
        <v>0</v>
      </c>
      <c r="BL70" s="97">
        <f>BK70+-BL8*Assumptions!$F$23+BL30</f>
        <v>0</v>
      </c>
      <c r="BM70" s="97">
        <f>BL70+-BM8*Assumptions!$F$23+BM30</f>
        <v>0</v>
      </c>
      <c r="BN70" s="97">
        <f>BM70+-BN8*Assumptions!$F$23+BN30</f>
        <v>0</v>
      </c>
      <c r="BO70" s="97">
        <f>BN70+-BO8*Assumptions!$F$23+BO30</f>
        <v>0</v>
      </c>
      <c r="BP70" s="97">
        <f>BO70+-BP8*Assumptions!$F$23+BP30</f>
        <v>0</v>
      </c>
      <c r="BQ70" s="97">
        <f>BP70+-BQ8*Assumptions!$F$23+BQ30</f>
        <v>0</v>
      </c>
      <c r="BR70" s="97">
        <f>BQ70+-BR8*Assumptions!$F$23+BR30</f>
        <v>0</v>
      </c>
      <c r="BS70" s="97">
        <f>BR70+-BS8*Assumptions!$F$23+BS30</f>
        <v>0</v>
      </c>
      <c r="BT70" s="97">
        <f>BS70+-BT8*Assumptions!$F$23+BT30</f>
        <v>0</v>
      </c>
      <c r="BU70" s="97">
        <f>BT70+-BU8*Assumptions!$F$23+BU30</f>
        <v>0</v>
      </c>
      <c r="BV70" s="97">
        <f>BU70+-BV8*Assumptions!$F$23+BV30</f>
        <v>0</v>
      </c>
      <c r="BW70" s="97">
        <f>BV70+-BW8*Assumptions!$F$23+BW30</f>
        <v>0</v>
      </c>
      <c r="BX70" s="97">
        <f>BW70+-BX8*Assumptions!$F$23+BX30</f>
        <v>0</v>
      </c>
      <c r="BY70" s="97">
        <f>BX70+-BY8*Assumptions!$F$23+BY30</f>
        <v>0</v>
      </c>
      <c r="BZ70" s="97">
        <f>BY70+-BZ8*Assumptions!$F$23+BZ30</f>
        <v>0</v>
      </c>
      <c r="CA70" s="97">
        <f>BZ70+-CA8*Assumptions!$F$23+CA30</f>
        <v>0</v>
      </c>
      <c r="CB70" s="97">
        <f>CA70+-CB8*Assumptions!$F$23+CB30</f>
        <v>0</v>
      </c>
      <c r="CC70" s="97">
        <f>CB70+-CC8*Assumptions!$F$23+CC30</f>
        <v>0</v>
      </c>
      <c r="CD70" s="97">
        <f>CC70+-CD8*Assumptions!$F$23+CD30</f>
        <v>0</v>
      </c>
      <c r="CE70" s="97">
        <f>CD70+-CE8*Assumptions!$F$23+CE30</f>
        <v>0</v>
      </c>
      <c r="CF70" s="97">
        <f>CE70+-CF8*Assumptions!$F$23+CF30</f>
        <v>0</v>
      </c>
      <c r="CG70" s="97">
        <f>CF70+-CG8*Assumptions!$F$23+CG30</f>
        <v>0</v>
      </c>
      <c r="CH70" s="97">
        <f>CG70+-CH8*Assumptions!$F$23+CH30</f>
        <v>0</v>
      </c>
      <c r="CI70" s="97">
        <f>CH70+-CI8*Assumptions!$F$23+CI30</f>
        <v>0</v>
      </c>
      <c r="CJ70" s="97">
        <f>CI70+-CJ8*Assumptions!$F$23+CJ30</f>
        <v>0</v>
      </c>
      <c r="CK70" s="97">
        <f>CJ70+-CK8*Assumptions!$F$23+CK30</f>
        <v>0</v>
      </c>
      <c r="CL70" s="97">
        <f>CK70+-CL8*Assumptions!$F$23+CL30</f>
        <v>0</v>
      </c>
      <c r="CM70" s="97">
        <f>CL70+-CM8*Assumptions!$F$23+CM30</f>
        <v>0</v>
      </c>
      <c r="CN70" s="97">
        <f>CM70+-CN8*Assumptions!$F$23+CN30</f>
        <v>0</v>
      </c>
      <c r="CO70" s="97">
        <f>CN70+-CO8*Assumptions!$F$23+CO30</f>
        <v>0</v>
      </c>
      <c r="CP70" s="97">
        <f>CO70+-CP8*Assumptions!$F$23+CP30</f>
        <v>0</v>
      </c>
      <c r="CQ70" s="97">
        <f>CP70+-CQ8*Assumptions!$F$23+CQ30</f>
        <v>0</v>
      </c>
      <c r="CR70" s="97">
        <f>CQ70+-CR8*Assumptions!$F$23+CR30</f>
        <v>0</v>
      </c>
      <c r="CS70" s="97">
        <f>CR70+-CS8*Assumptions!$F$23+CS30</f>
        <v>0</v>
      </c>
      <c r="CT70" s="97">
        <f>CS70+-CT8*Assumptions!$F$23+CT30</f>
        <v>0</v>
      </c>
      <c r="CU70" s="97">
        <f>CT70+-CU8*Assumptions!$F$23+CU30</f>
        <v>0</v>
      </c>
      <c r="CV70" s="97">
        <f>CU70+-CV8*Assumptions!$F$23+CV30</f>
        <v>0</v>
      </c>
      <c r="CW70" s="97">
        <f>CV70+-CW8*Assumptions!$F$23+CW30</f>
        <v>0</v>
      </c>
      <c r="CX70" s="97">
        <f>CW70+-CX8*Assumptions!$F$23+CX30</f>
        <v>0</v>
      </c>
      <c r="CY70" s="97">
        <f>CX70+-CY8*Assumptions!$F$23+CY30</f>
        <v>0</v>
      </c>
      <c r="CZ70" s="97">
        <f>CY70+-CZ8*Assumptions!$F$23+CZ30</f>
        <v>0</v>
      </c>
      <c r="DA70" s="97">
        <f>CZ70+-DA8*Assumptions!$F$23+DA30</f>
        <v>0</v>
      </c>
      <c r="DB70" s="97">
        <f>DA70+-DB8*Assumptions!$F$23+DB30</f>
        <v>0</v>
      </c>
      <c r="DC70" s="97">
        <f>DB70+-DC8*Assumptions!$F$23+DC30</f>
        <v>0</v>
      </c>
      <c r="DD70" s="97">
        <f>DC70+-DD8*Assumptions!$F$23+DD30</f>
        <v>0</v>
      </c>
      <c r="DE70" s="97">
        <f>DD70+-DE8*Assumptions!$F$23+DE30</f>
        <v>0</v>
      </c>
      <c r="DF70" s="97">
        <f>DE70+-DF8*Assumptions!$F$23+DF30</f>
        <v>0</v>
      </c>
      <c r="DG70" s="97">
        <f>DF70+-DG8*Assumptions!$F$23+DG30</f>
        <v>0</v>
      </c>
      <c r="DH70" s="97">
        <f>DG70+-DH8*Assumptions!$F$23+DH30</f>
        <v>0</v>
      </c>
      <c r="DI70" s="97">
        <f>DH70+-DI8*Assumptions!$F$23+DI30</f>
        <v>0</v>
      </c>
      <c r="DJ70" s="97">
        <f>DI70+-DJ8*Assumptions!$F$23+DJ30</f>
        <v>0</v>
      </c>
      <c r="DK70" s="97">
        <f>DJ70+-DK8*Assumptions!$F$23+DK30</f>
        <v>0</v>
      </c>
      <c r="DL70" s="97">
        <f>DK70+-DL8*Assumptions!$F$23+DL30</f>
        <v>0</v>
      </c>
      <c r="DM70" s="97">
        <f>DL70+-DM8*Assumptions!$F$23+DM30</f>
        <v>0</v>
      </c>
      <c r="DN70" s="97">
        <f>DM70+-DN8*Assumptions!$F$23+DN30</f>
        <v>0</v>
      </c>
      <c r="DO70" s="97">
        <f>DN70+-DO8*Assumptions!$F$23+DO30</f>
        <v>0</v>
      </c>
      <c r="DP70" s="97">
        <f>DO70+-DP8*Assumptions!$F$23+DP30</f>
        <v>0</v>
      </c>
      <c r="DQ70" s="97">
        <f>DP70+-DQ8*Assumptions!$F$23+DQ30</f>
        <v>0</v>
      </c>
      <c r="DR70" s="97">
        <f>DQ70+-DR8*Assumptions!$F$23+DR30</f>
        <v>0</v>
      </c>
      <c r="DS70" s="97">
        <f>DR70+-DS8*Assumptions!$F$23+DS30</f>
        <v>0</v>
      </c>
      <c r="DT70" s="97">
        <f>DS70+-DT8*Assumptions!$F$23+DT30</f>
        <v>0</v>
      </c>
      <c r="DU70" s="155">
        <f>DT70+-DU8*Assumptions!$F$23+DU30</f>
        <v>0</v>
      </c>
    </row>
    <row r="71" spans="1:125" s="9" customFormat="1" x14ac:dyDescent="0.4">
      <c r="C71" s="5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DCDD-1674-0D41-967E-FA5BF6AECE79}">
  <sheetPr>
    <tabColor rgb="FFC4D2F2"/>
  </sheetPr>
  <dimension ref="A1:R56"/>
  <sheetViews>
    <sheetView showGridLines="0" zoomScaleNormal="100" workbookViewId="0"/>
  </sheetViews>
  <sheetFormatPr defaultColWidth="0" defaultRowHeight="13.15" zeroHeight="1" x14ac:dyDescent="0.4"/>
  <cols>
    <col min="1" max="1" width="2.625" style="1" customWidth="1"/>
    <col min="2" max="2" width="2.875" style="1" customWidth="1"/>
    <col min="3" max="3" width="31.3125" style="1" customWidth="1"/>
    <col min="4" max="8" width="13.375" style="1" bestFit="1" customWidth="1"/>
    <col min="9" max="9" width="13" style="1" bestFit="1" customWidth="1"/>
    <col min="10" max="14" width="14" style="1" bestFit="1" customWidth="1"/>
    <col min="15" max="15" width="14.1875" style="1" bestFit="1" customWidth="1"/>
    <col min="16" max="16" width="2.875" style="1" customWidth="1"/>
    <col min="17" max="18" width="0" style="1" hidden="1" customWidth="1"/>
    <col min="19" max="16384" width="10.875" style="1" hidden="1"/>
  </cols>
  <sheetData>
    <row r="1" spans="1:18" ht="13.5" thickBot="1" x14ac:dyDescent="0.45"/>
    <row r="2" spans="1:18" ht="13.5" thickBot="1" x14ac:dyDescent="0.45">
      <c r="B2" s="121"/>
      <c r="C2" s="17"/>
      <c r="D2" s="17"/>
      <c r="E2" s="17" t="s">
        <v>40</v>
      </c>
      <c r="F2" s="17" t="s">
        <v>41</v>
      </c>
      <c r="G2" s="17" t="s">
        <v>42</v>
      </c>
      <c r="H2" s="17" t="s">
        <v>43</v>
      </c>
      <c r="I2" s="17" t="s">
        <v>44</v>
      </c>
      <c r="J2" s="17" t="s">
        <v>45</v>
      </c>
      <c r="K2" s="17" t="s">
        <v>46</v>
      </c>
      <c r="L2" s="17" t="s">
        <v>47</v>
      </c>
      <c r="M2" s="17" t="s">
        <v>48</v>
      </c>
      <c r="N2" s="17" t="s">
        <v>49</v>
      </c>
      <c r="O2" s="18" t="s">
        <v>57</v>
      </c>
    </row>
    <row r="3" spans="1:18" x14ac:dyDescent="0.4">
      <c r="B3" s="39"/>
      <c r="C3" s="108"/>
      <c r="D3" s="108"/>
      <c r="E3" s="109" t="s">
        <v>19</v>
      </c>
      <c r="F3" s="109" t="s">
        <v>23</v>
      </c>
      <c r="G3" s="109" t="s">
        <v>24</v>
      </c>
      <c r="H3" s="109" t="s">
        <v>25</v>
      </c>
      <c r="I3" s="109" t="s">
        <v>26</v>
      </c>
      <c r="J3" s="109" t="s">
        <v>27</v>
      </c>
      <c r="K3" s="109" t="s">
        <v>28</v>
      </c>
      <c r="L3" s="109" t="s">
        <v>29</v>
      </c>
      <c r="M3" s="109" t="s">
        <v>30</v>
      </c>
      <c r="N3" s="108" t="s">
        <v>20</v>
      </c>
      <c r="O3" s="110" t="s">
        <v>21</v>
      </c>
    </row>
    <row r="4" spans="1:18" x14ac:dyDescent="0.4">
      <c r="B4" s="74" t="s">
        <v>10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8" x14ac:dyDescent="0.4">
      <c r="B5" s="74"/>
      <c r="C5" s="77" t="s">
        <v>16</v>
      </c>
      <c r="D5" s="21">
        <f>'All Equity Scenario'!D5</f>
        <v>-14740000</v>
      </c>
      <c r="E5" s="59">
        <f>SUM('All Equity Scenario'!E5:P5)</f>
        <v>0</v>
      </c>
      <c r="F5" s="59">
        <f>SUM('All Equity Scenario'!Q5:AB5)</f>
        <v>0</v>
      </c>
      <c r="G5" s="59">
        <f>SUM('All Equity Scenario'!AC5:AN5)</f>
        <v>0</v>
      </c>
      <c r="H5" s="59">
        <f>SUM('All Equity Scenario'!AO5:AZ5)</f>
        <v>0</v>
      </c>
      <c r="I5" s="59">
        <f>SUM('All Equity Scenario'!BA5:BL5)</f>
        <v>0</v>
      </c>
      <c r="J5" s="59">
        <f>SUM('All Equity Scenario'!BM5:BX5)</f>
        <v>0</v>
      </c>
      <c r="K5" s="59">
        <f>SUM('All Equity Scenario'!BY5:CJ5)</f>
        <v>0</v>
      </c>
      <c r="L5" s="59">
        <f>SUM('All Equity Scenario'!CK5:CV5)</f>
        <v>0</v>
      </c>
      <c r="M5" s="59">
        <f>SUM('All Equity Scenario'!CW5:DH5)</f>
        <v>0</v>
      </c>
      <c r="N5" s="59">
        <f>SUM('All Equity Scenario'!DI5:DT5)</f>
        <v>0</v>
      </c>
      <c r="O5" s="60">
        <f>'All Equity Scenario'!DU5</f>
        <v>0</v>
      </c>
    </row>
    <row r="6" spans="1:18" x14ac:dyDescent="0.4">
      <c r="B6" s="74"/>
      <c r="C6" s="77" t="s">
        <v>17</v>
      </c>
      <c r="D6" s="59">
        <f>'All Equity Scenario'!D6</f>
        <v>0</v>
      </c>
      <c r="E6" s="59">
        <f>SUM('All Equity Scenario'!E6:P6)</f>
        <v>0</v>
      </c>
      <c r="F6" s="58">
        <f>SUM('All Equity Scenario'!Q6:AB6)</f>
        <v>0</v>
      </c>
      <c r="G6" s="59">
        <f>SUM('All Equity Scenario'!AC6:AN6)</f>
        <v>0</v>
      </c>
      <c r="H6" s="59">
        <f>SUM('All Equity Scenario'!AO6:AZ6)</f>
        <v>0</v>
      </c>
      <c r="I6" s="59">
        <f>SUM('All Equity Scenario'!BA6:BL6)</f>
        <v>0</v>
      </c>
      <c r="J6" s="59">
        <f>SUM('All Equity Scenario'!BM6:BX6)</f>
        <v>0</v>
      </c>
      <c r="K6" s="59">
        <f>SUM('All Equity Scenario'!BY6:CJ6)</f>
        <v>0</v>
      </c>
      <c r="L6" s="59">
        <f>SUM('All Equity Scenario'!CK6:CV6)</f>
        <v>0</v>
      </c>
      <c r="M6" s="59">
        <f>SUM('All Equity Scenario'!CW6:DH6)</f>
        <v>0</v>
      </c>
      <c r="N6" s="59">
        <f>SUM('All Equity Scenario'!DI6:DT6)</f>
        <v>0</v>
      </c>
      <c r="O6" s="60">
        <f>'All Equity Scenario'!DU6</f>
        <v>0</v>
      </c>
    </row>
    <row r="7" spans="1:18" x14ac:dyDescent="0.4">
      <c r="B7" s="39"/>
      <c r="C7" s="77" t="s">
        <v>5</v>
      </c>
      <c r="D7" s="59">
        <f>'All Equity Scenario'!D9</f>
        <v>-100000</v>
      </c>
      <c r="E7" s="59">
        <f>SUM('All Equity Scenario'!E9:P9)</f>
        <v>0</v>
      </c>
      <c r="F7" s="59">
        <f>SUM('All Equity Scenario'!Q9:AB9)</f>
        <v>0</v>
      </c>
      <c r="G7" s="59">
        <f>SUM('All Equity Scenario'!AC9:AN9)</f>
        <v>0</v>
      </c>
      <c r="H7" s="59">
        <f>SUM('All Equity Scenario'!AO9:AZ9)</f>
        <v>0</v>
      </c>
      <c r="I7" s="59">
        <f>SUM('All Equity Scenario'!BA9:BL9)</f>
        <v>0</v>
      </c>
      <c r="J7" s="59">
        <f>SUM('All Equity Scenario'!BM9:BX9)</f>
        <v>0</v>
      </c>
      <c r="K7" s="59">
        <f>SUM('All Equity Scenario'!BY9:CJ9)</f>
        <v>0</v>
      </c>
      <c r="L7" s="59">
        <f>SUM('All Equity Scenario'!CK9:CV9)</f>
        <v>0</v>
      </c>
      <c r="M7" s="59">
        <f>SUM('All Equity Scenario'!CW9:DH9)</f>
        <v>0</v>
      </c>
      <c r="N7" s="59">
        <f>SUM('All Equity Scenario'!DI9:DT9)</f>
        <v>0</v>
      </c>
      <c r="O7" s="60">
        <f>'All Equity Scenario'!DU9</f>
        <v>0</v>
      </c>
    </row>
    <row r="8" spans="1:18" x14ac:dyDescent="0.4">
      <c r="A8" s="1" t="s">
        <v>36</v>
      </c>
      <c r="B8" s="78" t="s">
        <v>33</v>
      </c>
      <c r="C8" s="6"/>
      <c r="D8" s="7">
        <f t="shared" ref="D8:O8" si="0">SUM(D5:D7)</f>
        <v>-14840000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7">
        <f t="shared" si="0"/>
        <v>0</v>
      </c>
      <c r="N8" s="7">
        <f t="shared" si="0"/>
        <v>0</v>
      </c>
      <c r="O8" s="79">
        <f t="shared" si="0"/>
        <v>0</v>
      </c>
      <c r="Q8" s="7">
        <f>SUM(Q5:Q7)</f>
        <v>0</v>
      </c>
      <c r="R8" s="7">
        <f>SUM(R5:R7)</f>
        <v>0</v>
      </c>
    </row>
    <row r="9" spans="1:18" x14ac:dyDescent="0.4">
      <c r="B9" s="39"/>
      <c r="C9" s="77"/>
      <c r="D9" s="59"/>
      <c r="E9" s="59"/>
      <c r="F9" s="59">
        <f>SUM('All Equity Scenario'!Q11:AB11)</f>
        <v>0</v>
      </c>
      <c r="G9" s="59">
        <f>SUM('All Equity Scenario'!AC11:AN11)</f>
        <v>0</v>
      </c>
      <c r="H9" s="59">
        <f>SUM('All Equity Scenario'!AO11:AZ11)</f>
        <v>0</v>
      </c>
      <c r="I9" s="59">
        <f>SUM('All Equity Scenario'!BA11:BL11)</f>
        <v>0</v>
      </c>
      <c r="J9" s="59">
        <f>SUM('All Equity Scenario'!BM11:BX11)</f>
        <v>0</v>
      </c>
      <c r="K9" s="59">
        <f>SUM('All Equity Scenario'!BY11:CJ11)</f>
        <v>0</v>
      </c>
      <c r="L9" s="59">
        <f>SUM('All Equity Scenario'!CK11:CV11)</f>
        <v>0</v>
      </c>
      <c r="M9" s="59">
        <f>SUM('All Equity Scenario'!CW11:DH11)</f>
        <v>0</v>
      </c>
      <c r="N9" s="59">
        <f>SUM('All Equity Scenario'!DI11:DT11)</f>
        <v>0</v>
      </c>
      <c r="O9" s="60">
        <f>'All Equity Scenario'!DU11</f>
        <v>0</v>
      </c>
    </row>
    <row r="10" spans="1:18" x14ac:dyDescent="0.4">
      <c r="B10" s="74" t="s">
        <v>11</v>
      </c>
      <c r="C10" s="77"/>
      <c r="D10" s="59"/>
      <c r="E10" s="59"/>
      <c r="F10" s="59">
        <f>SUM('All Equity Scenario'!Q12:AB12)</f>
        <v>0</v>
      </c>
      <c r="G10" s="59">
        <f>SUM('All Equity Scenario'!AC12:AN12)</f>
        <v>0</v>
      </c>
      <c r="H10" s="59">
        <f>SUM('All Equity Scenario'!AO12:AZ12)</f>
        <v>0</v>
      </c>
      <c r="I10" s="59">
        <f>SUM('All Equity Scenario'!BA12:BL12)</f>
        <v>0</v>
      </c>
      <c r="J10" s="59">
        <f>SUM('All Equity Scenario'!BM12:BX12)</f>
        <v>0</v>
      </c>
      <c r="K10" s="59">
        <f>SUM('All Equity Scenario'!BY12:CJ12)</f>
        <v>0</v>
      </c>
      <c r="L10" s="59">
        <f>SUM('All Equity Scenario'!CK12:CV12)</f>
        <v>0</v>
      </c>
      <c r="M10" s="59">
        <f>SUM('All Equity Scenario'!CW12:DH12)</f>
        <v>0</v>
      </c>
      <c r="N10" s="59">
        <f>SUM('All Equity Scenario'!DI12:DT12)</f>
        <v>0</v>
      </c>
      <c r="O10" s="60">
        <f>'All Equity Scenario'!DU12</f>
        <v>0</v>
      </c>
    </row>
    <row r="11" spans="1:18" x14ac:dyDescent="0.4">
      <c r="B11" s="39"/>
      <c r="C11" s="77" t="s">
        <v>12</v>
      </c>
      <c r="D11" s="59"/>
      <c r="E11" s="59">
        <f>SUM('All Equity Scenario'!E13:P13)</f>
        <v>7608078.0320282839</v>
      </c>
      <c r="F11" s="59">
        <f>SUM('All Equity Scenario'!Q13:AB13)</f>
        <v>6735515.6461350657</v>
      </c>
      <c r="G11" s="59">
        <f>SUM('All Equity Scenario'!AC13:AN13)</f>
        <v>5963026.513180431</v>
      </c>
      <c r="H11" s="59">
        <f>SUM('All Equity Scenario'!AO13:AZ13)</f>
        <v>5279133.3381129159</v>
      </c>
      <c r="I11" s="59">
        <f>SUM('All Equity Scenario'!BA13:BL13)</f>
        <v>4673675.1446558507</v>
      </c>
      <c r="J11" s="59">
        <f>SUM('All Equity Scenario'!BM13:BX13)</f>
        <v>4137656.3081056764</v>
      </c>
      <c r="K11" s="59">
        <f>SUM('All Equity Scenario'!BY13:CJ13)</f>
        <v>3663112.9023982142</v>
      </c>
      <c r="L11" s="59">
        <f>SUM('All Equity Scenario'!CK13:CV13)</f>
        <v>3242994.3756879019</v>
      </c>
      <c r="M11" s="59">
        <f>SUM('All Equity Scenario'!CW13:DH13)</f>
        <v>2871058.7964291102</v>
      </c>
      <c r="N11" s="59">
        <f>SUM('All Equity Scenario'!DI13:DT13)</f>
        <v>2541780.1135731163</v>
      </c>
      <c r="O11" s="60">
        <f>'All Equity Scenario'!DU13</f>
        <v>0</v>
      </c>
    </row>
    <row r="12" spans="1:18" x14ac:dyDescent="0.4">
      <c r="B12" s="39"/>
      <c r="C12" s="1" t="s">
        <v>13</v>
      </c>
      <c r="D12" s="59"/>
      <c r="E12" s="59">
        <f>SUM('All Equity Scenario'!E16:P16)</f>
        <v>0</v>
      </c>
      <c r="F12" s="59">
        <f>SUM('All Equity Scenario'!Q16:AB16)</f>
        <v>0</v>
      </c>
      <c r="G12" s="59">
        <f>SUM('All Equity Scenario'!AC16:AN16)</f>
        <v>0</v>
      </c>
      <c r="H12" s="59">
        <f>SUM('All Equity Scenario'!AO16:AZ16)</f>
        <v>0</v>
      </c>
      <c r="I12" s="59">
        <f>SUM('All Equity Scenario'!BA16:BL16)</f>
        <v>0</v>
      </c>
      <c r="J12" s="59">
        <f>SUM('All Equity Scenario'!BM16:BX16)</f>
        <v>0</v>
      </c>
      <c r="K12" s="59">
        <f>SUM('All Equity Scenario'!BY16:CJ16)</f>
        <v>0</v>
      </c>
      <c r="L12" s="59">
        <f>SUM('All Equity Scenario'!CK16:CV16)</f>
        <v>0</v>
      </c>
      <c r="M12" s="59">
        <f>SUM('All Equity Scenario'!CW16:DH16)</f>
        <v>0</v>
      </c>
      <c r="N12" s="59">
        <f>SUM('All Equity Scenario'!DI16:DT16)</f>
        <v>0</v>
      </c>
      <c r="O12" s="60">
        <f>'All Equity Scenario'!DU16</f>
        <v>1201140.0253353093</v>
      </c>
    </row>
    <row r="13" spans="1:18" x14ac:dyDescent="0.4">
      <c r="A13" s="1" t="s">
        <v>36</v>
      </c>
      <c r="B13" s="78" t="s">
        <v>34</v>
      </c>
      <c r="C13" s="12"/>
      <c r="D13" s="14"/>
      <c r="E13" s="15">
        <f>SUM(E11:E12)</f>
        <v>7608078.0320282839</v>
      </c>
      <c r="F13" s="15">
        <f t="shared" ref="F13:O13" si="1">SUM(F11:F12)</f>
        <v>6735515.6461350657</v>
      </c>
      <c r="G13" s="15">
        <f t="shared" si="1"/>
        <v>5963026.513180431</v>
      </c>
      <c r="H13" s="15">
        <f t="shared" si="1"/>
        <v>5279133.3381129159</v>
      </c>
      <c r="I13" s="15">
        <f t="shared" si="1"/>
        <v>4673675.1446558507</v>
      </c>
      <c r="J13" s="15">
        <f t="shared" si="1"/>
        <v>4137656.3081056764</v>
      </c>
      <c r="K13" s="15">
        <f t="shared" si="1"/>
        <v>3663112.9023982142</v>
      </c>
      <c r="L13" s="15">
        <f t="shared" si="1"/>
        <v>3242994.3756879019</v>
      </c>
      <c r="M13" s="15">
        <f t="shared" si="1"/>
        <v>2871058.7964291102</v>
      </c>
      <c r="N13" s="15">
        <f t="shared" si="1"/>
        <v>2541780.1135731163</v>
      </c>
      <c r="O13" s="113">
        <f t="shared" si="1"/>
        <v>1201140.0253353093</v>
      </c>
    </row>
    <row r="14" spans="1:18" x14ac:dyDescent="0.4">
      <c r="B14" s="39"/>
      <c r="C14" s="77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0"/>
    </row>
    <row r="15" spans="1:18" x14ac:dyDescent="0.4">
      <c r="B15" s="74" t="s">
        <v>22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</row>
    <row r="16" spans="1:18" x14ac:dyDescent="0.4">
      <c r="B16" s="74"/>
      <c r="C16" s="1" t="s">
        <v>92</v>
      </c>
      <c r="D16" s="59"/>
      <c r="E16" s="59">
        <f>SUM('All Equity Scenario'!E22:P22)</f>
        <v>0</v>
      </c>
      <c r="F16" s="59">
        <f>SUM('All Equity Scenario'!Q22:AB22)</f>
        <v>0</v>
      </c>
      <c r="G16" s="59">
        <f>SUM('All Equity Scenario'!AC22:AN22)</f>
        <v>0</v>
      </c>
      <c r="H16" s="59">
        <f>SUM('All Equity Scenario'!AO22:AZ22)</f>
        <v>0</v>
      </c>
      <c r="I16" s="59">
        <f>SUM('All Equity Scenario'!BA22:BL22)</f>
        <v>0</v>
      </c>
      <c r="J16" s="59">
        <f>SUM('All Equity Scenario'!BM22:BX22)</f>
        <v>0</v>
      </c>
      <c r="K16" s="59">
        <f>SUM('All Equity Scenario'!BY22:CJ22)</f>
        <v>0</v>
      </c>
      <c r="L16" s="59">
        <f>SUM('All Equity Scenario'!CK22:CV22)</f>
        <v>0</v>
      </c>
      <c r="M16" s="59">
        <f>SUM('All Equity Scenario'!CW22:DH22)</f>
        <v>0</v>
      </c>
      <c r="N16" s="59">
        <f>SUM('All Equity Scenario'!DI22:DT22)</f>
        <v>0</v>
      </c>
      <c r="O16" s="60">
        <f>'All Equity Scenario'!DU22</f>
        <v>0</v>
      </c>
    </row>
    <row r="17" spans="1:15" x14ac:dyDescent="0.4">
      <c r="B17" s="39"/>
      <c r="C17" s="77" t="s">
        <v>14</v>
      </c>
      <c r="D17" s="59"/>
      <c r="E17" s="59">
        <f>SUM('All Equity Scenario'!E25:P25)</f>
        <v>0</v>
      </c>
      <c r="F17" s="59">
        <f>SUM('All Equity Scenario'!Q25:AB25)</f>
        <v>0</v>
      </c>
      <c r="G17" s="59">
        <f>SUM('All Equity Scenario'!AC25:AN25)</f>
        <v>0</v>
      </c>
      <c r="H17" s="59">
        <f>SUM('All Equity Scenario'!AO25:AZ25)</f>
        <v>0</v>
      </c>
      <c r="I17" s="59">
        <f>SUM('All Equity Scenario'!BA25:BL25)</f>
        <v>0</v>
      </c>
      <c r="J17" s="59">
        <f>SUM('All Equity Scenario'!BM25:BX25)</f>
        <v>0</v>
      </c>
      <c r="K17" s="59">
        <f>SUM('All Equity Scenario'!BY25:CJ25)</f>
        <v>0</v>
      </c>
      <c r="L17" s="59">
        <f>SUM('All Equity Scenario'!CK25:CV25)</f>
        <v>0</v>
      </c>
      <c r="M17" s="59">
        <f>SUM('All Equity Scenario'!CW25:DH25)</f>
        <v>0</v>
      </c>
      <c r="N17" s="59">
        <f>SUM('All Equity Scenario'!DI25:DT25)</f>
        <v>0</v>
      </c>
      <c r="O17" s="60">
        <f>'All Equity Scenario'!DU25</f>
        <v>0</v>
      </c>
    </row>
    <row r="18" spans="1:15" x14ac:dyDescent="0.4">
      <c r="B18" s="39"/>
      <c r="C18" s="1" t="s">
        <v>50</v>
      </c>
      <c r="D18" s="59"/>
      <c r="E18" s="59">
        <f>SUM('All Equity Scenario'!E28:P28)</f>
        <v>0</v>
      </c>
      <c r="F18" s="59">
        <f>SUM('All Equity Scenario'!Q28:AB28)</f>
        <v>0</v>
      </c>
      <c r="G18" s="59">
        <f>SUM('All Equity Scenario'!AC28:AN28)</f>
        <v>0</v>
      </c>
      <c r="H18" s="59">
        <f>SUM('All Equity Scenario'!AO28:AZ28)</f>
        <v>0</v>
      </c>
      <c r="I18" s="59">
        <f>SUM('All Equity Scenario'!BA28:BL28)</f>
        <v>0</v>
      </c>
      <c r="J18" s="59">
        <f>SUM('All Equity Scenario'!BM28:BX28)</f>
        <v>0</v>
      </c>
      <c r="K18" s="59">
        <f>SUM('All Equity Scenario'!BY28:CJ28)</f>
        <v>0</v>
      </c>
      <c r="L18" s="59">
        <f>SUM('All Equity Scenario'!CK28:CV28)</f>
        <v>0</v>
      </c>
      <c r="M18" s="59">
        <f>SUM('All Equity Scenario'!CW28:DH28)</f>
        <v>0</v>
      </c>
      <c r="N18" s="59">
        <f>SUM('All Equity Scenario'!DI28:DT28)</f>
        <v>0</v>
      </c>
      <c r="O18" s="60">
        <f>'All Equity Scenario'!DU28</f>
        <v>0</v>
      </c>
    </row>
    <row r="19" spans="1:15" ht="12.95" customHeight="1" x14ac:dyDescent="0.4">
      <c r="B19" s="3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1:15" s="4" customFormat="1" ht="12.95" customHeight="1" x14ac:dyDescent="0.4">
      <c r="B20" s="74" t="s">
        <v>56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88"/>
    </row>
    <row r="21" spans="1:15" x14ac:dyDescent="0.4">
      <c r="B21" s="39" t="s">
        <v>38</v>
      </c>
      <c r="C21" s="1" t="s">
        <v>75</v>
      </c>
      <c r="D21" s="59"/>
      <c r="E21" s="59">
        <f>(SUM('All Equity Scenario'!E52:P52))*-1</f>
        <v>-7608078.0320282839</v>
      </c>
      <c r="F21" s="59">
        <f>(SUM('All Equity Scenario'!Q52:AB52))*-1</f>
        <v>-6735515.6461350657</v>
      </c>
      <c r="G21" s="59">
        <f>(SUM('All Equity Scenario'!AC52:AN52))*-1</f>
        <v>-4862152.6973868404</v>
      </c>
      <c r="H21" s="59">
        <f>(SUM('All Equity Scenario'!AO52:AZ52))*-1</f>
        <v>-3959350.0035846876</v>
      </c>
      <c r="I21" s="59">
        <f>(SUM('All Equity Scenario'!BA52:BL52))*-1</f>
        <v>-3505256.3584918878</v>
      </c>
      <c r="J21" s="59">
        <f>(SUM('All Equity Scenario'!BM52:BX52))*-1</f>
        <v>-3103242.2310792566</v>
      </c>
      <c r="K21" s="59">
        <f>(SUM('All Equity Scenario'!BY52:CJ52))*-1</f>
        <v>-2747334.6767986617</v>
      </c>
      <c r="L21" s="59">
        <f>(SUM('All Equity Scenario'!CK52:CV52))*-1</f>
        <v>-2432245.7817659262</v>
      </c>
      <c r="M21" s="59">
        <f>(SUM('All Equity Scenario'!CW52:DH52))*-1</f>
        <v>-2153294.0973218326</v>
      </c>
      <c r="N21" s="59">
        <f>(SUM('All Equity Scenario'!DI52:DT52))*-1</f>
        <v>-1906335.085179837</v>
      </c>
      <c r="O21" s="60">
        <f>('All Equity Scenario'!DU52)*-1</f>
        <v>-900855.01900148205</v>
      </c>
    </row>
    <row r="22" spans="1:15" x14ac:dyDescent="0.4">
      <c r="B22" s="39" t="s">
        <v>37</v>
      </c>
      <c r="C22" s="1" t="s">
        <v>74</v>
      </c>
      <c r="D22" s="156"/>
      <c r="E22" s="59">
        <f>(SUM('All Equity Scenario'!E55:P55))*-1</f>
        <v>0</v>
      </c>
      <c r="F22" s="59">
        <f>(SUM('All Equity Scenario'!Q55:AB55))*-1</f>
        <v>0</v>
      </c>
      <c r="G22" s="59">
        <f>(SUM('All Equity Scenario'!AC55:AN55))*-1</f>
        <v>-1100873.8157935909</v>
      </c>
      <c r="H22" s="59">
        <f>(SUM('All Equity Scenario'!AO55:AZ55))*-1</f>
        <v>-1319783.334528229</v>
      </c>
      <c r="I22" s="59">
        <f>(SUM('All Equity Scenario'!BA55:BL55))*-1</f>
        <v>-1168418.7861639627</v>
      </c>
      <c r="J22" s="59">
        <f>(SUM('All Equity Scenario'!BM55:BX55))*-1</f>
        <v>-1034414.0770264191</v>
      </c>
      <c r="K22" s="59">
        <f>(SUM('All Equity Scenario'!BY55:CJ55))*-1</f>
        <v>-915778.22559955355</v>
      </c>
      <c r="L22" s="59">
        <f>(SUM('All Equity Scenario'!CK55:CV55))*-1</f>
        <v>-810748.59392197547</v>
      </c>
      <c r="M22" s="59">
        <f>(SUM('All Equity Scenario'!CW55:DH55))*-1</f>
        <v>-717764.69910727756</v>
      </c>
      <c r="N22" s="59">
        <f>(SUM('All Equity Scenario'!DI55:DT55))*-1</f>
        <v>-635445.02839327906</v>
      </c>
      <c r="O22" s="60">
        <f>('All Equity Scenario'!DU55)*-1</f>
        <v>-300285.00633382733</v>
      </c>
    </row>
    <row r="23" spans="1:15" ht="4.8" customHeight="1" x14ac:dyDescent="0.4">
      <c r="B23" s="39"/>
      <c r="D23" s="59"/>
      <c r="E23" s="59">
        <f>SUM('All Equity Scenario'!E59:P59)</f>
        <v>0</v>
      </c>
      <c r="F23" s="59">
        <f>SUM('All Equity Scenario'!Q59:AB59)</f>
        <v>0</v>
      </c>
      <c r="G23" s="59">
        <f>SUM('All Equity Scenario'!AC59:AN59)</f>
        <v>0</v>
      </c>
      <c r="H23" s="59">
        <f>SUM('All Equity Scenario'!AO59:AZ59)</f>
        <v>0</v>
      </c>
      <c r="I23" s="59">
        <f>SUM('All Equity Scenario'!BA59:BL59)</f>
        <v>0</v>
      </c>
      <c r="J23" s="59">
        <f>SUM('All Equity Scenario'!BM59:BX59)</f>
        <v>0</v>
      </c>
      <c r="K23" s="59">
        <f>SUM('All Equity Scenario'!BY59:CJ59)</f>
        <v>0</v>
      </c>
      <c r="L23" s="59">
        <f>SUM('All Equity Scenario'!CK59:CV59)</f>
        <v>0</v>
      </c>
      <c r="M23" s="59">
        <f>SUM('All Equity Scenario'!CW59:DH59)</f>
        <v>0</v>
      </c>
      <c r="N23" s="59">
        <f>SUM('All Equity Scenario'!DI59:DT59)</f>
        <v>0</v>
      </c>
      <c r="O23" s="60">
        <f>'All Equity Scenario'!DU59</f>
        <v>0</v>
      </c>
    </row>
    <row r="24" spans="1:15" x14ac:dyDescent="0.4">
      <c r="A24" s="1" t="s">
        <v>36</v>
      </c>
      <c r="B24" s="74" t="s">
        <v>15</v>
      </c>
      <c r="D24" s="59"/>
      <c r="E24" s="59">
        <f>SUM('All Equity Scenario'!E67:P67)</f>
        <v>0</v>
      </c>
      <c r="F24" s="59">
        <f>SUM('All Equity Scenario'!Q67:AB67)</f>
        <v>0</v>
      </c>
      <c r="G24" s="59">
        <f>SUM('All Equity Scenario'!AC67:AN67)</f>
        <v>0</v>
      </c>
      <c r="H24" s="59">
        <f>SUM('All Equity Scenario'!AO67:AZ67)</f>
        <v>0</v>
      </c>
      <c r="I24" s="59">
        <f>SUM('All Equity Scenario'!BA67:BL67)</f>
        <v>0</v>
      </c>
      <c r="J24" s="59">
        <f>SUM('All Equity Scenario'!BM67:BX67)</f>
        <v>0</v>
      </c>
      <c r="K24" s="59">
        <f>SUM('All Equity Scenario'!BY67:CJ67)</f>
        <v>0</v>
      </c>
      <c r="L24" s="59">
        <f>SUM('All Equity Scenario'!CK67:CV67)</f>
        <v>0</v>
      </c>
      <c r="M24" s="59">
        <f>SUM('All Equity Scenario'!CW67:DH67)</f>
        <v>0</v>
      </c>
      <c r="N24" s="59">
        <f>SUM('All Equity Scenario'!DI67:DT67)</f>
        <v>0</v>
      </c>
      <c r="O24" s="60">
        <f>'All Equity Scenario'!DU67</f>
        <v>0</v>
      </c>
    </row>
    <row r="25" spans="1:15" x14ac:dyDescent="0.4">
      <c r="B25" s="39"/>
      <c r="C25" s="4" t="s">
        <v>8</v>
      </c>
      <c r="D25" s="59"/>
      <c r="E25" s="59">
        <f>MAX('All Equity Scenario'!D68:P68)</f>
        <v>0</v>
      </c>
      <c r="F25" s="59">
        <f>MAX('All Equity Scenario'!Q68:AB68)</f>
        <v>0</v>
      </c>
      <c r="G25" s="59">
        <f>MAX('All Equity Scenario'!AC68:AN68)</f>
        <v>0</v>
      </c>
      <c r="H25" s="59">
        <f>MAX('All Equity Scenario'!AO68:AZ68)</f>
        <v>0</v>
      </c>
      <c r="I25" s="59">
        <f>MAX('All Equity Scenario'!BA68:BL68)</f>
        <v>0</v>
      </c>
      <c r="J25" s="59">
        <f>SUM('All Equity Scenario'!BM68:BX68)</f>
        <v>0</v>
      </c>
      <c r="K25" s="59">
        <f>SUM('All Equity Scenario'!BY68:CJ68)</f>
        <v>0</v>
      </c>
      <c r="L25" s="59">
        <f>SUM('All Equity Scenario'!CK68:CV68)</f>
        <v>0</v>
      </c>
      <c r="M25" s="59">
        <f>SUM('All Equity Scenario'!CW68:DH68)</f>
        <v>0</v>
      </c>
      <c r="N25" s="59">
        <f>SUM('All Equity Scenario'!DI68:DT68)</f>
        <v>0</v>
      </c>
      <c r="O25" s="60">
        <f>'All Equity Scenario'!DU68</f>
        <v>0</v>
      </c>
    </row>
    <row r="26" spans="1:15" s="13" customFormat="1" ht="3.6" customHeight="1" x14ac:dyDescent="0.4">
      <c r="B26" s="114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x14ac:dyDescent="0.4">
      <c r="B27" s="94" t="s">
        <v>38</v>
      </c>
      <c r="C27" s="19" t="s">
        <v>94</v>
      </c>
      <c r="D27" s="19"/>
      <c r="E27" s="20">
        <f>'All Equity Scenario'!P60</f>
        <v>-7231921.9679717161</v>
      </c>
      <c r="F27" s="20">
        <f>'All Equity Scenario'!AB60</f>
        <v>-496406.32183665107</v>
      </c>
      <c r="G27" s="20">
        <f>'All Equity Scenario'!AN60</f>
        <v>4365746.37555019</v>
      </c>
      <c r="H27" s="20">
        <f>'All Equity Scenario'!AZ60</f>
        <v>8325096.3791348776</v>
      </c>
      <c r="I27" s="20">
        <f>'All Equity Scenario'!BL60</f>
        <v>11830352.737626765</v>
      </c>
      <c r="J27" s="20">
        <f>'All Equity Scenario'!BX60</f>
        <v>14933594.968706019</v>
      </c>
      <c r="K27" s="20">
        <f>'All Equity Scenario'!CJ60</f>
        <v>17680929.645504683</v>
      </c>
      <c r="L27" s="20">
        <f>'All Equity Scenario'!CV60</f>
        <v>20113175.427270606</v>
      </c>
      <c r="M27" s="20">
        <f>'All Equity Scenario'!DH60</f>
        <v>22266469.524592441</v>
      </c>
      <c r="N27" s="20">
        <f>'All Equity Scenario'!DT60</f>
        <v>24172804.609772276</v>
      </c>
      <c r="O27" s="95">
        <f>'All Equity Scenario'!DU60</f>
        <v>25073659.628773756</v>
      </c>
    </row>
    <row r="28" spans="1:15" ht="13.5" thickBot="1" x14ac:dyDescent="0.45">
      <c r="B28" s="29" t="s">
        <v>37</v>
      </c>
      <c r="C28" s="117" t="s">
        <v>125</v>
      </c>
      <c r="D28" s="117"/>
      <c r="E28" s="118">
        <f>'All Equity Scenario'!P63</f>
        <v>0</v>
      </c>
      <c r="F28" s="118">
        <f>'All Equity Scenario'!AB63</f>
        <v>0</v>
      </c>
      <c r="G28" s="118">
        <f>'All Equity Scenario'!AN63</f>
        <v>1100873.8157935909</v>
      </c>
      <c r="H28" s="118">
        <f>'All Equity Scenario'!AZ63</f>
        <v>2420657.1503218208</v>
      </c>
      <c r="I28" s="118">
        <f>'All Equity Scenario'!BL63</f>
        <v>3589075.9364857832</v>
      </c>
      <c r="J28" s="118">
        <f>'All Equity Scenario'!BX63</f>
        <v>4623490.0135122025</v>
      </c>
      <c r="K28" s="118">
        <f>'All Equity Scenario'!CJ63</f>
        <v>5539268.239111755</v>
      </c>
      <c r="L28" s="118">
        <f>'All Equity Scenario'!CV63</f>
        <v>6350016.8330337303</v>
      </c>
      <c r="M28" s="118">
        <f>'All Equity Scenario'!DH63</f>
        <v>7067781.5321410084</v>
      </c>
      <c r="N28" s="118">
        <f>'All Equity Scenario'!DT63</f>
        <v>7703226.56053429</v>
      </c>
      <c r="O28" s="119">
        <f>'All Equity Scenario'!DU63</f>
        <v>8003511.5668681171</v>
      </c>
    </row>
    <row r="29" spans="1:15" x14ac:dyDescent="0.4"/>
    <row r="30" spans="1:15" ht="13.5" thickBot="1" x14ac:dyDescent="0.45">
      <c r="D30" s="13">
        <v>0</v>
      </c>
      <c r="E30" s="13">
        <f>D30+1</f>
        <v>1</v>
      </c>
      <c r="F30" s="13">
        <f t="shared" ref="F30:O30" si="2">E30+1</f>
        <v>2</v>
      </c>
      <c r="G30" s="13">
        <f t="shared" si="2"/>
        <v>3</v>
      </c>
      <c r="H30" s="13">
        <f t="shared" si="2"/>
        <v>4</v>
      </c>
      <c r="I30" s="13">
        <f t="shared" si="2"/>
        <v>5</v>
      </c>
      <c r="J30" s="13">
        <f t="shared" si="2"/>
        <v>6</v>
      </c>
      <c r="K30" s="13">
        <f t="shared" si="2"/>
        <v>7</v>
      </c>
      <c r="L30" s="13">
        <f t="shared" si="2"/>
        <v>8</v>
      </c>
      <c r="M30" s="13">
        <f t="shared" si="2"/>
        <v>9</v>
      </c>
      <c r="N30" s="13">
        <f t="shared" si="2"/>
        <v>10</v>
      </c>
      <c r="O30" s="13">
        <f t="shared" si="2"/>
        <v>11</v>
      </c>
    </row>
    <row r="31" spans="1:15" ht="13.5" thickBot="1" x14ac:dyDescent="0.45">
      <c r="C31" s="4" t="s">
        <v>90</v>
      </c>
      <c r="E31" s="16" t="s">
        <v>40</v>
      </c>
      <c r="F31" s="17" t="s">
        <v>41</v>
      </c>
      <c r="G31" s="17" t="s">
        <v>42</v>
      </c>
      <c r="H31" s="17" t="s">
        <v>43</v>
      </c>
      <c r="I31" s="17" t="s">
        <v>44</v>
      </c>
      <c r="J31" s="17" t="s">
        <v>45</v>
      </c>
      <c r="K31" s="17" t="s">
        <v>46</v>
      </c>
      <c r="L31" s="17" t="s">
        <v>47</v>
      </c>
      <c r="M31" s="17" t="s">
        <v>48</v>
      </c>
      <c r="N31" s="17" t="s">
        <v>49</v>
      </c>
      <c r="O31" s="18" t="s">
        <v>57</v>
      </c>
    </row>
    <row r="32" spans="1:15" ht="4.05" customHeight="1" thickBot="1" x14ac:dyDescent="0.45"/>
    <row r="33" spans="3:15" x14ac:dyDescent="0.4">
      <c r="C33" s="160" t="s">
        <v>51</v>
      </c>
      <c r="D33" s="26">
        <f>-'All Equity Scenario'!D35</f>
        <v>-14840000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2"/>
    </row>
    <row r="34" spans="3:15" x14ac:dyDescent="0.4">
      <c r="C34" s="161" t="s">
        <v>62</v>
      </c>
      <c r="D34" s="59"/>
      <c r="E34" s="59">
        <f>'All Equity Scenario'!K7*(1-Assumptions!$E$23)+'All Equity Scenario'!K8*(1-Assumptions!$F$23)</f>
        <v>0</v>
      </c>
      <c r="F34" s="59">
        <f>'All Equity Scenario'!Q7*(1-Assumptions!$E$23)+'All Equity Scenario'!Q8*(1-Assumptions!$F$23)</f>
        <v>0</v>
      </c>
      <c r="G34" s="59">
        <f>'All Equity Scenario'!AC7*(1-Assumptions!$E$23)+'All Equity Scenario'!AC8*(1-Assumptions!$F$23)</f>
        <v>0</v>
      </c>
      <c r="H34" s="59">
        <f>'All Equity Scenario'!AO7*(1-Assumptions!$E$23)+'All Equity Scenario'!AO8*(1-Assumptions!$F$23)</f>
        <v>0</v>
      </c>
      <c r="O34" s="42"/>
    </row>
    <row r="35" spans="3:15" x14ac:dyDescent="0.4">
      <c r="C35" s="28" t="s">
        <v>52</v>
      </c>
      <c r="E35" s="3">
        <f>-E21</f>
        <v>7608078.0320282839</v>
      </c>
      <c r="F35" s="3">
        <f t="shared" ref="F35:O35" si="3">-F21</f>
        <v>6735515.6461350657</v>
      </c>
      <c r="G35" s="3">
        <f t="shared" si="3"/>
        <v>4862152.6973868404</v>
      </c>
      <c r="H35" s="3">
        <f t="shared" si="3"/>
        <v>3959350.0035846876</v>
      </c>
      <c r="I35" s="3">
        <f t="shared" si="3"/>
        <v>3505256.3584918878</v>
      </c>
      <c r="J35" s="3">
        <f t="shared" si="3"/>
        <v>3103242.2310792566</v>
      </c>
      <c r="K35" s="3">
        <f t="shared" si="3"/>
        <v>2747334.6767986617</v>
      </c>
      <c r="L35" s="3">
        <f t="shared" si="3"/>
        <v>2432245.7817659262</v>
      </c>
      <c r="M35" s="3">
        <f t="shared" si="3"/>
        <v>2153294.0973218326</v>
      </c>
      <c r="N35" s="3">
        <f t="shared" si="3"/>
        <v>1906335.085179837</v>
      </c>
      <c r="O35" s="120">
        <f t="shared" si="3"/>
        <v>900855.01900148205</v>
      </c>
    </row>
    <row r="36" spans="3:15" ht="13.5" thickBot="1" x14ac:dyDescent="0.45">
      <c r="C36" s="29" t="s">
        <v>53</v>
      </c>
      <c r="D36" s="30">
        <f>SUM(D33:D35)</f>
        <v>-14840000</v>
      </c>
      <c r="E36" s="30">
        <f>SUM(E34:E35)</f>
        <v>7608078.0320282839</v>
      </c>
      <c r="F36" s="30">
        <f t="shared" ref="F36:O36" si="4">SUM(F34:F35)</f>
        <v>6735515.6461350657</v>
      </c>
      <c r="G36" s="30">
        <f t="shared" si="4"/>
        <v>4862152.6973868404</v>
      </c>
      <c r="H36" s="30">
        <f t="shared" si="4"/>
        <v>3959350.0035846876</v>
      </c>
      <c r="I36" s="30">
        <f t="shared" si="4"/>
        <v>3505256.3584918878</v>
      </c>
      <c r="J36" s="30">
        <f t="shared" si="4"/>
        <v>3103242.2310792566</v>
      </c>
      <c r="K36" s="30">
        <f t="shared" si="4"/>
        <v>2747334.6767986617</v>
      </c>
      <c r="L36" s="30">
        <f t="shared" si="4"/>
        <v>2432245.7817659262</v>
      </c>
      <c r="M36" s="30">
        <f t="shared" si="4"/>
        <v>2153294.0973218326</v>
      </c>
      <c r="N36" s="30">
        <f t="shared" si="4"/>
        <v>1906335.085179837</v>
      </c>
      <c r="O36" s="31">
        <f t="shared" si="4"/>
        <v>900855.01900148205</v>
      </c>
    </row>
    <row r="37" spans="3:15" x14ac:dyDescent="0.4"/>
    <row r="38" spans="3:15" ht="13.5" thickBot="1" x14ac:dyDescent="0.45">
      <c r="C38" s="4" t="s">
        <v>90</v>
      </c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3:15" ht="15.75" x14ac:dyDescent="0.5">
      <c r="C39" s="23" t="s">
        <v>56</v>
      </c>
      <c r="D39" s="153">
        <f>O27</f>
        <v>25073659.628773756</v>
      </c>
      <c r="F39" s="3"/>
      <c r="G39" s="3"/>
      <c r="H39"/>
      <c r="I39"/>
      <c r="J39"/>
      <c r="K39"/>
      <c r="L39"/>
      <c r="M39"/>
      <c r="N39"/>
    </row>
    <row r="40" spans="3:15" ht="15.75" x14ac:dyDescent="0.5">
      <c r="C40" s="35" t="s">
        <v>124</v>
      </c>
      <c r="D40" s="175">
        <f>LOOKUP(0,D50:O50,D30:O30-D50:O50/E36:O36)</f>
        <v>2.1020959958956951</v>
      </c>
      <c r="F40" s="3"/>
      <c r="G40" s="3"/>
      <c r="H40"/>
      <c r="I40"/>
      <c r="J40"/>
      <c r="K40"/>
      <c r="L40"/>
      <c r="M40"/>
      <c r="N40"/>
    </row>
    <row r="41" spans="3:15" ht="15.75" x14ac:dyDescent="0.5">
      <c r="C41" s="35" t="s">
        <v>54</v>
      </c>
      <c r="D41" s="152">
        <f>IRR(D36:O36)</f>
        <v>0.34229386511986637</v>
      </c>
      <c r="F41" s="62"/>
      <c r="G41" s="3"/>
      <c r="H41"/>
      <c r="I41"/>
      <c r="J41"/>
      <c r="K41"/>
      <c r="L41"/>
      <c r="M41"/>
      <c r="N41"/>
    </row>
    <row r="42" spans="3:15" ht="16.149999999999999" thickBot="1" x14ac:dyDescent="0.55000000000000004">
      <c r="C42" s="24" t="s">
        <v>55</v>
      </c>
      <c r="D42" s="25">
        <f>(O27-D36)/-D33</f>
        <v>2.6895997054429754</v>
      </c>
      <c r="F42" s="172"/>
      <c r="H42"/>
      <c r="I42"/>
      <c r="J42"/>
      <c r="K42"/>
      <c r="L42"/>
      <c r="M42"/>
      <c r="N42"/>
    </row>
    <row r="43" spans="3:15" ht="15.75" x14ac:dyDescent="0.5">
      <c r="H43"/>
      <c r="I43"/>
      <c r="J43"/>
      <c r="K43"/>
      <c r="L43"/>
      <c r="M43"/>
      <c r="N43"/>
    </row>
    <row r="44" spans="3:15" ht="16.149999999999999" thickBot="1" x14ac:dyDescent="0.55000000000000004">
      <c r="C44" s="4" t="s">
        <v>87</v>
      </c>
      <c r="H44"/>
      <c r="I44"/>
      <c r="J44"/>
      <c r="K44"/>
      <c r="L44"/>
      <c r="M44"/>
      <c r="N44"/>
    </row>
    <row r="45" spans="3:15" ht="15.75" x14ac:dyDescent="0.5">
      <c r="C45" s="23" t="s">
        <v>56</v>
      </c>
      <c r="D45" s="153">
        <f>O28</f>
        <v>8003511.5668681171</v>
      </c>
      <c r="H45"/>
      <c r="I45"/>
      <c r="J45"/>
      <c r="K45"/>
      <c r="L45"/>
      <c r="M45"/>
      <c r="N45"/>
    </row>
    <row r="46" spans="3:15" ht="15.75" x14ac:dyDescent="0.5">
      <c r="C46" s="35" t="s">
        <v>93</v>
      </c>
      <c r="D46" s="157">
        <f>-SUM(E16:O16)</f>
        <v>0</v>
      </c>
      <c r="H46"/>
      <c r="I46"/>
      <c r="J46"/>
      <c r="K46"/>
      <c r="L46"/>
      <c r="M46"/>
      <c r="N46"/>
    </row>
    <row r="47" spans="3:15" ht="16.149999999999999" thickBot="1" x14ac:dyDescent="0.55000000000000004">
      <c r="C47" s="158" t="s">
        <v>53</v>
      </c>
      <c r="D47" s="159">
        <f>SUM(D45:D46)</f>
        <v>8003511.5668681171</v>
      </c>
      <c r="H47"/>
      <c r="I47"/>
      <c r="J47"/>
      <c r="K47"/>
      <c r="L47"/>
      <c r="M47"/>
      <c r="N47"/>
    </row>
    <row r="48" spans="3:15" ht="15.75" x14ac:dyDescent="0.5">
      <c r="H48"/>
      <c r="I48"/>
      <c r="J48"/>
      <c r="K48"/>
      <c r="L48"/>
      <c r="M48"/>
      <c r="N48"/>
    </row>
    <row r="49" spans="3:15" hidden="1" x14ac:dyDescent="0.4">
      <c r="J49" s="5"/>
      <c r="K49" s="5"/>
    </row>
    <row r="50" spans="3:15" x14ac:dyDescent="0.4">
      <c r="C50" s="1" t="s">
        <v>128</v>
      </c>
      <c r="D50" s="3">
        <f>D36</f>
        <v>-14840000</v>
      </c>
      <c r="E50" s="3">
        <f>D50+E36</f>
        <v>-7231921.9679717161</v>
      </c>
      <c r="F50" s="3">
        <f t="shared" ref="F50:O50" si="5">E50+F36</f>
        <v>-496406.32183665037</v>
      </c>
      <c r="G50" s="3">
        <f t="shared" si="5"/>
        <v>4365746.37555019</v>
      </c>
      <c r="H50" s="3">
        <f t="shared" si="5"/>
        <v>8325096.3791348776</v>
      </c>
      <c r="I50" s="3">
        <f t="shared" si="5"/>
        <v>11830352.737626765</v>
      </c>
      <c r="J50" s="3">
        <f t="shared" si="5"/>
        <v>14933594.968706021</v>
      </c>
      <c r="K50" s="3">
        <f t="shared" si="5"/>
        <v>17680929.645504683</v>
      </c>
      <c r="L50" s="3">
        <f t="shared" si="5"/>
        <v>20113175.42727061</v>
      </c>
      <c r="M50" s="3">
        <f t="shared" si="5"/>
        <v>22266469.524592444</v>
      </c>
      <c r="N50" s="3">
        <f t="shared" si="5"/>
        <v>24172804.60977228</v>
      </c>
      <c r="O50" s="3">
        <f t="shared" si="5"/>
        <v>25073659.628773764</v>
      </c>
    </row>
    <row r="51" spans="3:15" x14ac:dyDescent="0.4"/>
    <row r="56" spans="3:15" hidden="1" x14ac:dyDescent="0.4">
      <c r="C56" s="1" t="s">
        <v>129</v>
      </c>
      <c r="H56" s="3"/>
      <c r="J56" s="3"/>
      <c r="K56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A752-1CC0-4221-99A1-5E5DE0DF0621}">
  <sheetPr>
    <tabColor theme="9" tint="0.79998168889431442"/>
  </sheetPr>
  <dimension ref="A1:DU69"/>
  <sheetViews>
    <sheetView showGridLines="0" zoomScaleNormal="100" workbookViewId="0">
      <pane xSplit="3" topLeftCell="D1" activePane="topRight" state="frozen"/>
      <selection activeCell="D37" sqref="D37"/>
      <selection pane="topRight"/>
    </sheetView>
  </sheetViews>
  <sheetFormatPr defaultColWidth="0" defaultRowHeight="13.15" zeroHeight="1" x14ac:dyDescent="0.4"/>
  <cols>
    <col min="1" max="1" width="2.625" style="1" customWidth="1"/>
    <col min="2" max="2" width="3.9375" style="1" bestFit="1" customWidth="1"/>
    <col min="3" max="3" width="36.125" style="1" bestFit="1" customWidth="1"/>
    <col min="4" max="4" width="11.125" style="1" bestFit="1" customWidth="1"/>
    <col min="5" max="5" width="10.875" style="1" bestFit="1" customWidth="1"/>
    <col min="6" max="6" width="11.625" style="1" bestFit="1" customWidth="1"/>
    <col min="7" max="16" width="10.875" style="1" bestFit="1" customWidth="1"/>
    <col min="17" max="17" width="12.3125" style="1" bestFit="1" customWidth="1"/>
    <col min="18" max="72" width="10.875" style="1" bestFit="1" customWidth="1"/>
    <col min="73" max="116" width="11.375" style="1" bestFit="1" customWidth="1"/>
    <col min="117" max="125" width="12.125" style="1" bestFit="1" customWidth="1"/>
    <col min="126" max="126" width="4" style="1" customWidth="1"/>
    <col min="127" max="16384" width="0" style="1" hidden="1"/>
  </cols>
  <sheetData>
    <row r="1" spans="1:125" ht="13.5" thickBot="1" x14ac:dyDescent="0.45"/>
    <row r="2" spans="1:125" x14ac:dyDescent="0.4">
      <c r="B2" s="68"/>
      <c r="C2" s="69"/>
      <c r="D2" s="70">
        <v>0</v>
      </c>
      <c r="E2" s="70">
        <v>1</v>
      </c>
      <c r="F2" s="70">
        <v>2</v>
      </c>
      <c r="G2" s="70">
        <v>3</v>
      </c>
      <c r="H2" s="70">
        <v>4</v>
      </c>
      <c r="I2" s="70">
        <v>5</v>
      </c>
      <c r="J2" s="70">
        <v>6</v>
      </c>
      <c r="K2" s="70">
        <v>7</v>
      </c>
      <c r="L2" s="70">
        <v>8</v>
      </c>
      <c r="M2" s="70">
        <v>9</v>
      </c>
      <c r="N2" s="70">
        <v>10</v>
      </c>
      <c r="O2" s="70">
        <v>11</v>
      </c>
      <c r="P2" s="70">
        <v>12</v>
      </c>
      <c r="Q2" s="70">
        <v>13</v>
      </c>
      <c r="R2" s="70">
        <v>14</v>
      </c>
      <c r="S2" s="70">
        <v>15</v>
      </c>
      <c r="T2" s="70">
        <v>16</v>
      </c>
      <c r="U2" s="70">
        <v>17</v>
      </c>
      <c r="V2" s="70">
        <v>18</v>
      </c>
      <c r="W2" s="70">
        <v>19</v>
      </c>
      <c r="X2" s="70">
        <v>20</v>
      </c>
      <c r="Y2" s="70">
        <v>21</v>
      </c>
      <c r="Z2" s="70">
        <v>22</v>
      </c>
      <c r="AA2" s="70">
        <v>23</v>
      </c>
      <c r="AB2" s="70">
        <v>24</v>
      </c>
      <c r="AC2" s="70">
        <v>25</v>
      </c>
      <c r="AD2" s="70">
        <v>26</v>
      </c>
      <c r="AE2" s="70">
        <v>27</v>
      </c>
      <c r="AF2" s="70">
        <v>28</v>
      </c>
      <c r="AG2" s="70">
        <v>29</v>
      </c>
      <c r="AH2" s="70">
        <v>30</v>
      </c>
      <c r="AI2" s="70">
        <v>31</v>
      </c>
      <c r="AJ2" s="70">
        <v>32</v>
      </c>
      <c r="AK2" s="70">
        <v>33</v>
      </c>
      <c r="AL2" s="70">
        <v>34</v>
      </c>
      <c r="AM2" s="70">
        <v>35</v>
      </c>
      <c r="AN2" s="70">
        <v>36</v>
      </c>
      <c r="AO2" s="70">
        <v>37</v>
      </c>
      <c r="AP2" s="70">
        <v>38</v>
      </c>
      <c r="AQ2" s="70">
        <v>39</v>
      </c>
      <c r="AR2" s="70">
        <v>40</v>
      </c>
      <c r="AS2" s="70">
        <v>41</v>
      </c>
      <c r="AT2" s="70">
        <v>42</v>
      </c>
      <c r="AU2" s="70">
        <v>43</v>
      </c>
      <c r="AV2" s="70">
        <v>44</v>
      </c>
      <c r="AW2" s="70">
        <v>45</v>
      </c>
      <c r="AX2" s="70">
        <v>46</v>
      </c>
      <c r="AY2" s="70">
        <v>47</v>
      </c>
      <c r="AZ2" s="70">
        <v>48</v>
      </c>
      <c r="BA2" s="70">
        <v>49</v>
      </c>
      <c r="BB2" s="70">
        <v>50</v>
      </c>
      <c r="BC2" s="70">
        <v>51</v>
      </c>
      <c r="BD2" s="70">
        <v>52</v>
      </c>
      <c r="BE2" s="70">
        <v>53</v>
      </c>
      <c r="BF2" s="70">
        <v>54</v>
      </c>
      <c r="BG2" s="70">
        <v>55</v>
      </c>
      <c r="BH2" s="70">
        <v>56</v>
      </c>
      <c r="BI2" s="70">
        <v>57</v>
      </c>
      <c r="BJ2" s="70">
        <v>58</v>
      </c>
      <c r="BK2" s="70">
        <v>59</v>
      </c>
      <c r="BL2" s="70">
        <v>60</v>
      </c>
      <c r="BM2" s="70">
        <v>61</v>
      </c>
      <c r="BN2" s="70">
        <v>62</v>
      </c>
      <c r="BO2" s="70">
        <v>63</v>
      </c>
      <c r="BP2" s="70">
        <v>64</v>
      </c>
      <c r="BQ2" s="70">
        <v>65</v>
      </c>
      <c r="BR2" s="70">
        <v>66</v>
      </c>
      <c r="BS2" s="70">
        <v>67</v>
      </c>
      <c r="BT2" s="70">
        <v>68</v>
      </c>
      <c r="BU2" s="70">
        <v>69</v>
      </c>
      <c r="BV2" s="70">
        <v>70</v>
      </c>
      <c r="BW2" s="70">
        <v>71</v>
      </c>
      <c r="BX2" s="70">
        <v>72</v>
      </c>
      <c r="BY2" s="70">
        <v>73</v>
      </c>
      <c r="BZ2" s="70">
        <v>74</v>
      </c>
      <c r="CA2" s="70">
        <v>75</v>
      </c>
      <c r="CB2" s="70">
        <v>76</v>
      </c>
      <c r="CC2" s="70">
        <v>77</v>
      </c>
      <c r="CD2" s="70">
        <v>78</v>
      </c>
      <c r="CE2" s="70">
        <v>79</v>
      </c>
      <c r="CF2" s="70">
        <v>80</v>
      </c>
      <c r="CG2" s="70">
        <v>81</v>
      </c>
      <c r="CH2" s="70">
        <v>82</v>
      </c>
      <c r="CI2" s="70">
        <v>83</v>
      </c>
      <c r="CJ2" s="70">
        <v>84</v>
      </c>
      <c r="CK2" s="70">
        <v>85</v>
      </c>
      <c r="CL2" s="70">
        <v>86</v>
      </c>
      <c r="CM2" s="70">
        <v>87</v>
      </c>
      <c r="CN2" s="70">
        <v>88</v>
      </c>
      <c r="CO2" s="70">
        <v>89</v>
      </c>
      <c r="CP2" s="70">
        <v>90</v>
      </c>
      <c r="CQ2" s="70">
        <v>91</v>
      </c>
      <c r="CR2" s="70">
        <v>92</v>
      </c>
      <c r="CS2" s="70">
        <v>93</v>
      </c>
      <c r="CT2" s="70">
        <v>94</v>
      </c>
      <c r="CU2" s="70">
        <v>95</v>
      </c>
      <c r="CV2" s="70">
        <v>96</v>
      </c>
      <c r="CW2" s="70">
        <v>97</v>
      </c>
      <c r="CX2" s="70">
        <v>98</v>
      </c>
      <c r="CY2" s="70">
        <v>99</v>
      </c>
      <c r="CZ2" s="70">
        <v>100</v>
      </c>
      <c r="DA2" s="70">
        <v>101</v>
      </c>
      <c r="DB2" s="70">
        <v>102</v>
      </c>
      <c r="DC2" s="70">
        <v>103</v>
      </c>
      <c r="DD2" s="70">
        <v>104</v>
      </c>
      <c r="DE2" s="70">
        <v>105</v>
      </c>
      <c r="DF2" s="70">
        <v>106</v>
      </c>
      <c r="DG2" s="70">
        <v>107</v>
      </c>
      <c r="DH2" s="70">
        <v>108</v>
      </c>
      <c r="DI2" s="70">
        <v>109</v>
      </c>
      <c r="DJ2" s="70">
        <v>110</v>
      </c>
      <c r="DK2" s="70">
        <v>111</v>
      </c>
      <c r="DL2" s="70">
        <v>112</v>
      </c>
      <c r="DM2" s="70">
        <v>113</v>
      </c>
      <c r="DN2" s="70">
        <v>114</v>
      </c>
      <c r="DO2" s="70">
        <v>115</v>
      </c>
      <c r="DP2" s="70">
        <v>116</v>
      </c>
      <c r="DQ2" s="70">
        <v>117</v>
      </c>
      <c r="DR2" s="70">
        <v>118</v>
      </c>
      <c r="DS2" s="70">
        <v>119</v>
      </c>
      <c r="DT2" s="70">
        <v>120</v>
      </c>
      <c r="DU2" s="71">
        <v>121</v>
      </c>
    </row>
    <row r="3" spans="1:125" ht="3.3" customHeight="1" x14ac:dyDescent="0.4">
      <c r="B3" s="39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3"/>
    </row>
    <row r="4" spans="1:125" x14ac:dyDescent="0.4">
      <c r="A4" s="1" t="s">
        <v>36</v>
      </c>
      <c r="B4" s="74" t="s">
        <v>10</v>
      </c>
      <c r="DU4" s="42"/>
    </row>
    <row r="5" spans="1:125" x14ac:dyDescent="0.4">
      <c r="B5" s="74"/>
      <c r="C5" s="75" t="s">
        <v>16</v>
      </c>
      <c r="D5" s="21">
        <f>-Assumptions!K6*Assumptions!K7+-Assumptions!L6*Assumptions!L7</f>
        <v>-14740000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76"/>
    </row>
    <row r="6" spans="1:125" x14ac:dyDescent="0.4">
      <c r="B6" s="74"/>
      <c r="C6" s="75" t="s">
        <v>17</v>
      </c>
      <c r="D6" s="62"/>
      <c r="E6" s="62"/>
      <c r="F6" s="62"/>
      <c r="G6" s="62"/>
      <c r="H6" s="62"/>
      <c r="I6" s="62"/>
      <c r="J6" s="62"/>
      <c r="K6" s="107">
        <f>SUM(K7:K8)</f>
        <v>0</v>
      </c>
      <c r="L6" s="62"/>
      <c r="M6" s="62"/>
      <c r="N6" s="62"/>
      <c r="O6" s="62"/>
      <c r="P6" s="62"/>
      <c r="Q6" s="107">
        <f>SUM(Q7:Q8)</f>
        <v>0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174">
        <f>SUM(AC7:AC8)</f>
        <v>0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174">
        <f>SUM(AO7:AO8)</f>
        <v>0</v>
      </c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76"/>
    </row>
    <row r="7" spans="1:125" x14ac:dyDescent="0.4">
      <c r="B7" s="151">
        <f>Assumptions!K6/SUM(Assumptions!K6:L6)</f>
        <v>0.89552238805970152</v>
      </c>
      <c r="C7" s="55" t="s">
        <v>60</v>
      </c>
      <c r="D7" s="62"/>
      <c r="E7" s="62"/>
      <c r="F7" s="62"/>
      <c r="G7" s="62"/>
      <c r="H7" s="62"/>
      <c r="I7" s="62"/>
      <c r="J7" s="62"/>
      <c r="K7" s="62">
        <f>IF(Assumptions!K15&gt;Assumptions!K13,0,-Assumptions!K6*Assumptions!K9)</f>
        <v>0</v>
      </c>
      <c r="L7" s="62"/>
      <c r="M7" s="62"/>
      <c r="N7" s="62"/>
      <c r="O7" s="62"/>
      <c r="P7" s="62"/>
      <c r="Q7" s="58">
        <f>IF(Assumptions!K16&gt;Assumptions!K13,0,-Assumptions!K6*Assumptions!K10)</f>
        <v>0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58">
        <f>IF(Assumptions!K17&gt;Assumptions!K13,0,-Assumptions!K6*Assumptions!K11)</f>
        <v>0</v>
      </c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58">
        <f>IF(Assumptions!K18&gt;Assumptions!K13,0,-Assumptions!K6*Assumptions!K12)</f>
        <v>0</v>
      </c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76"/>
    </row>
    <row r="8" spans="1:125" x14ac:dyDescent="0.4">
      <c r="B8" s="151">
        <f>1-B7</f>
        <v>0.10447761194029848</v>
      </c>
      <c r="C8" s="55" t="s">
        <v>61</v>
      </c>
      <c r="D8" s="62"/>
      <c r="E8" s="62"/>
      <c r="F8" s="62"/>
      <c r="G8" s="62"/>
      <c r="H8" s="62"/>
      <c r="I8" s="62"/>
      <c r="J8" s="62"/>
      <c r="K8" s="62">
        <f>+IF(Assumptions!L15&gt;Assumptions!L13,0,-Assumptions!L6*Assumptions!L9)</f>
        <v>0</v>
      </c>
      <c r="L8" s="62"/>
      <c r="M8" s="62"/>
      <c r="N8" s="62"/>
      <c r="O8" s="62"/>
      <c r="P8" s="62"/>
      <c r="Q8" s="58">
        <f>+IF(Assumptions!L16&gt;Assumptions!L13,0,-Assumptions!L6*Assumptions!L10)</f>
        <v>0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58">
        <f>IF(Assumptions!L17&gt;Assumptions!L13,0,-Assumptions!L6*Assumptions!L11)</f>
        <v>0</v>
      </c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58">
        <f>+IF(Assumptions!L18&gt;Assumptions!L13,0,-Assumptions!L6*Assumptions!L12)</f>
        <v>0</v>
      </c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76"/>
    </row>
    <row r="9" spans="1:125" x14ac:dyDescent="0.4">
      <c r="B9" s="39"/>
      <c r="C9" s="77" t="s">
        <v>72</v>
      </c>
      <c r="D9" s="59">
        <f>-Assumptions!K28-Assumptions!L28</f>
        <v>-100000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DU9" s="42"/>
    </row>
    <row r="10" spans="1:125" x14ac:dyDescent="0.4">
      <c r="A10" s="1" t="s">
        <v>36</v>
      </c>
      <c r="B10" s="78" t="s">
        <v>33</v>
      </c>
      <c r="C10" s="6"/>
      <c r="D10" s="66">
        <f>SUM(D5:D9)</f>
        <v>-14840000</v>
      </c>
      <c r="E10" s="7">
        <f t="shared" ref="E10:P10" si="0">E6+E5+E9</f>
        <v>0</v>
      </c>
      <c r="F10" s="7">
        <f t="shared" si="0"/>
        <v>0</v>
      </c>
      <c r="G10" s="7">
        <f t="shared" si="0"/>
        <v>0</v>
      </c>
      <c r="H10" s="7">
        <f t="shared" si="0"/>
        <v>0</v>
      </c>
      <c r="I10" s="7">
        <f t="shared" si="0"/>
        <v>0</v>
      </c>
      <c r="J10" s="7">
        <f t="shared" si="0"/>
        <v>0</v>
      </c>
      <c r="K10" s="7">
        <f t="shared" si="0"/>
        <v>0</v>
      </c>
      <c r="L10" s="7">
        <f t="shared" si="0"/>
        <v>0</v>
      </c>
      <c r="M10" s="7">
        <f t="shared" si="0"/>
        <v>0</v>
      </c>
      <c r="N10" s="7">
        <f t="shared" si="0"/>
        <v>0</v>
      </c>
      <c r="O10" s="7">
        <f t="shared" si="0"/>
        <v>0</v>
      </c>
      <c r="P10" s="7">
        <f t="shared" si="0"/>
        <v>0</v>
      </c>
      <c r="Q10" s="7">
        <f>Q6+Q5+Q9</f>
        <v>0</v>
      </c>
      <c r="R10" s="7">
        <f t="shared" ref="R10:CC10" si="1">R6+R5+R9</f>
        <v>0</v>
      </c>
      <c r="S10" s="7">
        <f t="shared" si="1"/>
        <v>0</v>
      </c>
      <c r="T10" s="7">
        <f t="shared" si="1"/>
        <v>0</v>
      </c>
      <c r="U10" s="7">
        <f t="shared" si="1"/>
        <v>0</v>
      </c>
      <c r="V10" s="7">
        <f t="shared" si="1"/>
        <v>0</v>
      </c>
      <c r="W10" s="7">
        <f t="shared" si="1"/>
        <v>0</v>
      </c>
      <c r="X10" s="7">
        <f t="shared" si="1"/>
        <v>0</v>
      </c>
      <c r="Y10" s="7">
        <f t="shared" si="1"/>
        <v>0</v>
      </c>
      <c r="Z10" s="7">
        <f t="shared" si="1"/>
        <v>0</v>
      </c>
      <c r="AA10" s="7">
        <f t="shared" si="1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0</v>
      </c>
      <c r="AF10" s="7">
        <f t="shared" si="1"/>
        <v>0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0</v>
      </c>
      <c r="AL10" s="7">
        <f t="shared" si="1"/>
        <v>0</v>
      </c>
      <c r="AM10" s="7">
        <f t="shared" si="1"/>
        <v>0</v>
      </c>
      <c r="AN10" s="7">
        <f t="shared" si="1"/>
        <v>0</v>
      </c>
      <c r="AO10" s="7">
        <f t="shared" si="1"/>
        <v>0</v>
      </c>
      <c r="AP10" s="7">
        <f t="shared" si="1"/>
        <v>0</v>
      </c>
      <c r="AQ10" s="7">
        <f t="shared" si="1"/>
        <v>0</v>
      </c>
      <c r="AR10" s="7">
        <f t="shared" si="1"/>
        <v>0</v>
      </c>
      <c r="AS10" s="7">
        <f t="shared" si="1"/>
        <v>0</v>
      </c>
      <c r="AT10" s="7">
        <f t="shared" si="1"/>
        <v>0</v>
      </c>
      <c r="AU10" s="7">
        <f t="shared" si="1"/>
        <v>0</v>
      </c>
      <c r="AV10" s="7">
        <f t="shared" si="1"/>
        <v>0</v>
      </c>
      <c r="AW10" s="7">
        <f t="shared" si="1"/>
        <v>0</v>
      </c>
      <c r="AX10" s="7">
        <f t="shared" si="1"/>
        <v>0</v>
      </c>
      <c r="AY10" s="7">
        <f t="shared" si="1"/>
        <v>0</v>
      </c>
      <c r="AZ10" s="7">
        <f t="shared" si="1"/>
        <v>0</v>
      </c>
      <c r="BA10" s="7">
        <f t="shared" si="1"/>
        <v>0</v>
      </c>
      <c r="BB10" s="7">
        <f t="shared" si="1"/>
        <v>0</v>
      </c>
      <c r="BC10" s="7">
        <f t="shared" si="1"/>
        <v>0</v>
      </c>
      <c r="BD10" s="7">
        <f t="shared" si="1"/>
        <v>0</v>
      </c>
      <c r="BE10" s="7">
        <f t="shared" si="1"/>
        <v>0</v>
      </c>
      <c r="BF10" s="7">
        <f t="shared" si="1"/>
        <v>0</v>
      </c>
      <c r="BG10" s="7">
        <f t="shared" si="1"/>
        <v>0</v>
      </c>
      <c r="BH10" s="7">
        <f t="shared" si="1"/>
        <v>0</v>
      </c>
      <c r="BI10" s="7">
        <f t="shared" si="1"/>
        <v>0</v>
      </c>
      <c r="BJ10" s="7">
        <f t="shared" si="1"/>
        <v>0</v>
      </c>
      <c r="BK10" s="7">
        <f t="shared" si="1"/>
        <v>0</v>
      </c>
      <c r="BL10" s="7">
        <f t="shared" si="1"/>
        <v>0</v>
      </c>
      <c r="BM10" s="7">
        <f t="shared" si="1"/>
        <v>0</v>
      </c>
      <c r="BN10" s="7">
        <f t="shared" si="1"/>
        <v>0</v>
      </c>
      <c r="BO10" s="7">
        <f t="shared" si="1"/>
        <v>0</v>
      </c>
      <c r="BP10" s="7">
        <f t="shared" si="1"/>
        <v>0</v>
      </c>
      <c r="BQ10" s="7">
        <f t="shared" si="1"/>
        <v>0</v>
      </c>
      <c r="BR10" s="7">
        <f t="shared" si="1"/>
        <v>0</v>
      </c>
      <c r="BS10" s="7">
        <f t="shared" si="1"/>
        <v>0</v>
      </c>
      <c r="BT10" s="7">
        <f t="shared" si="1"/>
        <v>0</v>
      </c>
      <c r="BU10" s="7">
        <f t="shared" si="1"/>
        <v>0</v>
      </c>
      <c r="BV10" s="7">
        <f t="shared" si="1"/>
        <v>0</v>
      </c>
      <c r="BW10" s="7">
        <f t="shared" si="1"/>
        <v>0</v>
      </c>
      <c r="BX10" s="7">
        <f t="shared" si="1"/>
        <v>0</v>
      </c>
      <c r="BY10" s="7">
        <f t="shared" si="1"/>
        <v>0</v>
      </c>
      <c r="BZ10" s="7">
        <f t="shared" si="1"/>
        <v>0</v>
      </c>
      <c r="CA10" s="7">
        <f t="shared" si="1"/>
        <v>0</v>
      </c>
      <c r="CB10" s="7">
        <f t="shared" si="1"/>
        <v>0</v>
      </c>
      <c r="CC10" s="7">
        <f t="shared" si="1"/>
        <v>0</v>
      </c>
      <c r="CD10" s="7">
        <f t="shared" ref="CD10:DU10" si="2">CD6+CD5+CD9</f>
        <v>0</v>
      </c>
      <c r="CE10" s="7">
        <f t="shared" si="2"/>
        <v>0</v>
      </c>
      <c r="CF10" s="7">
        <f t="shared" si="2"/>
        <v>0</v>
      </c>
      <c r="CG10" s="7">
        <f t="shared" si="2"/>
        <v>0</v>
      </c>
      <c r="CH10" s="7">
        <f t="shared" si="2"/>
        <v>0</v>
      </c>
      <c r="CI10" s="7">
        <f t="shared" si="2"/>
        <v>0</v>
      </c>
      <c r="CJ10" s="7">
        <f t="shared" si="2"/>
        <v>0</v>
      </c>
      <c r="CK10" s="7">
        <f t="shared" si="2"/>
        <v>0</v>
      </c>
      <c r="CL10" s="7">
        <f t="shared" si="2"/>
        <v>0</v>
      </c>
      <c r="CM10" s="7">
        <f t="shared" si="2"/>
        <v>0</v>
      </c>
      <c r="CN10" s="7">
        <f t="shared" si="2"/>
        <v>0</v>
      </c>
      <c r="CO10" s="7">
        <f t="shared" si="2"/>
        <v>0</v>
      </c>
      <c r="CP10" s="7">
        <f t="shared" si="2"/>
        <v>0</v>
      </c>
      <c r="CQ10" s="7">
        <f t="shared" si="2"/>
        <v>0</v>
      </c>
      <c r="CR10" s="7">
        <f t="shared" si="2"/>
        <v>0</v>
      </c>
      <c r="CS10" s="7">
        <f t="shared" si="2"/>
        <v>0</v>
      </c>
      <c r="CT10" s="7">
        <f t="shared" si="2"/>
        <v>0</v>
      </c>
      <c r="CU10" s="7">
        <f t="shared" si="2"/>
        <v>0</v>
      </c>
      <c r="CV10" s="7">
        <f t="shared" si="2"/>
        <v>0</v>
      </c>
      <c r="CW10" s="7">
        <f t="shared" si="2"/>
        <v>0</v>
      </c>
      <c r="CX10" s="7">
        <f t="shared" si="2"/>
        <v>0</v>
      </c>
      <c r="CY10" s="7">
        <f t="shared" si="2"/>
        <v>0</v>
      </c>
      <c r="CZ10" s="7">
        <f t="shared" si="2"/>
        <v>0</v>
      </c>
      <c r="DA10" s="7">
        <f t="shared" si="2"/>
        <v>0</v>
      </c>
      <c r="DB10" s="7">
        <f t="shared" si="2"/>
        <v>0</v>
      </c>
      <c r="DC10" s="7">
        <f t="shared" si="2"/>
        <v>0</v>
      </c>
      <c r="DD10" s="7">
        <f t="shared" si="2"/>
        <v>0</v>
      </c>
      <c r="DE10" s="7">
        <f t="shared" si="2"/>
        <v>0</v>
      </c>
      <c r="DF10" s="7">
        <f t="shared" si="2"/>
        <v>0</v>
      </c>
      <c r="DG10" s="7">
        <f t="shared" si="2"/>
        <v>0</v>
      </c>
      <c r="DH10" s="7">
        <f t="shared" si="2"/>
        <v>0</v>
      </c>
      <c r="DI10" s="7">
        <f t="shared" si="2"/>
        <v>0</v>
      </c>
      <c r="DJ10" s="7">
        <f t="shared" si="2"/>
        <v>0</v>
      </c>
      <c r="DK10" s="7">
        <f t="shared" si="2"/>
        <v>0</v>
      </c>
      <c r="DL10" s="7">
        <f t="shared" si="2"/>
        <v>0</v>
      </c>
      <c r="DM10" s="7">
        <f t="shared" si="2"/>
        <v>0</v>
      </c>
      <c r="DN10" s="7">
        <f t="shared" si="2"/>
        <v>0</v>
      </c>
      <c r="DO10" s="7">
        <f t="shared" si="2"/>
        <v>0</v>
      </c>
      <c r="DP10" s="7">
        <f t="shared" si="2"/>
        <v>0</v>
      </c>
      <c r="DQ10" s="7">
        <f t="shared" si="2"/>
        <v>0</v>
      </c>
      <c r="DR10" s="7">
        <f t="shared" si="2"/>
        <v>0</v>
      </c>
      <c r="DS10" s="7">
        <f t="shared" si="2"/>
        <v>0</v>
      </c>
      <c r="DT10" s="7">
        <f t="shared" si="2"/>
        <v>0</v>
      </c>
      <c r="DU10" s="79">
        <f t="shared" si="2"/>
        <v>0</v>
      </c>
    </row>
    <row r="11" spans="1:125" x14ac:dyDescent="0.4">
      <c r="B11" s="39"/>
      <c r="C11" s="77"/>
      <c r="D11" s="80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DU11" s="42"/>
    </row>
    <row r="12" spans="1:125" x14ac:dyDescent="0.4">
      <c r="B12" s="81" t="s">
        <v>11</v>
      </c>
      <c r="C12" s="82"/>
      <c r="D12" s="8"/>
      <c r="E12" s="83"/>
      <c r="F12" s="83"/>
      <c r="G12" s="83"/>
      <c r="H12" s="84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85"/>
    </row>
    <row r="13" spans="1:125" x14ac:dyDescent="0.4">
      <c r="B13" s="39"/>
      <c r="C13" s="75" t="s">
        <v>12</v>
      </c>
      <c r="D13" s="62"/>
      <c r="E13" s="86">
        <f>SUM(E14:E15)</f>
        <v>670000</v>
      </c>
      <c r="F13" s="86">
        <f t="shared" ref="F13:BQ13" si="3">SUM(F14:F15)</f>
        <v>663233</v>
      </c>
      <c r="G13" s="86">
        <f t="shared" si="3"/>
        <v>656534.34669999999</v>
      </c>
      <c r="H13" s="86">
        <f t="shared" si="3"/>
        <v>649903.34979832999</v>
      </c>
      <c r="I13" s="86">
        <f t="shared" si="3"/>
        <v>643339.32596536691</v>
      </c>
      <c r="J13" s="86">
        <f t="shared" si="3"/>
        <v>636841.5987731166</v>
      </c>
      <c r="K13" s="86">
        <f t="shared" si="3"/>
        <v>630409.49862550816</v>
      </c>
      <c r="L13" s="86">
        <f t="shared" si="3"/>
        <v>624042.36268939055</v>
      </c>
      <c r="M13" s="86">
        <f t="shared" si="3"/>
        <v>617739.5348262277</v>
      </c>
      <c r="N13" s="86">
        <f t="shared" si="3"/>
        <v>611500.3655244828</v>
      </c>
      <c r="O13" s="86">
        <f t="shared" si="3"/>
        <v>605324.21183268563</v>
      </c>
      <c r="P13" s="86">
        <f t="shared" si="3"/>
        <v>599210.43729317549</v>
      </c>
      <c r="Q13" s="86">
        <f t="shared" si="3"/>
        <v>593158.41187651444</v>
      </c>
      <c r="R13" s="86">
        <f t="shared" si="3"/>
        <v>587167.51191656152</v>
      </c>
      <c r="S13" s="86">
        <f t="shared" si="3"/>
        <v>581237.12004620431</v>
      </c>
      <c r="T13" s="86">
        <f t="shared" si="3"/>
        <v>575366.62513373757</v>
      </c>
      <c r="U13" s="86">
        <f t="shared" si="3"/>
        <v>569555.42221988679</v>
      </c>
      <c r="V13" s="86">
        <f t="shared" si="3"/>
        <v>563802.91245546599</v>
      </c>
      <c r="W13" s="86">
        <f t="shared" si="3"/>
        <v>558108.50303966575</v>
      </c>
      <c r="X13" s="86">
        <f t="shared" si="3"/>
        <v>552471.6071589652</v>
      </c>
      <c r="Y13" s="86">
        <f t="shared" si="3"/>
        <v>546891.6439266596</v>
      </c>
      <c r="Z13" s="86">
        <f t="shared" si="3"/>
        <v>541368.03832300042</v>
      </c>
      <c r="AA13" s="86">
        <f t="shared" si="3"/>
        <v>535900.22113593807</v>
      </c>
      <c r="AB13" s="86">
        <f t="shared" si="3"/>
        <v>530487.62890246511</v>
      </c>
      <c r="AC13" s="86">
        <f t="shared" si="3"/>
        <v>525129.70385055023</v>
      </c>
      <c r="AD13" s="86">
        <f t="shared" si="3"/>
        <v>519825.89384165965</v>
      </c>
      <c r="AE13" s="86">
        <f t="shared" si="3"/>
        <v>514575.65231385885</v>
      </c>
      <c r="AF13" s="86">
        <f t="shared" si="3"/>
        <v>509378.43822548888</v>
      </c>
      <c r="AG13" s="86">
        <f t="shared" si="3"/>
        <v>504233.71599941142</v>
      </c>
      <c r="AH13" s="86">
        <f t="shared" si="3"/>
        <v>499140.95546781737</v>
      </c>
      <c r="AI13" s="86">
        <f t="shared" si="3"/>
        <v>494099.63181759242</v>
      </c>
      <c r="AJ13" s="86">
        <f t="shared" si="3"/>
        <v>489109.22553623474</v>
      </c>
      <c r="AK13" s="86">
        <f t="shared" si="3"/>
        <v>484169.2223583188</v>
      </c>
      <c r="AL13" s="86">
        <f t="shared" si="3"/>
        <v>479279.11321249977</v>
      </c>
      <c r="AM13" s="86">
        <f t="shared" si="3"/>
        <v>474438.39416905353</v>
      </c>
      <c r="AN13" s="86">
        <f t="shared" si="3"/>
        <v>469646.56638794614</v>
      </c>
      <c r="AO13" s="86">
        <f t="shared" si="3"/>
        <v>464903.13606742787</v>
      </c>
      <c r="AP13" s="86">
        <f t="shared" si="3"/>
        <v>460207.61439314683</v>
      </c>
      <c r="AQ13" s="86">
        <f t="shared" si="3"/>
        <v>455559.51748777606</v>
      </c>
      <c r="AR13" s="86">
        <f t="shared" si="3"/>
        <v>450958.36636114953</v>
      </c>
      <c r="AS13" s="86">
        <f t="shared" si="3"/>
        <v>446403.68686090194</v>
      </c>
      <c r="AT13" s="86">
        <f t="shared" si="3"/>
        <v>441895.00962360681</v>
      </c>
      <c r="AU13" s="86">
        <f t="shared" si="3"/>
        <v>437431.8700264084</v>
      </c>
      <c r="AV13" s="86">
        <f t="shared" si="3"/>
        <v>433013.80813914171</v>
      </c>
      <c r="AW13" s="86">
        <f t="shared" si="3"/>
        <v>428640.36867693637</v>
      </c>
      <c r="AX13" s="86">
        <f t="shared" si="3"/>
        <v>424311.10095329926</v>
      </c>
      <c r="AY13" s="86">
        <f t="shared" si="3"/>
        <v>420025.55883367098</v>
      </c>
      <c r="AZ13" s="86">
        <f t="shared" si="3"/>
        <v>415783.30068945087</v>
      </c>
      <c r="BA13" s="86">
        <f t="shared" si="3"/>
        <v>411583.8893524874</v>
      </c>
      <c r="BB13" s="86">
        <f t="shared" si="3"/>
        <v>407426.8920700273</v>
      </c>
      <c r="BC13" s="86">
        <f t="shared" si="3"/>
        <v>403311.88046012004</v>
      </c>
      <c r="BD13" s="86">
        <f t="shared" si="3"/>
        <v>399238.43046747282</v>
      </c>
      <c r="BE13" s="86">
        <f t="shared" si="3"/>
        <v>395206.12231975136</v>
      </c>
      <c r="BF13" s="86">
        <f t="shared" si="3"/>
        <v>391214.54048432189</v>
      </c>
      <c r="BG13" s="86">
        <f t="shared" si="3"/>
        <v>387263.27362543024</v>
      </c>
      <c r="BH13" s="86">
        <f t="shared" si="3"/>
        <v>383351.91456181341</v>
      </c>
      <c r="BI13" s="86">
        <f t="shared" si="3"/>
        <v>379480.06022473914</v>
      </c>
      <c r="BJ13" s="86">
        <f t="shared" si="3"/>
        <v>375647.31161646929</v>
      </c>
      <c r="BK13" s="86">
        <f t="shared" si="3"/>
        <v>371853.27376914292</v>
      </c>
      <c r="BL13" s="86">
        <f t="shared" si="3"/>
        <v>368097.55570407456</v>
      </c>
      <c r="BM13" s="86">
        <f t="shared" si="3"/>
        <v>364379.77039146348</v>
      </c>
      <c r="BN13" s="86">
        <f t="shared" si="3"/>
        <v>360699.5347105097</v>
      </c>
      <c r="BO13" s="86">
        <f t="shared" si="3"/>
        <v>357056.46940993355</v>
      </c>
      <c r="BP13" s="86">
        <f t="shared" si="3"/>
        <v>353450.19906889315</v>
      </c>
      <c r="BQ13" s="86">
        <f t="shared" si="3"/>
        <v>349880.35205829737</v>
      </c>
      <c r="BR13" s="86">
        <f t="shared" ref="BR13:DT13" si="4">SUM(BR14:BR15)</f>
        <v>346346.56050250854</v>
      </c>
      <c r="BS13" s="86">
        <f t="shared" si="4"/>
        <v>342848.46024143317</v>
      </c>
      <c r="BT13" s="86">
        <f t="shared" si="4"/>
        <v>339385.69079299469</v>
      </c>
      <c r="BU13" s="86">
        <f t="shared" si="4"/>
        <v>335957.89531598543</v>
      </c>
      <c r="BV13" s="86">
        <f t="shared" si="4"/>
        <v>332564.72057329398</v>
      </c>
      <c r="BW13" s="86">
        <f t="shared" si="4"/>
        <v>329205.81689550373</v>
      </c>
      <c r="BX13" s="86">
        <f t="shared" si="4"/>
        <v>325880.83814485912</v>
      </c>
      <c r="BY13" s="86">
        <f t="shared" si="4"/>
        <v>322589.44167959603</v>
      </c>
      <c r="BZ13" s="86">
        <f t="shared" si="4"/>
        <v>319331.28831863217</v>
      </c>
      <c r="CA13" s="86">
        <f t="shared" si="4"/>
        <v>316106.04230661393</v>
      </c>
      <c r="CB13" s="86">
        <f t="shared" si="4"/>
        <v>312913.37127931713</v>
      </c>
      <c r="CC13" s="86">
        <f t="shared" si="4"/>
        <v>309752.94622939604</v>
      </c>
      <c r="CD13" s="86">
        <f t="shared" si="4"/>
        <v>306624.44147247908</v>
      </c>
      <c r="CE13" s="86">
        <f t="shared" si="4"/>
        <v>303527.53461360704</v>
      </c>
      <c r="CF13" s="86">
        <f t="shared" si="4"/>
        <v>300461.90651400964</v>
      </c>
      <c r="CG13" s="86">
        <f t="shared" si="4"/>
        <v>297427.24125821819</v>
      </c>
      <c r="CH13" s="86">
        <f t="shared" si="4"/>
        <v>294423.22612151015</v>
      </c>
      <c r="CI13" s="86">
        <f t="shared" si="4"/>
        <v>291449.55153768288</v>
      </c>
      <c r="CJ13" s="86">
        <f t="shared" si="4"/>
        <v>288505.91106715228</v>
      </c>
      <c r="CK13" s="86">
        <f t="shared" si="4"/>
        <v>285592.00136537408</v>
      </c>
      <c r="CL13" s="86">
        <f t="shared" si="4"/>
        <v>282707.52215158381</v>
      </c>
      <c r="CM13" s="86">
        <f t="shared" si="4"/>
        <v>279852.17617785279</v>
      </c>
      <c r="CN13" s="86">
        <f t="shared" si="4"/>
        <v>277025.66919845651</v>
      </c>
      <c r="CO13" s="86">
        <f t="shared" si="4"/>
        <v>274227.70993955206</v>
      </c>
      <c r="CP13" s="86">
        <f t="shared" si="4"/>
        <v>271458.01006916258</v>
      </c>
      <c r="CQ13" s="86">
        <f t="shared" si="4"/>
        <v>268716.28416746407</v>
      </c>
      <c r="CR13" s="86">
        <f t="shared" si="4"/>
        <v>266002.24969737267</v>
      </c>
      <c r="CS13" s="86">
        <f t="shared" si="4"/>
        <v>263315.62697542924</v>
      </c>
      <c r="CT13" s="86">
        <f t="shared" si="4"/>
        <v>260656.13914297739</v>
      </c>
      <c r="CU13" s="86">
        <f t="shared" si="4"/>
        <v>258023.51213763334</v>
      </c>
      <c r="CV13" s="86">
        <f t="shared" si="4"/>
        <v>255417.47466504324</v>
      </c>
      <c r="CW13" s="86">
        <f t="shared" si="4"/>
        <v>252837.75817092627</v>
      </c>
      <c r="CX13" s="86">
        <f t="shared" si="4"/>
        <v>250284.09681339993</v>
      </c>
      <c r="CY13" s="86">
        <f t="shared" si="4"/>
        <v>247756.22743558459</v>
      </c>
      <c r="CZ13" s="86">
        <f t="shared" si="4"/>
        <v>245253.88953848518</v>
      </c>
      <c r="DA13" s="86">
        <f t="shared" si="4"/>
        <v>242776.82525414648</v>
      </c>
      <c r="DB13" s="86">
        <f t="shared" si="4"/>
        <v>240324.77931907959</v>
      </c>
      <c r="DC13" s="86">
        <f t="shared" si="4"/>
        <v>237897.4990479569</v>
      </c>
      <c r="DD13" s="86">
        <f t="shared" si="4"/>
        <v>235494.73430757254</v>
      </c>
      <c r="DE13" s="86">
        <f t="shared" si="4"/>
        <v>233116.23749106607</v>
      </c>
      <c r="DF13" s="86">
        <f t="shared" si="4"/>
        <v>230761.76349240632</v>
      </c>
      <c r="DG13" s="86">
        <f t="shared" si="4"/>
        <v>228431.069681133</v>
      </c>
      <c r="DH13" s="86">
        <f t="shared" si="4"/>
        <v>226123.91587735355</v>
      </c>
      <c r="DI13" s="86">
        <f t="shared" si="4"/>
        <v>223840.06432699229</v>
      </c>
      <c r="DJ13" s="86">
        <f t="shared" si="4"/>
        <v>221579.27967728965</v>
      </c>
      <c r="DK13" s="86">
        <f t="shared" si="4"/>
        <v>219341.32895254903</v>
      </c>
      <c r="DL13" s="86">
        <f t="shared" si="4"/>
        <v>217125.98153012828</v>
      </c>
      <c r="DM13" s="86">
        <f t="shared" si="4"/>
        <v>214933.00911667402</v>
      </c>
      <c r="DN13" s="86">
        <f t="shared" si="4"/>
        <v>212762.18572459559</v>
      </c>
      <c r="DO13" s="86">
        <f t="shared" si="4"/>
        <v>210613.28764877719</v>
      </c>
      <c r="DP13" s="86">
        <f t="shared" si="4"/>
        <v>208486.09344352453</v>
      </c>
      <c r="DQ13" s="86">
        <f t="shared" si="4"/>
        <v>206380.38389974492</v>
      </c>
      <c r="DR13" s="86">
        <f t="shared" si="4"/>
        <v>204295.94202235751</v>
      </c>
      <c r="DS13" s="86">
        <f t="shared" si="4"/>
        <v>202232.55300793171</v>
      </c>
      <c r="DT13" s="86">
        <f t="shared" si="4"/>
        <v>200190.00422255159</v>
      </c>
      <c r="DU13" s="76"/>
    </row>
    <row r="14" spans="1:125" x14ac:dyDescent="0.4">
      <c r="B14" s="39"/>
      <c r="C14" s="55" t="s">
        <v>60</v>
      </c>
      <c r="D14" s="62"/>
      <c r="E14" s="87">
        <f>Assumptions!K6</f>
        <v>600000</v>
      </c>
      <c r="F14" s="59">
        <f>E14*(1-Assumptions!$K$16)</f>
        <v>593940</v>
      </c>
      <c r="G14" s="59">
        <f>F14*(1-Assumptions!$K$16)</f>
        <v>587941.20600000001</v>
      </c>
      <c r="H14" s="59">
        <f>G14*(1-Assumptions!$K$16)</f>
        <v>582002.99981940002</v>
      </c>
      <c r="I14" s="59">
        <f>H14*(1-Assumptions!$K$16)</f>
        <v>576124.76952122408</v>
      </c>
      <c r="J14" s="59">
        <f>I14*(1-Assumptions!$K$16)</f>
        <v>570305.90934905969</v>
      </c>
      <c r="K14" s="59">
        <f>J14*(1-Assumptions!$K$16)</f>
        <v>564545.81966463418</v>
      </c>
      <c r="L14" s="59">
        <f>K14*(1-Assumptions!$K$16)</f>
        <v>558843.90688602137</v>
      </c>
      <c r="M14" s="59">
        <f>L14*(1-Assumptions!$K$16)</f>
        <v>553199.58342647261</v>
      </c>
      <c r="N14" s="59">
        <f>M14*(1-Assumptions!$K$16)</f>
        <v>547612.26763386524</v>
      </c>
      <c r="O14" s="59">
        <f>N14*(1-Assumptions!$K$16)</f>
        <v>542081.38373076322</v>
      </c>
      <c r="P14" s="59">
        <f>O14*(1-Assumptions!$K$16)</f>
        <v>536606.3617550825</v>
      </c>
      <c r="Q14" s="59">
        <f>P14*(1-Assumptions!$K$17)</f>
        <v>531186.63750135619</v>
      </c>
      <c r="R14" s="59">
        <f>Q14*(1-Assumptions!$K$17)</f>
        <v>525821.65246259246</v>
      </c>
      <c r="S14" s="59">
        <f>R14*(1-Assumptions!$K$17)</f>
        <v>520510.85377272026</v>
      </c>
      <c r="T14" s="59">
        <f>S14*(1-Assumptions!$K$17)</f>
        <v>515253.69414961577</v>
      </c>
      <c r="U14" s="59">
        <f>T14*(1-Assumptions!$K$17)</f>
        <v>510049.63183870463</v>
      </c>
      <c r="V14" s="59">
        <f>U14*(1-Assumptions!$K$17)</f>
        <v>504898.1305571337</v>
      </c>
      <c r="W14" s="59">
        <f>V14*(1-Assumptions!$K$17)</f>
        <v>499798.65943850664</v>
      </c>
      <c r="X14" s="59">
        <f>W14*(1-Assumptions!$K$17)</f>
        <v>494750.69297817774</v>
      </c>
      <c r="Y14" s="59">
        <f>X14*(1-Assumptions!$K$17)</f>
        <v>489753.71097909816</v>
      </c>
      <c r="Z14" s="59">
        <f>Y14*(1-Assumptions!$K$17)</f>
        <v>484807.1984982093</v>
      </c>
      <c r="AA14" s="59">
        <f>Z14*(1-Assumptions!$K$17)</f>
        <v>479910.64579337736</v>
      </c>
      <c r="AB14" s="59">
        <f>AA14*(1-Assumptions!$K$17)</f>
        <v>475063.54827086424</v>
      </c>
      <c r="AC14" s="59">
        <f>AB14*(1-Assumptions!$K$18)</f>
        <v>470265.40643332852</v>
      </c>
      <c r="AD14" s="59">
        <f>AC14*(1-Assumptions!$K$18)</f>
        <v>465515.72582835192</v>
      </c>
      <c r="AE14" s="59">
        <f>AD14*(1-Assumptions!$K$18)</f>
        <v>460814.01699748554</v>
      </c>
      <c r="AF14" s="59">
        <f>AE14*(1-Assumptions!$K$18)</f>
        <v>456159.79542581091</v>
      </c>
      <c r="AG14" s="59">
        <f>AF14*(1-Assumptions!$K$18)</f>
        <v>451552.58149201021</v>
      </c>
      <c r="AH14" s="59">
        <f>AG14*(1-Assumptions!$K$18)</f>
        <v>446991.90041894093</v>
      </c>
      <c r="AI14" s="59">
        <f>AH14*(1-Assumptions!$K$18)</f>
        <v>442477.28222470963</v>
      </c>
      <c r="AJ14" s="59">
        <f>AI14*(1-Assumptions!$K$18)</f>
        <v>438008.26167424006</v>
      </c>
      <c r="AK14" s="59">
        <f>AJ14*(1-Assumptions!$K$18)</f>
        <v>433584.37823133025</v>
      </c>
      <c r="AL14" s="59">
        <f>AK14*(1-Assumptions!$K$18)</f>
        <v>429205.17601119383</v>
      </c>
      <c r="AM14" s="59">
        <f>AL14*(1-Assumptions!$K$18)</f>
        <v>424870.20373348077</v>
      </c>
      <c r="AN14" s="59">
        <f>AM14*(1-Assumptions!$K$18)</f>
        <v>420579.01467577263</v>
      </c>
      <c r="AO14" s="59">
        <f>AN14*(1-Assumptions!$K$19)</f>
        <v>416331.16662754735</v>
      </c>
      <c r="AP14" s="59">
        <f>AO14*(1-Assumptions!$K$19)</f>
        <v>412126.22184460913</v>
      </c>
      <c r="AQ14" s="59">
        <f>AP14*(1-Assumptions!$K$19)</f>
        <v>407963.74700397858</v>
      </c>
      <c r="AR14" s="59">
        <f>AQ14*(1-Assumptions!$K$19)</f>
        <v>403843.31315923837</v>
      </c>
      <c r="AS14" s="59">
        <f>AR14*(1-Assumptions!$K$19)</f>
        <v>399764.49569633009</v>
      </c>
      <c r="AT14" s="59">
        <f>AS14*(1-Assumptions!$K$19)</f>
        <v>395726.87428979715</v>
      </c>
      <c r="AU14" s="59">
        <f>AT14*(1-Assumptions!$K$19)</f>
        <v>391730.03285947023</v>
      </c>
      <c r="AV14" s="59">
        <f>AU14*(1-Assumptions!$K$19)</f>
        <v>387773.55952758959</v>
      </c>
      <c r="AW14" s="59">
        <f>AV14*(1-Assumptions!$K$19)</f>
        <v>383857.04657636094</v>
      </c>
      <c r="AX14" s="59">
        <f>AW14*(1-Assumptions!$K$19)</f>
        <v>379980.09040593967</v>
      </c>
      <c r="AY14" s="59">
        <f>AX14*(1-Assumptions!$K$19)</f>
        <v>376142.29149283969</v>
      </c>
      <c r="AZ14" s="59">
        <f>AY14*(1-Assumptions!$K$19)</f>
        <v>372343.25434876198</v>
      </c>
      <c r="BA14" s="59">
        <f>AZ14*(1-Assumptions!$K$19)</f>
        <v>368582.58747983951</v>
      </c>
      <c r="BB14" s="59">
        <f>BA14*(1-Assumptions!$K$19)</f>
        <v>364859.90334629314</v>
      </c>
      <c r="BC14" s="59">
        <f>BB14*(1-Assumptions!$K$19)</f>
        <v>361174.81832249556</v>
      </c>
      <c r="BD14" s="59">
        <f>BC14*(1-Assumptions!$K$19)</f>
        <v>357526.95265743835</v>
      </c>
      <c r="BE14" s="59">
        <f>BD14*(1-Assumptions!$K$19)</f>
        <v>353915.93043559825</v>
      </c>
      <c r="BF14" s="59">
        <f>BE14*(1-Assumptions!$K$19)</f>
        <v>350341.3795381987</v>
      </c>
      <c r="BG14" s="59">
        <f>BF14*(1-Assumptions!$K$19)</f>
        <v>346802.93160486291</v>
      </c>
      <c r="BH14" s="59">
        <f>BG14*(1-Assumptions!$K$19)</f>
        <v>343300.22199565382</v>
      </c>
      <c r="BI14" s="59">
        <f>BH14*(1-Assumptions!$K$19)</f>
        <v>339832.88975349773</v>
      </c>
      <c r="BJ14" s="59">
        <f>BI14*(1-Assumptions!$K$19)</f>
        <v>336400.57756698743</v>
      </c>
      <c r="BK14" s="59">
        <f>BJ14*(1-Assumptions!$K$19)</f>
        <v>333002.93173356086</v>
      </c>
      <c r="BL14" s="59">
        <f>BK14*(1-Assumptions!$K$19)</f>
        <v>329639.60212305188</v>
      </c>
      <c r="BM14" s="59">
        <f>BL14*(1-Assumptions!$K$19)</f>
        <v>326310.24214160908</v>
      </c>
      <c r="BN14" s="59">
        <f>BM14*(1-Assumptions!$K$19)</f>
        <v>323014.50869597885</v>
      </c>
      <c r="BO14" s="59">
        <f>BN14*(1-Assumptions!$K$19)</f>
        <v>319752.06215814943</v>
      </c>
      <c r="BP14" s="59">
        <f>BO14*(1-Assumptions!$K$19)</f>
        <v>316522.5663303521</v>
      </c>
      <c r="BQ14" s="59">
        <f>BP14*(1-Assumptions!$K$19)</f>
        <v>313325.68841041555</v>
      </c>
      <c r="BR14" s="59">
        <f>BQ14*(1-Assumptions!$K$19)</f>
        <v>310161.09895747033</v>
      </c>
      <c r="BS14" s="59">
        <f>BR14*(1-Assumptions!$K$19)</f>
        <v>307028.47185799986</v>
      </c>
      <c r="BT14" s="59">
        <f>BS14*(1-Assumptions!$K$19)</f>
        <v>303927.48429223406</v>
      </c>
      <c r="BU14" s="59">
        <f>BT14*(1-Assumptions!$K$19)</f>
        <v>300857.81670088251</v>
      </c>
      <c r="BV14" s="59">
        <f>BU14*(1-Assumptions!$K$19)</f>
        <v>297819.15275220358</v>
      </c>
      <c r="BW14" s="59">
        <f>BV14*(1-Assumptions!$K$19)</f>
        <v>294811.17930940632</v>
      </c>
      <c r="BX14" s="59">
        <f>BW14*(1-Assumptions!$K$19)</f>
        <v>291833.58639838133</v>
      </c>
      <c r="BY14" s="59">
        <f>BX14*(1-Assumptions!$K$19)</f>
        <v>288886.06717575766</v>
      </c>
      <c r="BZ14" s="59">
        <f>BY14*(1-Assumptions!$K$19)</f>
        <v>285968.31789728254</v>
      </c>
      <c r="CA14" s="59">
        <f>BZ14*(1-Assumptions!$K$19)</f>
        <v>283080.03788651997</v>
      </c>
      <c r="CB14" s="59">
        <f>CA14*(1-Assumptions!$K$19)</f>
        <v>280220.92950386612</v>
      </c>
      <c r="CC14" s="59">
        <f>CB14*(1-Assumptions!$K$19)</f>
        <v>277390.69811587705</v>
      </c>
      <c r="CD14" s="59">
        <f>CC14*(1-Assumptions!$K$19)</f>
        <v>274589.05206490669</v>
      </c>
      <c r="CE14" s="59">
        <f>CD14*(1-Assumptions!$K$19)</f>
        <v>271815.70263905113</v>
      </c>
      <c r="CF14" s="59">
        <f>CE14*(1-Assumptions!$K$19)</f>
        <v>269070.36404239672</v>
      </c>
      <c r="CG14" s="59">
        <f>CF14*(1-Assumptions!$K$19)</f>
        <v>266352.75336556853</v>
      </c>
      <c r="CH14" s="59">
        <f>CG14*(1-Assumptions!$K$19)</f>
        <v>263662.59055657627</v>
      </c>
      <c r="CI14" s="59">
        <f>CH14*(1-Assumptions!$K$19)</f>
        <v>260999.59839195485</v>
      </c>
      <c r="CJ14" s="59">
        <f>CI14*(1-Assumptions!$K$19)</f>
        <v>258363.50244819612</v>
      </c>
      <c r="CK14" s="59">
        <f>CJ14*(1-Assumptions!$K$19)</f>
        <v>255754.03107346935</v>
      </c>
      <c r="CL14" s="59">
        <f>CK14*(1-Assumptions!$K$19)</f>
        <v>253170.91535962731</v>
      </c>
      <c r="CM14" s="59">
        <f>CL14*(1-Assumptions!$K$19)</f>
        <v>250613.88911449508</v>
      </c>
      <c r="CN14" s="59">
        <f>CM14*(1-Assumptions!$K$19)</f>
        <v>248082.68883443868</v>
      </c>
      <c r="CO14" s="59">
        <f>CN14*(1-Assumptions!$K$19)</f>
        <v>245577.05367721085</v>
      </c>
      <c r="CP14" s="59">
        <f>CO14*(1-Assumptions!$K$19)</f>
        <v>243096.72543507101</v>
      </c>
      <c r="CQ14" s="59">
        <f>CP14*(1-Assumptions!$K$19)</f>
        <v>240641.44850817681</v>
      </c>
      <c r="CR14" s="59">
        <f>CQ14*(1-Assumptions!$K$19)</f>
        <v>238210.96987824421</v>
      </c>
      <c r="CS14" s="59">
        <f>CR14*(1-Assumptions!$K$19)</f>
        <v>235805.03908247396</v>
      </c>
      <c r="CT14" s="59">
        <f>CS14*(1-Assumptions!$K$19)</f>
        <v>233423.40818774098</v>
      </c>
      <c r="CU14" s="59">
        <f>CT14*(1-Assumptions!$K$19)</f>
        <v>231065.8317650448</v>
      </c>
      <c r="CV14" s="59">
        <f>CU14*(1-Assumptions!$K$19)</f>
        <v>228732.06686421784</v>
      </c>
      <c r="CW14" s="59">
        <f>CV14*(1-Assumptions!$K$19)</f>
        <v>226421.87298888923</v>
      </c>
      <c r="CX14" s="59">
        <f>CW14*(1-Assumptions!$K$19)</f>
        <v>224135.01207170144</v>
      </c>
      <c r="CY14" s="59">
        <f>CX14*(1-Assumptions!$K$19)</f>
        <v>221871.24844977725</v>
      </c>
      <c r="CZ14" s="59">
        <f>CY14*(1-Assumptions!$K$19)</f>
        <v>219630.34884043451</v>
      </c>
      <c r="DA14" s="59">
        <f>CZ14*(1-Assumptions!$K$19)</f>
        <v>217412.08231714612</v>
      </c>
      <c r="DB14" s="59">
        <f>DA14*(1-Assumptions!$K$19)</f>
        <v>215216.22028574295</v>
      </c>
      <c r="DC14" s="59">
        <f>DB14*(1-Assumptions!$K$19)</f>
        <v>213042.53646085694</v>
      </c>
      <c r="DD14" s="59">
        <f>DC14*(1-Assumptions!$K$19)</f>
        <v>210890.80684260229</v>
      </c>
      <c r="DE14" s="59">
        <f>DD14*(1-Assumptions!$K$19)</f>
        <v>208760.80969349202</v>
      </c>
      <c r="DF14" s="59">
        <f>DE14*(1-Assumptions!$K$19)</f>
        <v>206652.32551558776</v>
      </c>
      <c r="DG14" s="59">
        <f>DF14*(1-Assumptions!$K$19)</f>
        <v>204565.13702788032</v>
      </c>
      <c r="DH14" s="59">
        <f>DG14*(1-Assumptions!$K$19)</f>
        <v>202499.02914389872</v>
      </c>
      <c r="DI14" s="59">
        <f>DH14*(1-Assumptions!$K$19)</f>
        <v>200453.78894954536</v>
      </c>
      <c r="DJ14" s="59">
        <f>DI14*(1-Assumptions!$K$19)</f>
        <v>198429.20568115494</v>
      </c>
      <c r="DK14" s="59">
        <f>DJ14*(1-Assumptions!$K$19)</f>
        <v>196425.07070377527</v>
      </c>
      <c r="DL14" s="59">
        <f>DK14*(1-Assumptions!$K$19)</f>
        <v>194441.17748966714</v>
      </c>
      <c r="DM14" s="59">
        <f>DL14*(1-Assumptions!$K$19)</f>
        <v>192477.32159702151</v>
      </c>
      <c r="DN14" s="59">
        <f>DM14*(1-Assumptions!$K$19)</f>
        <v>190533.3006488916</v>
      </c>
      <c r="DO14" s="59">
        <f>DN14*(1-Assumptions!$K$19)</f>
        <v>188608.91431233779</v>
      </c>
      <c r="DP14" s="59">
        <f>DO14*(1-Assumptions!$K$19)</f>
        <v>186703.96427778318</v>
      </c>
      <c r="DQ14" s="59">
        <f>DP14*(1-Assumptions!$K$19)</f>
        <v>184818.25423857756</v>
      </c>
      <c r="DR14" s="59">
        <f>DQ14*(1-Assumptions!$K$19)</f>
        <v>182951.58987076793</v>
      </c>
      <c r="DS14" s="59">
        <f>DR14*(1-Assumptions!$K$19)</f>
        <v>181103.77881307318</v>
      </c>
      <c r="DT14" s="59">
        <f>DS14*(1-Assumptions!$K$19)</f>
        <v>179274.63064706113</v>
      </c>
      <c r="DU14" s="76"/>
    </row>
    <row r="15" spans="1:125" x14ac:dyDescent="0.4">
      <c r="B15" s="39"/>
      <c r="C15" s="55" t="s">
        <v>61</v>
      </c>
      <c r="D15" s="62"/>
      <c r="E15" s="87">
        <f>Assumptions!L6</f>
        <v>70000</v>
      </c>
      <c r="F15" s="59">
        <f>E15*(1-Assumptions!$L$16)</f>
        <v>69293</v>
      </c>
      <c r="G15" s="59">
        <f>F15*(1-Assumptions!$L$16)</f>
        <v>68593.140700000004</v>
      </c>
      <c r="H15" s="59">
        <f>G15*(1-Assumptions!$L$16)</f>
        <v>67900.349978929997</v>
      </c>
      <c r="I15" s="59">
        <f>H15*(1-Assumptions!$L$16)</f>
        <v>67214.5564441428</v>
      </c>
      <c r="J15" s="59">
        <f>I15*(1-Assumptions!$L$16)</f>
        <v>66535.689424056953</v>
      </c>
      <c r="K15" s="59">
        <f>J15*(1-Assumptions!$L$16)</f>
        <v>65863.678960873978</v>
      </c>
      <c r="L15" s="59">
        <f>K15*(1-Assumptions!$L$16)</f>
        <v>65198.45580336915</v>
      </c>
      <c r="M15" s="59">
        <f>L15*(1-Assumptions!$L$16)</f>
        <v>64539.951399755118</v>
      </c>
      <c r="N15" s="59">
        <f>M15*(1-Assumptions!$L$16)</f>
        <v>63888.097890617595</v>
      </c>
      <c r="O15" s="59">
        <f>N15*(1-Assumptions!$L$16)</f>
        <v>63242.828101922358</v>
      </c>
      <c r="P15" s="59">
        <f>O15*(1-Assumptions!$L$16)</f>
        <v>62604.07553809294</v>
      </c>
      <c r="Q15" s="59">
        <f>P15*(1-Assumptions!$L$17)</f>
        <v>61971.774375158202</v>
      </c>
      <c r="R15" s="59">
        <f>Q15*(1-Assumptions!$L$17)</f>
        <v>61345.859453969104</v>
      </c>
      <c r="S15" s="59">
        <f>R15*(1-Assumptions!$L$17)</f>
        <v>60726.26627348402</v>
      </c>
      <c r="T15" s="59">
        <f>S15*(1-Assumptions!$L$17)</f>
        <v>60112.930984121835</v>
      </c>
      <c r="U15" s="59">
        <f>T15*(1-Assumptions!$L$17)</f>
        <v>59505.790381182203</v>
      </c>
      <c r="V15" s="59">
        <f>U15*(1-Assumptions!$L$17)</f>
        <v>58904.781898332265</v>
      </c>
      <c r="W15" s="59">
        <f>V15*(1-Assumptions!$L$17)</f>
        <v>58309.843601159111</v>
      </c>
      <c r="X15" s="59">
        <f>W15*(1-Assumptions!$L$17)</f>
        <v>57720.914180787404</v>
      </c>
      <c r="Y15" s="59">
        <f>X15*(1-Assumptions!$L$17)</f>
        <v>57137.93294756145</v>
      </c>
      <c r="Z15" s="59">
        <f>Y15*(1-Assumptions!$L$17)</f>
        <v>56560.839824791081</v>
      </c>
      <c r="AA15" s="59">
        <f>Z15*(1-Assumptions!$L$17)</f>
        <v>55989.575342560689</v>
      </c>
      <c r="AB15" s="59">
        <f>AA15*(1-Assumptions!$L$17)</f>
        <v>55424.080631600824</v>
      </c>
      <c r="AC15" s="59">
        <f>AB15*(1-Assumptions!$L$18)</f>
        <v>54864.297417221656</v>
      </c>
      <c r="AD15" s="59">
        <f>AC15*(1-Assumptions!$L$18)</f>
        <v>54310.168013307717</v>
      </c>
      <c r="AE15" s="59">
        <f>AD15*(1-Assumptions!$L$18)</f>
        <v>53761.635316373307</v>
      </c>
      <c r="AF15" s="59">
        <f>AE15*(1-Assumptions!$L$18)</f>
        <v>53218.642799677938</v>
      </c>
      <c r="AG15" s="59">
        <f>AF15*(1-Assumptions!$L$18)</f>
        <v>52681.134507401192</v>
      </c>
      <c r="AH15" s="59">
        <f>AG15*(1-Assumptions!$L$18)</f>
        <v>52149.055048876442</v>
      </c>
      <c r="AI15" s="59">
        <f>AH15*(1-Assumptions!$L$18)</f>
        <v>51622.349592882791</v>
      </c>
      <c r="AJ15" s="59">
        <f>AI15*(1-Assumptions!$L$18)</f>
        <v>51100.963861994678</v>
      </c>
      <c r="AK15" s="59">
        <f>AJ15*(1-Assumptions!$L$18)</f>
        <v>50584.84412698853</v>
      </c>
      <c r="AL15" s="59">
        <f>AK15*(1-Assumptions!$L$18)</f>
        <v>50073.937201305947</v>
      </c>
      <c r="AM15" s="59">
        <f>AL15*(1-Assumptions!$L$18)</f>
        <v>49568.19043557276</v>
      </c>
      <c r="AN15" s="59">
        <f>AM15*(1-Assumptions!$L$18)</f>
        <v>49067.551712173474</v>
      </c>
      <c r="AO15" s="59">
        <f>AN15*(1-Assumptions!$L$19)</f>
        <v>48571.969439880522</v>
      </c>
      <c r="AP15" s="59">
        <f>AO15*(1-Assumptions!$L$19)</f>
        <v>48081.392548537726</v>
      </c>
      <c r="AQ15" s="59">
        <f>AP15*(1-Assumptions!$L$19)</f>
        <v>47595.770483797496</v>
      </c>
      <c r="AR15" s="59">
        <f>AQ15*(1-Assumptions!$L$19)</f>
        <v>47115.053201911142</v>
      </c>
      <c r="AS15" s="59">
        <f>AR15*(1-Assumptions!$L$19)</f>
        <v>46639.191164571836</v>
      </c>
      <c r="AT15" s="59">
        <f>AS15*(1-Assumptions!$L$19)</f>
        <v>46168.13533380966</v>
      </c>
      <c r="AU15" s="59">
        <f>AT15*(1-Assumptions!$L$19)</f>
        <v>45701.837166938181</v>
      </c>
      <c r="AV15" s="59">
        <f>AU15*(1-Assumptions!$L$19)</f>
        <v>45240.248611552102</v>
      </c>
      <c r="AW15" s="59">
        <f>AV15*(1-Assumptions!$L$19)</f>
        <v>44783.322100575424</v>
      </c>
      <c r="AX15" s="59">
        <f>AW15*(1-Assumptions!$L$19)</f>
        <v>44331.010547359612</v>
      </c>
      <c r="AY15" s="59">
        <f>AX15*(1-Assumptions!$L$19)</f>
        <v>43883.267340831277</v>
      </c>
      <c r="AZ15" s="59">
        <f>AY15*(1-Assumptions!$L$19)</f>
        <v>43440.046340688881</v>
      </c>
      <c r="BA15" s="59">
        <f>AZ15*(1-Assumptions!$L$19)</f>
        <v>43001.30187264792</v>
      </c>
      <c r="BB15" s="59">
        <f>BA15*(1-Assumptions!$L$19)</f>
        <v>42566.988723734175</v>
      </c>
      <c r="BC15" s="59">
        <f>BB15*(1-Assumptions!$L$19)</f>
        <v>42137.06213762446</v>
      </c>
      <c r="BD15" s="59">
        <f>BC15*(1-Assumptions!$L$19)</f>
        <v>41711.477810034456</v>
      </c>
      <c r="BE15" s="59">
        <f>BD15*(1-Assumptions!$L$19)</f>
        <v>41290.191884153108</v>
      </c>
      <c r="BF15" s="59">
        <f>BE15*(1-Assumptions!$L$19)</f>
        <v>40873.160946123164</v>
      </c>
      <c r="BG15" s="59">
        <f>BF15*(1-Assumptions!$L$19)</f>
        <v>40460.342020567317</v>
      </c>
      <c r="BH15" s="59">
        <f>BG15*(1-Assumptions!$L$19)</f>
        <v>40051.692566159589</v>
      </c>
      <c r="BI15" s="59">
        <f>BH15*(1-Assumptions!$L$19)</f>
        <v>39647.170471241378</v>
      </c>
      <c r="BJ15" s="59">
        <f>BI15*(1-Assumptions!$L$19)</f>
        <v>39246.734049481842</v>
      </c>
      <c r="BK15" s="59">
        <f>BJ15*(1-Assumptions!$L$19)</f>
        <v>38850.342035582078</v>
      </c>
      <c r="BL15" s="59">
        <f>BK15*(1-Assumptions!$L$19)</f>
        <v>38457.953581022703</v>
      </c>
      <c r="BM15" s="59">
        <f>BL15*(1-Assumptions!$L$19)</f>
        <v>38069.528249854375</v>
      </c>
      <c r="BN15" s="59">
        <f>BM15*(1-Assumptions!$L$19)</f>
        <v>37685.026014530842</v>
      </c>
      <c r="BO15" s="59">
        <f>BN15*(1-Assumptions!$L$19)</f>
        <v>37304.407251784083</v>
      </c>
      <c r="BP15" s="59">
        <f>BO15*(1-Assumptions!$L$19)</f>
        <v>36927.632738541062</v>
      </c>
      <c r="BQ15" s="59">
        <f>BP15*(1-Assumptions!$L$19)</f>
        <v>36554.663647881796</v>
      </c>
      <c r="BR15" s="59">
        <f>BQ15*(1-Assumptions!$L$19)</f>
        <v>36185.46154503819</v>
      </c>
      <c r="BS15" s="59">
        <f>BR15*(1-Assumptions!$L$19)</f>
        <v>35819.988383433301</v>
      </c>
      <c r="BT15" s="59">
        <f>BS15*(1-Assumptions!$L$19)</f>
        <v>35458.206500760622</v>
      </c>
      <c r="BU15" s="59">
        <f>BT15*(1-Assumptions!$L$19)</f>
        <v>35100.078615102939</v>
      </c>
      <c r="BV15" s="59">
        <f>BU15*(1-Assumptions!$L$19)</f>
        <v>34745.567821090401</v>
      </c>
      <c r="BW15" s="59">
        <f>BV15*(1-Assumptions!$L$19)</f>
        <v>34394.637586097386</v>
      </c>
      <c r="BX15" s="59">
        <f>BW15*(1-Assumptions!$L$19)</f>
        <v>34047.251746477799</v>
      </c>
      <c r="BY15" s="59">
        <f>BX15*(1-Assumptions!$L$19)</f>
        <v>33703.374503838371</v>
      </c>
      <c r="BZ15" s="59">
        <f>BY15*(1-Assumptions!$L$19)</f>
        <v>33362.970421349601</v>
      </c>
      <c r="CA15" s="59">
        <f>BZ15*(1-Assumptions!$L$19)</f>
        <v>33026.004420093966</v>
      </c>
      <c r="CB15" s="59">
        <f>CA15*(1-Assumptions!$L$19)</f>
        <v>32692.441775451018</v>
      </c>
      <c r="CC15" s="59">
        <f>CB15*(1-Assumptions!$L$19)</f>
        <v>32362.248113518963</v>
      </c>
      <c r="CD15" s="59">
        <f>CC15*(1-Assumptions!$L$19)</f>
        <v>32035.38940757242</v>
      </c>
      <c r="CE15" s="59">
        <f>CD15*(1-Assumptions!$L$19)</f>
        <v>31711.831974555938</v>
      </c>
      <c r="CF15" s="59">
        <f>CE15*(1-Assumptions!$L$19)</f>
        <v>31391.542471612924</v>
      </c>
      <c r="CG15" s="59">
        <f>CF15*(1-Assumptions!$L$19)</f>
        <v>31074.487892649635</v>
      </c>
      <c r="CH15" s="59">
        <f>CG15*(1-Assumptions!$L$19)</f>
        <v>30760.635564933873</v>
      </c>
      <c r="CI15" s="59">
        <f>CH15*(1-Assumptions!$L$19)</f>
        <v>30449.953145728039</v>
      </c>
      <c r="CJ15" s="59">
        <f>CI15*(1-Assumptions!$L$19)</f>
        <v>30142.408618956186</v>
      </c>
      <c r="CK15" s="59">
        <f>CJ15*(1-Assumptions!$L$19)</f>
        <v>29837.970291904727</v>
      </c>
      <c r="CL15" s="59">
        <f>CK15*(1-Assumptions!$L$19)</f>
        <v>29536.606791956488</v>
      </c>
      <c r="CM15" s="59">
        <f>CL15*(1-Assumptions!$L$19)</f>
        <v>29238.287063357729</v>
      </c>
      <c r="CN15" s="59">
        <f>CM15*(1-Assumptions!$L$19)</f>
        <v>28942.980364017818</v>
      </c>
      <c r="CO15" s="59">
        <f>CN15*(1-Assumptions!$L$19)</f>
        <v>28650.656262341239</v>
      </c>
      <c r="CP15" s="59">
        <f>CO15*(1-Assumptions!$L$19)</f>
        <v>28361.284634091593</v>
      </c>
      <c r="CQ15" s="59">
        <f>CP15*(1-Assumptions!$L$19)</f>
        <v>28074.83565928727</v>
      </c>
      <c r="CR15" s="59">
        <f>CQ15*(1-Assumptions!$L$19)</f>
        <v>27791.279819128467</v>
      </c>
      <c r="CS15" s="59">
        <f>CR15*(1-Assumptions!$L$19)</f>
        <v>27510.587892955271</v>
      </c>
      <c r="CT15" s="59">
        <f>CS15*(1-Assumptions!$L$19)</f>
        <v>27232.730955236424</v>
      </c>
      <c r="CU15" s="59">
        <f>CT15*(1-Assumptions!$L$19)</f>
        <v>26957.680372588537</v>
      </c>
      <c r="CV15" s="59">
        <f>CU15*(1-Assumptions!$L$19)</f>
        <v>26685.407800825393</v>
      </c>
      <c r="CW15" s="59">
        <f>CV15*(1-Assumptions!$L$19)</f>
        <v>26415.885182037055</v>
      </c>
      <c r="CX15" s="59">
        <f>CW15*(1-Assumptions!$L$19)</f>
        <v>26149.08474169848</v>
      </c>
      <c r="CY15" s="59">
        <f>CX15*(1-Assumptions!$L$19)</f>
        <v>25884.978985807324</v>
      </c>
      <c r="CZ15" s="59">
        <f>CY15*(1-Assumptions!$L$19)</f>
        <v>25623.54069805067</v>
      </c>
      <c r="DA15" s="59">
        <f>CZ15*(1-Assumptions!$L$19)</f>
        <v>25364.742937000359</v>
      </c>
      <c r="DB15" s="59">
        <f>DA15*(1-Assumptions!$L$19)</f>
        <v>25108.559033336656</v>
      </c>
      <c r="DC15" s="59">
        <f>DB15*(1-Assumptions!$L$19)</f>
        <v>24854.962587099955</v>
      </c>
      <c r="DD15" s="59">
        <f>DC15*(1-Assumptions!$L$19)</f>
        <v>24603.927464970246</v>
      </c>
      <c r="DE15" s="59">
        <f>DD15*(1-Assumptions!$L$19)</f>
        <v>24355.427797574048</v>
      </c>
      <c r="DF15" s="59">
        <f>DE15*(1-Assumptions!$L$19)</f>
        <v>24109.43797681855</v>
      </c>
      <c r="DG15" s="59">
        <f>DF15*(1-Assumptions!$L$19)</f>
        <v>23865.932653252683</v>
      </c>
      <c r="DH15" s="59">
        <f>DG15*(1-Assumptions!$L$19)</f>
        <v>23624.88673345483</v>
      </c>
      <c r="DI15" s="59">
        <f>DH15*(1-Assumptions!$L$19)</f>
        <v>23386.275377446938</v>
      </c>
      <c r="DJ15" s="59">
        <f>DI15*(1-Assumptions!$L$19)</f>
        <v>23150.073996134724</v>
      </c>
      <c r="DK15" s="59">
        <f>DJ15*(1-Assumptions!$L$19)</f>
        <v>22916.258248773764</v>
      </c>
      <c r="DL15" s="59">
        <f>DK15*(1-Assumptions!$L$19)</f>
        <v>22684.804040461149</v>
      </c>
      <c r="DM15" s="59">
        <f>DL15*(1-Assumptions!$L$19)</f>
        <v>22455.687519652492</v>
      </c>
      <c r="DN15" s="59">
        <f>DM15*(1-Assumptions!$L$19)</f>
        <v>22228.885075704002</v>
      </c>
      <c r="DO15" s="59">
        <f>DN15*(1-Assumptions!$L$19)</f>
        <v>22004.373336439392</v>
      </c>
      <c r="DP15" s="59">
        <f>DO15*(1-Assumptions!$L$19)</f>
        <v>21782.129165741353</v>
      </c>
      <c r="DQ15" s="59">
        <f>DP15*(1-Assumptions!$L$19)</f>
        <v>21562.129661167364</v>
      </c>
      <c r="DR15" s="59">
        <f>DQ15*(1-Assumptions!$L$19)</f>
        <v>21344.352151589574</v>
      </c>
      <c r="DS15" s="59">
        <f>DR15*(1-Assumptions!$L$19)</f>
        <v>21128.774194858521</v>
      </c>
      <c r="DT15" s="59">
        <f>DS15*(1-Assumptions!$L$19)</f>
        <v>20915.373575490448</v>
      </c>
      <c r="DU15" s="76"/>
    </row>
    <row r="16" spans="1:125" x14ac:dyDescent="0.4">
      <c r="B16" s="39"/>
      <c r="C16" s="1" t="s">
        <v>13</v>
      </c>
      <c r="D16" s="62"/>
      <c r="E16" s="59">
        <f>SUM(E17:E18)</f>
        <v>0</v>
      </c>
      <c r="F16" s="59">
        <f t="shared" ref="F16:BQ16" si="5">SUM(F17:F18)</f>
        <v>0</v>
      </c>
      <c r="G16" s="59">
        <f t="shared" si="5"/>
        <v>0</v>
      </c>
      <c r="H16" s="59">
        <f t="shared" si="5"/>
        <v>0</v>
      </c>
      <c r="I16" s="59">
        <f t="shared" si="5"/>
        <v>0</v>
      </c>
      <c r="J16" s="59">
        <f t="shared" si="5"/>
        <v>0</v>
      </c>
      <c r="K16" s="59">
        <f t="shared" si="5"/>
        <v>0</v>
      </c>
      <c r="L16" s="59">
        <f t="shared" si="5"/>
        <v>0</v>
      </c>
      <c r="M16" s="59">
        <f t="shared" si="5"/>
        <v>0</v>
      </c>
      <c r="N16" s="59">
        <f t="shared" si="5"/>
        <v>0</v>
      </c>
      <c r="O16" s="59">
        <f t="shared" si="5"/>
        <v>0</v>
      </c>
      <c r="P16" s="59">
        <f t="shared" si="5"/>
        <v>0</v>
      </c>
      <c r="Q16" s="59">
        <f t="shared" si="5"/>
        <v>0</v>
      </c>
      <c r="R16" s="59">
        <f t="shared" si="5"/>
        <v>0</v>
      </c>
      <c r="S16" s="59">
        <f t="shared" si="5"/>
        <v>0</v>
      </c>
      <c r="T16" s="59">
        <f t="shared" si="5"/>
        <v>0</v>
      </c>
      <c r="U16" s="59">
        <f t="shared" si="5"/>
        <v>0</v>
      </c>
      <c r="V16" s="59">
        <f t="shared" si="5"/>
        <v>0</v>
      </c>
      <c r="W16" s="59">
        <f t="shared" si="5"/>
        <v>0</v>
      </c>
      <c r="X16" s="59">
        <f t="shared" si="5"/>
        <v>0</v>
      </c>
      <c r="Y16" s="59">
        <f t="shared" si="5"/>
        <v>0</v>
      </c>
      <c r="Z16" s="59">
        <f t="shared" si="5"/>
        <v>0</v>
      </c>
      <c r="AA16" s="59">
        <f t="shared" si="5"/>
        <v>0</v>
      </c>
      <c r="AB16" s="59">
        <f t="shared" si="5"/>
        <v>0</v>
      </c>
      <c r="AC16" s="59">
        <f t="shared" si="5"/>
        <v>0</v>
      </c>
      <c r="AD16" s="59">
        <f t="shared" si="5"/>
        <v>0</v>
      </c>
      <c r="AE16" s="59">
        <f t="shared" si="5"/>
        <v>0</v>
      </c>
      <c r="AF16" s="59">
        <f t="shared" si="5"/>
        <v>0</v>
      </c>
      <c r="AG16" s="59">
        <f t="shared" si="5"/>
        <v>0</v>
      </c>
      <c r="AH16" s="59">
        <f t="shared" si="5"/>
        <v>0</v>
      </c>
      <c r="AI16" s="59">
        <f t="shared" si="5"/>
        <v>0</v>
      </c>
      <c r="AJ16" s="59">
        <f t="shared" si="5"/>
        <v>0</v>
      </c>
      <c r="AK16" s="59">
        <f t="shared" si="5"/>
        <v>0</v>
      </c>
      <c r="AL16" s="59">
        <f t="shared" si="5"/>
        <v>0</v>
      </c>
      <c r="AM16" s="59">
        <f t="shared" si="5"/>
        <v>0</v>
      </c>
      <c r="AN16" s="59">
        <f t="shared" si="5"/>
        <v>0</v>
      </c>
      <c r="AO16" s="59">
        <f t="shared" si="5"/>
        <v>0</v>
      </c>
      <c r="AP16" s="59">
        <f t="shared" si="5"/>
        <v>0</v>
      </c>
      <c r="AQ16" s="59">
        <f t="shared" si="5"/>
        <v>0</v>
      </c>
      <c r="AR16" s="59">
        <f t="shared" si="5"/>
        <v>0</v>
      </c>
      <c r="AS16" s="59">
        <f t="shared" si="5"/>
        <v>0</v>
      </c>
      <c r="AT16" s="59">
        <f t="shared" si="5"/>
        <v>0</v>
      </c>
      <c r="AU16" s="59">
        <f t="shared" si="5"/>
        <v>0</v>
      </c>
      <c r="AV16" s="59">
        <f t="shared" si="5"/>
        <v>0</v>
      </c>
      <c r="AW16" s="59">
        <f t="shared" si="5"/>
        <v>0</v>
      </c>
      <c r="AX16" s="59">
        <f t="shared" si="5"/>
        <v>0</v>
      </c>
      <c r="AY16" s="59">
        <f t="shared" si="5"/>
        <v>0</v>
      </c>
      <c r="AZ16" s="59">
        <f t="shared" si="5"/>
        <v>0</v>
      </c>
      <c r="BA16" s="59">
        <f t="shared" si="5"/>
        <v>0</v>
      </c>
      <c r="BB16" s="59">
        <f t="shared" si="5"/>
        <v>0</v>
      </c>
      <c r="BC16" s="59">
        <f t="shared" si="5"/>
        <v>0</v>
      </c>
      <c r="BD16" s="59">
        <f t="shared" si="5"/>
        <v>0</v>
      </c>
      <c r="BE16" s="59">
        <f t="shared" si="5"/>
        <v>0</v>
      </c>
      <c r="BF16" s="59">
        <f t="shared" si="5"/>
        <v>0</v>
      </c>
      <c r="BG16" s="59">
        <f t="shared" si="5"/>
        <v>0</v>
      </c>
      <c r="BH16" s="59">
        <f t="shared" si="5"/>
        <v>0</v>
      </c>
      <c r="BI16" s="59">
        <f t="shared" si="5"/>
        <v>0</v>
      </c>
      <c r="BJ16" s="59">
        <f t="shared" si="5"/>
        <v>0</v>
      </c>
      <c r="BK16" s="59">
        <f t="shared" si="5"/>
        <v>0</v>
      </c>
      <c r="BL16" s="59">
        <f t="shared" si="5"/>
        <v>0</v>
      </c>
      <c r="BM16" s="59">
        <f t="shared" si="5"/>
        <v>0</v>
      </c>
      <c r="BN16" s="59">
        <f t="shared" si="5"/>
        <v>0</v>
      </c>
      <c r="BO16" s="59">
        <f t="shared" si="5"/>
        <v>0</v>
      </c>
      <c r="BP16" s="59">
        <f t="shared" si="5"/>
        <v>0</v>
      </c>
      <c r="BQ16" s="59">
        <f t="shared" si="5"/>
        <v>0</v>
      </c>
      <c r="BR16" s="59">
        <f t="shared" ref="BR16:DU16" si="6">SUM(BR17:BR18)</f>
        <v>0</v>
      </c>
      <c r="BS16" s="59">
        <f t="shared" si="6"/>
        <v>0</v>
      </c>
      <c r="BT16" s="59">
        <f t="shared" si="6"/>
        <v>0</v>
      </c>
      <c r="BU16" s="59">
        <f t="shared" si="6"/>
        <v>0</v>
      </c>
      <c r="BV16" s="59">
        <f t="shared" si="6"/>
        <v>0</v>
      </c>
      <c r="BW16" s="59">
        <f t="shared" si="6"/>
        <v>0</v>
      </c>
      <c r="BX16" s="59">
        <f t="shared" si="6"/>
        <v>0</v>
      </c>
      <c r="BY16" s="59">
        <f t="shared" si="6"/>
        <v>0</v>
      </c>
      <c r="BZ16" s="59">
        <f t="shared" si="6"/>
        <v>0</v>
      </c>
      <c r="CA16" s="59">
        <f t="shared" si="6"/>
        <v>0</v>
      </c>
      <c r="CB16" s="59">
        <f t="shared" si="6"/>
        <v>0</v>
      </c>
      <c r="CC16" s="59">
        <f t="shared" si="6"/>
        <v>0</v>
      </c>
      <c r="CD16" s="59">
        <f t="shared" si="6"/>
        <v>0</v>
      </c>
      <c r="CE16" s="59">
        <f t="shared" si="6"/>
        <v>0</v>
      </c>
      <c r="CF16" s="59">
        <f t="shared" si="6"/>
        <v>0</v>
      </c>
      <c r="CG16" s="59">
        <f t="shared" si="6"/>
        <v>0</v>
      </c>
      <c r="CH16" s="59">
        <f t="shared" si="6"/>
        <v>0</v>
      </c>
      <c r="CI16" s="59">
        <f t="shared" si="6"/>
        <v>0</v>
      </c>
      <c r="CJ16" s="59">
        <f t="shared" si="6"/>
        <v>0</v>
      </c>
      <c r="CK16" s="59">
        <f t="shared" si="6"/>
        <v>0</v>
      </c>
      <c r="CL16" s="59">
        <f t="shared" si="6"/>
        <v>0</v>
      </c>
      <c r="CM16" s="59">
        <f t="shared" si="6"/>
        <v>0</v>
      </c>
      <c r="CN16" s="59">
        <f t="shared" si="6"/>
        <v>0</v>
      </c>
      <c r="CO16" s="59">
        <f t="shared" si="6"/>
        <v>0</v>
      </c>
      <c r="CP16" s="59">
        <f t="shared" si="6"/>
        <v>0</v>
      </c>
      <c r="CQ16" s="59">
        <f t="shared" si="6"/>
        <v>0</v>
      </c>
      <c r="CR16" s="59">
        <f t="shared" si="6"/>
        <v>0</v>
      </c>
      <c r="CS16" s="59">
        <f t="shared" si="6"/>
        <v>0</v>
      </c>
      <c r="CT16" s="59">
        <f t="shared" si="6"/>
        <v>0</v>
      </c>
      <c r="CU16" s="59">
        <f t="shared" si="6"/>
        <v>0</v>
      </c>
      <c r="CV16" s="59">
        <f t="shared" si="6"/>
        <v>0</v>
      </c>
      <c r="CW16" s="59">
        <f t="shared" si="6"/>
        <v>0</v>
      </c>
      <c r="CX16" s="59">
        <f t="shared" si="6"/>
        <v>0</v>
      </c>
      <c r="CY16" s="59">
        <f t="shared" si="6"/>
        <v>0</v>
      </c>
      <c r="CZ16" s="59">
        <f t="shared" si="6"/>
        <v>0</v>
      </c>
      <c r="DA16" s="59">
        <f t="shared" si="6"/>
        <v>0</v>
      </c>
      <c r="DB16" s="59">
        <f t="shared" si="6"/>
        <v>0</v>
      </c>
      <c r="DC16" s="59">
        <f t="shared" si="6"/>
        <v>0</v>
      </c>
      <c r="DD16" s="59">
        <f t="shared" si="6"/>
        <v>0</v>
      </c>
      <c r="DE16" s="59">
        <f t="shared" si="6"/>
        <v>0</v>
      </c>
      <c r="DF16" s="59">
        <f t="shared" si="6"/>
        <v>0</v>
      </c>
      <c r="DG16" s="59">
        <f t="shared" si="6"/>
        <v>0</v>
      </c>
      <c r="DH16" s="59">
        <f t="shared" si="6"/>
        <v>0</v>
      </c>
      <c r="DI16" s="59">
        <f t="shared" si="6"/>
        <v>0</v>
      </c>
      <c r="DJ16" s="59">
        <f t="shared" si="6"/>
        <v>0</v>
      </c>
      <c r="DK16" s="59">
        <f t="shared" si="6"/>
        <v>0</v>
      </c>
      <c r="DL16" s="59">
        <f t="shared" si="6"/>
        <v>0</v>
      </c>
      <c r="DM16" s="59">
        <f t="shared" si="6"/>
        <v>0</v>
      </c>
      <c r="DN16" s="59">
        <f t="shared" si="6"/>
        <v>0</v>
      </c>
      <c r="DO16" s="59">
        <f t="shared" si="6"/>
        <v>0</v>
      </c>
      <c r="DP16" s="59">
        <f t="shared" si="6"/>
        <v>0</v>
      </c>
      <c r="DQ16" s="59">
        <f t="shared" si="6"/>
        <v>0</v>
      </c>
      <c r="DR16" s="59">
        <f t="shared" si="6"/>
        <v>0</v>
      </c>
      <c r="DS16" s="59">
        <f t="shared" si="6"/>
        <v>0</v>
      </c>
      <c r="DT16" s="59">
        <f t="shared" si="6"/>
        <v>0</v>
      </c>
      <c r="DU16" s="88">
        <f t="shared" si="6"/>
        <v>1201140.0253353093</v>
      </c>
    </row>
    <row r="17" spans="1:125" x14ac:dyDescent="0.4">
      <c r="B17" s="39"/>
      <c r="C17" s="55" t="s">
        <v>60</v>
      </c>
      <c r="D17" s="62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60">
        <f>DT14*Assumptions!K35</f>
        <v>1075647.7838823667</v>
      </c>
    </row>
    <row r="18" spans="1:125" x14ac:dyDescent="0.4">
      <c r="B18" s="39"/>
      <c r="C18" s="55" t="s">
        <v>61</v>
      </c>
      <c r="D18" s="62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60">
        <f>DT15*Assumptions!L35</f>
        <v>125492.24145294269</v>
      </c>
    </row>
    <row r="19" spans="1:125" x14ac:dyDescent="0.4">
      <c r="A19" s="1" t="s">
        <v>36</v>
      </c>
      <c r="B19" s="78" t="s">
        <v>76</v>
      </c>
      <c r="C19" s="6"/>
      <c r="D19" s="10"/>
      <c r="E19" s="7">
        <f t="shared" ref="E19:BP19" si="7">E16+E13</f>
        <v>670000</v>
      </c>
      <c r="F19" s="7">
        <f t="shared" si="7"/>
        <v>663233</v>
      </c>
      <c r="G19" s="7">
        <f t="shared" si="7"/>
        <v>656534.34669999999</v>
      </c>
      <c r="H19" s="7">
        <f t="shared" si="7"/>
        <v>649903.34979832999</v>
      </c>
      <c r="I19" s="7">
        <f t="shared" si="7"/>
        <v>643339.32596536691</v>
      </c>
      <c r="J19" s="7">
        <f t="shared" si="7"/>
        <v>636841.5987731166</v>
      </c>
      <c r="K19" s="7">
        <f t="shared" si="7"/>
        <v>630409.49862550816</v>
      </c>
      <c r="L19" s="7">
        <f t="shared" si="7"/>
        <v>624042.36268939055</v>
      </c>
      <c r="M19" s="7">
        <f t="shared" si="7"/>
        <v>617739.5348262277</v>
      </c>
      <c r="N19" s="7">
        <f t="shared" si="7"/>
        <v>611500.3655244828</v>
      </c>
      <c r="O19" s="7">
        <f t="shared" si="7"/>
        <v>605324.21183268563</v>
      </c>
      <c r="P19" s="7">
        <f t="shared" si="7"/>
        <v>599210.43729317549</v>
      </c>
      <c r="Q19" s="7">
        <f t="shared" si="7"/>
        <v>593158.41187651444</v>
      </c>
      <c r="R19" s="7">
        <f t="shared" si="7"/>
        <v>587167.51191656152</v>
      </c>
      <c r="S19" s="7">
        <f t="shared" si="7"/>
        <v>581237.12004620431</v>
      </c>
      <c r="T19" s="7">
        <f t="shared" si="7"/>
        <v>575366.62513373757</v>
      </c>
      <c r="U19" s="7">
        <f t="shared" si="7"/>
        <v>569555.42221988679</v>
      </c>
      <c r="V19" s="7">
        <f t="shared" si="7"/>
        <v>563802.91245546599</v>
      </c>
      <c r="W19" s="7">
        <f t="shared" si="7"/>
        <v>558108.50303966575</v>
      </c>
      <c r="X19" s="7">
        <f t="shared" si="7"/>
        <v>552471.6071589652</v>
      </c>
      <c r="Y19" s="7">
        <f t="shared" si="7"/>
        <v>546891.6439266596</v>
      </c>
      <c r="Z19" s="7">
        <f t="shared" si="7"/>
        <v>541368.03832300042</v>
      </c>
      <c r="AA19" s="7">
        <f t="shared" si="7"/>
        <v>535900.22113593807</v>
      </c>
      <c r="AB19" s="7">
        <f t="shared" si="7"/>
        <v>530487.62890246511</v>
      </c>
      <c r="AC19" s="7">
        <f t="shared" si="7"/>
        <v>525129.70385055023</v>
      </c>
      <c r="AD19" s="7">
        <f t="shared" si="7"/>
        <v>519825.89384165965</v>
      </c>
      <c r="AE19" s="7">
        <f t="shared" si="7"/>
        <v>514575.65231385885</v>
      </c>
      <c r="AF19" s="7">
        <f t="shared" si="7"/>
        <v>509378.43822548888</v>
      </c>
      <c r="AG19" s="7">
        <f t="shared" si="7"/>
        <v>504233.71599941142</v>
      </c>
      <c r="AH19" s="7">
        <f t="shared" si="7"/>
        <v>499140.95546781737</v>
      </c>
      <c r="AI19" s="7">
        <f t="shared" si="7"/>
        <v>494099.63181759242</v>
      </c>
      <c r="AJ19" s="7">
        <f t="shared" si="7"/>
        <v>489109.22553623474</v>
      </c>
      <c r="AK19" s="7">
        <f t="shared" si="7"/>
        <v>484169.2223583188</v>
      </c>
      <c r="AL19" s="7">
        <f t="shared" si="7"/>
        <v>479279.11321249977</v>
      </c>
      <c r="AM19" s="7">
        <f t="shared" si="7"/>
        <v>474438.39416905353</v>
      </c>
      <c r="AN19" s="7">
        <f t="shared" si="7"/>
        <v>469646.56638794614</v>
      </c>
      <c r="AO19" s="7">
        <f t="shared" si="7"/>
        <v>464903.13606742787</v>
      </c>
      <c r="AP19" s="7">
        <f t="shared" si="7"/>
        <v>460207.61439314683</v>
      </c>
      <c r="AQ19" s="7">
        <f t="shared" si="7"/>
        <v>455559.51748777606</v>
      </c>
      <c r="AR19" s="7">
        <f t="shared" si="7"/>
        <v>450958.36636114953</v>
      </c>
      <c r="AS19" s="7">
        <f t="shared" si="7"/>
        <v>446403.68686090194</v>
      </c>
      <c r="AT19" s="7">
        <f t="shared" si="7"/>
        <v>441895.00962360681</v>
      </c>
      <c r="AU19" s="7">
        <f t="shared" si="7"/>
        <v>437431.8700264084</v>
      </c>
      <c r="AV19" s="7">
        <f t="shared" si="7"/>
        <v>433013.80813914171</v>
      </c>
      <c r="AW19" s="7">
        <f t="shared" si="7"/>
        <v>428640.36867693637</v>
      </c>
      <c r="AX19" s="7">
        <f t="shared" si="7"/>
        <v>424311.10095329926</v>
      </c>
      <c r="AY19" s="7">
        <f t="shared" si="7"/>
        <v>420025.55883367098</v>
      </c>
      <c r="AZ19" s="7">
        <f t="shared" si="7"/>
        <v>415783.30068945087</v>
      </c>
      <c r="BA19" s="7">
        <f t="shared" si="7"/>
        <v>411583.8893524874</v>
      </c>
      <c r="BB19" s="7">
        <f t="shared" si="7"/>
        <v>407426.8920700273</v>
      </c>
      <c r="BC19" s="7">
        <f t="shared" si="7"/>
        <v>403311.88046012004</v>
      </c>
      <c r="BD19" s="7">
        <f t="shared" si="7"/>
        <v>399238.43046747282</v>
      </c>
      <c r="BE19" s="7">
        <f t="shared" si="7"/>
        <v>395206.12231975136</v>
      </c>
      <c r="BF19" s="7">
        <f t="shared" si="7"/>
        <v>391214.54048432189</v>
      </c>
      <c r="BG19" s="7">
        <f t="shared" si="7"/>
        <v>387263.27362543024</v>
      </c>
      <c r="BH19" s="7">
        <f t="shared" si="7"/>
        <v>383351.91456181341</v>
      </c>
      <c r="BI19" s="7">
        <f t="shared" si="7"/>
        <v>379480.06022473914</v>
      </c>
      <c r="BJ19" s="7">
        <f t="shared" si="7"/>
        <v>375647.31161646929</v>
      </c>
      <c r="BK19" s="7">
        <f t="shared" si="7"/>
        <v>371853.27376914292</v>
      </c>
      <c r="BL19" s="7">
        <f t="shared" si="7"/>
        <v>368097.55570407456</v>
      </c>
      <c r="BM19" s="7">
        <f t="shared" si="7"/>
        <v>364379.77039146348</v>
      </c>
      <c r="BN19" s="7">
        <f t="shared" si="7"/>
        <v>360699.5347105097</v>
      </c>
      <c r="BO19" s="7">
        <f t="shared" si="7"/>
        <v>357056.46940993355</v>
      </c>
      <c r="BP19" s="7">
        <f t="shared" si="7"/>
        <v>353450.19906889315</v>
      </c>
      <c r="BQ19" s="7">
        <f t="shared" ref="BQ19:DT19" si="8">BQ16+BQ13</f>
        <v>349880.35205829737</v>
      </c>
      <c r="BR19" s="7">
        <f t="shared" si="8"/>
        <v>346346.56050250854</v>
      </c>
      <c r="BS19" s="7">
        <f t="shared" si="8"/>
        <v>342848.46024143317</v>
      </c>
      <c r="BT19" s="7">
        <f t="shared" si="8"/>
        <v>339385.69079299469</v>
      </c>
      <c r="BU19" s="7">
        <f t="shared" si="8"/>
        <v>335957.89531598543</v>
      </c>
      <c r="BV19" s="7">
        <f t="shared" si="8"/>
        <v>332564.72057329398</v>
      </c>
      <c r="BW19" s="7">
        <f t="shared" si="8"/>
        <v>329205.81689550373</v>
      </c>
      <c r="BX19" s="7">
        <f t="shared" si="8"/>
        <v>325880.83814485912</v>
      </c>
      <c r="BY19" s="7">
        <f t="shared" si="8"/>
        <v>322589.44167959603</v>
      </c>
      <c r="BZ19" s="7">
        <f t="shared" si="8"/>
        <v>319331.28831863217</v>
      </c>
      <c r="CA19" s="7">
        <f t="shared" si="8"/>
        <v>316106.04230661393</v>
      </c>
      <c r="CB19" s="7">
        <f t="shared" si="8"/>
        <v>312913.37127931713</v>
      </c>
      <c r="CC19" s="7">
        <f t="shared" si="8"/>
        <v>309752.94622939604</v>
      </c>
      <c r="CD19" s="7">
        <f t="shared" si="8"/>
        <v>306624.44147247908</v>
      </c>
      <c r="CE19" s="7">
        <f t="shared" si="8"/>
        <v>303527.53461360704</v>
      </c>
      <c r="CF19" s="7">
        <f t="shared" si="8"/>
        <v>300461.90651400964</v>
      </c>
      <c r="CG19" s="7">
        <f t="shared" si="8"/>
        <v>297427.24125821819</v>
      </c>
      <c r="CH19" s="7">
        <f t="shared" si="8"/>
        <v>294423.22612151015</v>
      </c>
      <c r="CI19" s="7">
        <f t="shared" si="8"/>
        <v>291449.55153768288</v>
      </c>
      <c r="CJ19" s="7">
        <f t="shared" si="8"/>
        <v>288505.91106715228</v>
      </c>
      <c r="CK19" s="7">
        <f t="shared" si="8"/>
        <v>285592.00136537408</v>
      </c>
      <c r="CL19" s="7">
        <f t="shared" si="8"/>
        <v>282707.52215158381</v>
      </c>
      <c r="CM19" s="7">
        <f t="shared" si="8"/>
        <v>279852.17617785279</v>
      </c>
      <c r="CN19" s="7">
        <f t="shared" si="8"/>
        <v>277025.66919845651</v>
      </c>
      <c r="CO19" s="7">
        <f t="shared" si="8"/>
        <v>274227.70993955206</v>
      </c>
      <c r="CP19" s="7">
        <f t="shared" si="8"/>
        <v>271458.01006916258</v>
      </c>
      <c r="CQ19" s="7">
        <f t="shared" si="8"/>
        <v>268716.28416746407</v>
      </c>
      <c r="CR19" s="7">
        <f t="shared" si="8"/>
        <v>266002.24969737267</v>
      </c>
      <c r="CS19" s="7">
        <f t="shared" si="8"/>
        <v>263315.62697542924</v>
      </c>
      <c r="CT19" s="7">
        <f t="shared" si="8"/>
        <v>260656.13914297739</v>
      </c>
      <c r="CU19" s="7">
        <f t="shared" si="8"/>
        <v>258023.51213763334</v>
      </c>
      <c r="CV19" s="7">
        <f t="shared" si="8"/>
        <v>255417.47466504324</v>
      </c>
      <c r="CW19" s="7">
        <f t="shared" si="8"/>
        <v>252837.75817092627</v>
      </c>
      <c r="CX19" s="7">
        <f t="shared" si="8"/>
        <v>250284.09681339993</v>
      </c>
      <c r="CY19" s="7">
        <f t="shared" si="8"/>
        <v>247756.22743558459</v>
      </c>
      <c r="CZ19" s="7">
        <f t="shared" si="8"/>
        <v>245253.88953848518</v>
      </c>
      <c r="DA19" s="7">
        <f t="shared" si="8"/>
        <v>242776.82525414648</v>
      </c>
      <c r="DB19" s="7">
        <f t="shared" si="8"/>
        <v>240324.77931907959</v>
      </c>
      <c r="DC19" s="7">
        <f t="shared" si="8"/>
        <v>237897.4990479569</v>
      </c>
      <c r="DD19" s="7">
        <f t="shared" si="8"/>
        <v>235494.73430757254</v>
      </c>
      <c r="DE19" s="7">
        <f t="shared" si="8"/>
        <v>233116.23749106607</v>
      </c>
      <c r="DF19" s="7">
        <f t="shared" si="8"/>
        <v>230761.76349240632</v>
      </c>
      <c r="DG19" s="7">
        <f t="shared" si="8"/>
        <v>228431.069681133</v>
      </c>
      <c r="DH19" s="7">
        <f t="shared" si="8"/>
        <v>226123.91587735355</v>
      </c>
      <c r="DI19" s="7">
        <f t="shared" si="8"/>
        <v>223840.06432699229</v>
      </c>
      <c r="DJ19" s="7">
        <f t="shared" si="8"/>
        <v>221579.27967728965</v>
      </c>
      <c r="DK19" s="7">
        <f t="shared" si="8"/>
        <v>219341.32895254903</v>
      </c>
      <c r="DL19" s="7">
        <f t="shared" si="8"/>
        <v>217125.98153012828</v>
      </c>
      <c r="DM19" s="7">
        <f t="shared" si="8"/>
        <v>214933.00911667402</v>
      </c>
      <c r="DN19" s="7">
        <f t="shared" si="8"/>
        <v>212762.18572459559</v>
      </c>
      <c r="DO19" s="7">
        <f t="shared" si="8"/>
        <v>210613.28764877719</v>
      </c>
      <c r="DP19" s="7">
        <f t="shared" si="8"/>
        <v>208486.09344352453</v>
      </c>
      <c r="DQ19" s="7">
        <f t="shared" si="8"/>
        <v>206380.38389974492</v>
      </c>
      <c r="DR19" s="7">
        <f t="shared" si="8"/>
        <v>204295.94202235751</v>
      </c>
      <c r="DS19" s="7">
        <f t="shared" si="8"/>
        <v>202232.55300793171</v>
      </c>
      <c r="DT19" s="7">
        <f t="shared" si="8"/>
        <v>200190.00422255159</v>
      </c>
      <c r="DU19" s="79">
        <f>DU16+DU13</f>
        <v>1201140.0253353093</v>
      </c>
    </row>
    <row r="20" spans="1:125" x14ac:dyDescent="0.4">
      <c r="B20" s="39"/>
      <c r="C20" s="77"/>
      <c r="D20" s="80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DU20" s="42"/>
    </row>
    <row r="21" spans="1:125" x14ac:dyDescent="0.4">
      <c r="A21" s="1" t="s">
        <v>36</v>
      </c>
      <c r="B21" s="74" t="s">
        <v>22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DU21" s="42"/>
    </row>
    <row r="22" spans="1:125" x14ac:dyDescent="0.4">
      <c r="B22" s="74"/>
      <c r="C22" s="75" t="s">
        <v>92</v>
      </c>
      <c r="D22" s="62"/>
      <c r="E22" s="90">
        <f>SUM(E23:E24)</f>
        <v>0</v>
      </c>
      <c r="F22" s="90">
        <f t="shared" ref="F22:BQ22" si="9">SUM(F23:F24)</f>
        <v>0</v>
      </c>
      <c r="G22" s="90">
        <f t="shared" si="9"/>
        <v>0</v>
      </c>
      <c r="H22" s="90">
        <f t="shared" si="9"/>
        <v>0</v>
      </c>
      <c r="I22" s="90">
        <f t="shared" si="9"/>
        <v>0</v>
      </c>
      <c r="J22" s="90">
        <f t="shared" si="9"/>
        <v>0</v>
      </c>
      <c r="K22" s="90">
        <f t="shared" si="9"/>
        <v>0</v>
      </c>
      <c r="L22" s="90">
        <f t="shared" si="9"/>
        <v>0</v>
      </c>
      <c r="M22" s="90">
        <f t="shared" si="9"/>
        <v>0</v>
      </c>
      <c r="N22" s="90">
        <f t="shared" si="9"/>
        <v>0</v>
      </c>
      <c r="O22" s="90">
        <f t="shared" si="9"/>
        <v>0</v>
      </c>
      <c r="P22" s="90">
        <f t="shared" si="9"/>
        <v>0</v>
      </c>
      <c r="Q22" s="90">
        <f t="shared" si="9"/>
        <v>0</v>
      </c>
      <c r="R22" s="90">
        <f t="shared" si="9"/>
        <v>0</v>
      </c>
      <c r="S22" s="90">
        <f t="shared" si="9"/>
        <v>0</v>
      </c>
      <c r="T22" s="90">
        <f t="shared" si="9"/>
        <v>0</v>
      </c>
      <c r="U22" s="90">
        <f t="shared" si="9"/>
        <v>0</v>
      </c>
      <c r="V22" s="90">
        <f t="shared" si="9"/>
        <v>0</v>
      </c>
      <c r="W22" s="90">
        <f t="shared" si="9"/>
        <v>0</v>
      </c>
      <c r="X22" s="90">
        <f t="shared" si="9"/>
        <v>0</v>
      </c>
      <c r="Y22" s="90">
        <f t="shared" si="9"/>
        <v>0</v>
      </c>
      <c r="Z22" s="90">
        <f t="shared" si="9"/>
        <v>0</v>
      </c>
      <c r="AA22" s="90">
        <f t="shared" si="9"/>
        <v>0</v>
      </c>
      <c r="AB22" s="90">
        <f t="shared" si="9"/>
        <v>0</v>
      </c>
      <c r="AC22" s="90">
        <f t="shared" si="9"/>
        <v>0</v>
      </c>
      <c r="AD22" s="90">
        <f t="shared" si="9"/>
        <v>0</v>
      </c>
      <c r="AE22" s="90">
        <f t="shared" si="9"/>
        <v>0</v>
      </c>
      <c r="AF22" s="90">
        <f t="shared" si="9"/>
        <v>0</v>
      </c>
      <c r="AG22" s="90">
        <f t="shared" si="9"/>
        <v>0</v>
      </c>
      <c r="AH22" s="90">
        <f t="shared" si="9"/>
        <v>0</v>
      </c>
      <c r="AI22" s="90">
        <f t="shared" si="9"/>
        <v>0</v>
      </c>
      <c r="AJ22" s="90">
        <f t="shared" si="9"/>
        <v>0</v>
      </c>
      <c r="AK22" s="90">
        <f t="shared" si="9"/>
        <v>0</v>
      </c>
      <c r="AL22" s="90">
        <f t="shared" si="9"/>
        <v>0</v>
      </c>
      <c r="AM22" s="90">
        <f t="shared" si="9"/>
        <v>0</v>
      </c>
      <c r="AN22" s="90">
        <f t="shared" si="9"/>
        <v>0</v>
      </c>
      <c r="AO22" s="90">
        <f t="shared" si="9"/>
        <v>0</v>
      </c>
      <c r="AP22" s="90">
        <f t="shared" si="9"/>
        <v>0</v>
      </c>
      <c r="AQ22" s="90">
        <f t="shared" si="9"/>
        <v>0</v>
      </c>
      <c r="AR22" s="90">
        <f t="shared" si="9"/>
        <v>0</v>
      </c>
      <c r="AS22" s="90">
        <f t="shared" si="9"/>
        <v>0</v>
      </c>
      <c r="AT22" s="90">
        <f t="shared" si="9"/>
        <v>0</v>
      </c>
      <c r="AU22" s="90">
        <f t="shared" si="9"/>
        <v>0</v>
      </c>
      <c r="AV22" s="90">
        <f t="shared" si="9"/>
        <v>0</v>
      </c>
      <c r="AW22" s="90">
        <f t="shared" si="9"/>
        <v>0</v>
      </c>
      <c r="AX22" s="90">
        <f t="shared" si="9"/>
        <v>0</v>
      </c>
      <c r="AY22" s="90">
        <f t="shared" si="9"/>
        <v>0</v>
      </c>
      <c r="AZ22" s="90">
        <f t="shared" si="9"/>
        <v>0</v>
      </c>
      <c r="BA22" s="90">
        <f t="shared" si="9"/>
        <v>0</v>
      </c>
      <c r="BB22" s="90">
        <f t="shared" si="9"/>
        <v>0</v>
      </c>
      <c r="BC22" s="90">
        <f t="shared" si="9"/>
        <v>0</v>
      </c>
      <c r="BD22" s="90">
        <f t="shared" si="9"/>
        <v>0</v>
      </c>
      <c r="BE22" s="90">
        <f t="shared" si="9"/>
        <v>0</v>
      </c>
      <c r="BF22" s="90">
        <f t="shared" si="9"/>
        <v>0</v>
      </c>
      <c r="BG22" s="90">
        <f t="shared" si="9"/>
        <v>0</v>
      </c>
      <c r="BH22" s="90">
        <f t="shared" si="9"/>
        <v>0</v>
      </c>
      <c r="BI22" s="90">
        <f t="shared" si="9"/>
        <v>0</v>
      </c>
      <c r="BJ22" s="90">
        <f t="shared" si="9"/>
        <v>0</v>
      </c>
      <c r="BK22" s="90">
        <f t="shared" si="9"/>
        <v>0</v>
      </c>
      <c r="BL22" s="90">
        <f t="shared" si="9"/>
        <v>0</v>
      </c>
      <c r="BM22" s="90">
        <f t="shared" si="9"/>
        <v>0</v>
      </c>
      <c r="BN22" s="90">
        <f t="shared" si="9"/>
        <v>0</v>
      </c>
      <c r="BO22" s="90">
        <f t="shared" si="9"/>
        <v>0</v>
      </c>
      <c r="BP22" s="90">
        <f t="shared" si="9"/>
        <v>0</v>
      </c>
      <c r="BQ22" s="90">
        <f t="shared" si="9"/>
        <v>0</v>
      </c>
      <c r="BR22" s="90">
        <f t="shared" ref="BR22:DU22" si="10">SUM(BR23:BR24)</f>
        <v>0</v>
      </c>
      <c r="BS22" s="90">
        <f t="shared" si="10"/>
        <v>0</v>
      </c>
      <c r="BT22" s="90">
        <f t="shared" si="10"/>
        <v>0</v>
      </c>
      <c r="BU22" s="90">
        <f t="shared" si="10"/>
        <v>0</v>
      </c>
      <c r="BV22" s="90">
        <f t="shared" si="10"/>
        <v>0</v>
      </c>
      <c r="BW22" s="90">
        <f t="shared" si="10"/>
        <v>0</v>
      </c>
      <c r="BX22" s="90">
        <f t="shared" si="10"/>
        <v>0</v>
      </c>
      <c r="BY22" s="90">
        <f t="shared" si="10"/>
        <v>0</v>
      </c>
      <c r="BZ22" s="90">
        <f t="shared" si="10"/>
        <v>0</v>
      </c>
      <c r="CA22" s="90">
        <f t="shared" si="10"/>
        <v>0</v>
      </c>
      <c r="CB22" s="90">
        <f t="shared" si="10"/>
        <v>0</v>
      </c>
      <c r="CC22" s="90">
        <f t="shared" si="10"/>
        <v>0</v>
      </c>
      <c r="CD22" s="90">
        <f t="shared" si="10"/>
        <v>0</v>
      </c>
      <c r="CE22" s="90">
        <f t="shared" si="10"/>
        <v>0</v>
      </c>
      <c r="CF22" s="90">
        <f t="shared" si="10"/>
        <v>0</v>
      </c>
      <c r="CG22" s="90">
        <f t="shared" si="10"/>
        <v>0</v>
      </c>
      <c r="CH22" s="90">
        <f t="shared" si="10"/>
        <v>0</v>
      </c>
      <c r="CI22" s="90">
        <f t="shared" si="10"/>
        <v>0</v>
      </c>
      <c r="CJ22" s="90">
        <f t="shared" si="10"/>
        <v>0</v>
      </c>
      <c r="CK22" s="90">
        <f t="shared" si="10"/>
        <v>0</v>
      </c>
      <c r="CL22" s="90">
        <f t="shared" si="10"/>
        <v>0</v>
      </c>
      <c r="CM22" s="90">
        <f t="shared" si="10"/>
        <v>0</v>
      </c>
      <c r="CN22" s="90">
        <f t="shared" si="10"/>
        <v>0</v>
      </c>
      <c r="CO22" s="90">
        <f t="shared" si="10"/>
        <v>0</v>
      </c>
      <c r="CP22" s="90">
        <f t="shared" si="10"/>
        <v>0</v>
      </c>
      <c r="CQ22" s="90">
        <f t="shared" si="10"/>
        <v>0</v>
      </c>
      <c r="CR22" s="90">
        <f t="shared" si="10"/>
        <v>0</v>
      </c>
      <c r="CS22" s="90">
        <f t="shared" si="10"/>
        <v>0</v>
      </c>
      <c r="CT22" s="90">
        <f t="shared" si="10"/>
        <v>0</v>
      </c>
      <c r="CU22" s="90">
        <f t="shared" si="10"/>
        <v>0</v>
      </c>
      <c r="CV22" s="90">
        <f t="shared" si="10"/>
        <v>0</v>
      </c>
      <c r="CW22" s="90">
        <f t="shared" si="10"/>
        <v>0</v>
      </c>
      <c r="CX22" s="90">
        <f t="shared" si="10"/>
        <v>0</v>
      </c>
      <c r="CY22" s="90">
        <f t="shared" si="10"/>
        <v>0</v>
      </c>
      <c r="CZ22" s="90">
        <f t="shared" si="10"/>
        <v>0</v>
      </c>
      <c r="DA22" s="90">
        <f t="shared" si="10"/>
        <v>0</v>
      </c>
      <c r="DB22" s="90">
        <f t="shared" si="10"/>
        <v>0</v>
      </c>
      <c r="DC22" s="90">
        <f t="shared" si="10"/>
        <v>0</v>
      </c>
      <c r="DD22" s="90">
        <f t="shared" si="10"/>
        <v>0</v>
      </c>
      <c r="DE22" s="90">
        <f t="shared" si="10"/>
        <v>0</v>
      </c>
      <c r="DF22" s="90">
        <f t="shared" si="10"/>
        <v>0</v>
      </c>
      <c r="DG22" s="90">
        <f t="shared" si="10"/>
        <v>0</v>
      </c>
      <c r="DH22" s="90">
        <f t="shared" si="10"/>
        <v>0</v>
      </c>
      <c r="DI22" s="90">
        <f t="shared" si="10"/>
        <v>0</v>
      </c>
      <c r="DJ22" s="90">
        <f t="shared" si="10"/>
        <v>0</v>
      </c>
      <c r="DK22" s="90">
        <f t="shared" si="10"/>
        <v>0</v>
      </c>
      <c r="DL22" s="90">
        <f t="shared" si="10"/>
        <v>0</v>
      </c>
      <c r="DM22" s="90">
        <f t="shared" si="10"/>
        <v>0</v>
      </c>
      <c r="DN22" s="90">
        <f t="shared" si="10"/>
        <v>0</v>
      </c>
      <c r="DO22" s="90">
        <f t="shared" si="10"/>
        <v>0</v>
      </c>
      <c r="DP22" s="90">
        <f t="shared" si="10"/>
        <v>0</v>
      </c>
      <c r="DQ22" s="90">
        <f t="shared" si="10"/>
        <v>0</v>
      </c>
      <c r="DR22" s="90">
        <f t="shared" si="10"/>
        <v>0</v>
      </c>
      <c r="DS22" s="90">
        <f t="shared" si="10"/>
        <v>0</v>
      </c>
      <c r="DT22" s="90">
        <f t="shared" si="10"/>
        <v>0</v>
      </c>
      <c r="DU22" s="88">
        <f t="shared" si="10"/>
        <v>0</v>
      </c>
    </row>
    <row r="23" spans="1:125" x14ac:dyDescent="0.4">
      <c r="B23" s="74"/>
      <c r="C23" s="55" t="s">
        <v>60</v>
      </c>
      <c r="D23" s="62"/>
      <c r="E23" s="59">
        <f>-(E14+E17)*Assumptions!$K$30</f>
        <v>0</v>
      </c>
      <c r="F23" s="59">
        <f>-(F14+F17)*Assumptions!$K$30</f>
        <v>0</v>
      </c>
      <c r="G23" s="59">
        <f>-(G14+G17)*Assumptions!$K$30</f>
        <v>0</v>
      </c>
      <c r="H23" s="59">
        <f>-(H14+H17)*Assumptions!$K$30</f>
        <v>0</v>
      </c>
      <c r="I23" s="59">
        <f>-(I14+I17)*Assumptions!$K$30</f>
        <v>0</v>
      </c>
      <c r="J23" s="59">
        <f>-(J14+J17)*Assumptions!$K$30</f>
        <v>0</v>
      </c>
      <c r="K23" s="59">
        <f>-(K14+K17)*Assumptions!$K$30</f>
        <v>0</v>
      </c>
      <c r="L23" s="59">
        <f>-(L14+L17)*Assumptions!$K$30</f>
        <v>0</v>
      </c>
      <c r="M23" s="59">
        <f>-(M14+M17)*Assumptions!$K$30</f>
        <v>0</v>
      </c>
      <c r="N23" s="59">
        <f>-(N14+N17)*Assumptions!$K$30</f>
        <v>0</v>
      </c>
      <c r="O23" s="59">
        <f>-(O14+O17)*Assumptions!$K$30</f>
        <v>0</v>
      </c>
      <c r="P23" s="59">
        <f>-(P14+P17)*Assumptions!$K$30</f>
        <v>0</v>
      </c>
      <c r="Q23" s="59">
        <f>-(Q14+Q17)*Assumptions!$K$30</f>
        <v>0</v>
      </c>
      <c r="R23" s="59">
        <f>-(R14+R17)*Assumptions!$K$30</f>
        <v>0</v>
      </c>
      <c r="S23" s="59">
        <f>-(S14+S17)*Assumptions!$K$30</f>
        <v>0</v>
      </c>
      <c r="T23" s="59">
        <f>-(T14+T17)*Assumptions!$K$30</f>
        <v>0</v>
      </c>
      <c r="U23" s="59">
        <f>-(U14+U17)*Assumptions!$K$30</f>
        <v>0</v>
      </c>
      <c r="V23" s="59">
        <f>-(V14+V17)*Assumptions!$K$30</f>
        <v>0</v>
      </c>
      <c r="W23" s="59">
        <f>-(W14+W17)*Assumptions!$K$30</f>
        <v>0</v>
      </c>
      <c r="X23" s="59">
        <f>-(X14+X17)*Assumptions!$K$30</f>
        <v>0</v>
      </c>
      <c r="Y23" s="59">
        <f>-(Y14+Y17)*Assumptions!$K$30</f>
        <v>0</v>
      </c>
      <c r="Z23" s="59">
        <f>-(Z14+Z17)*Assumptions!$K$30</f>
        <v>0</v>
      </c>
      <c r="AA23" s="59">
        <f>-(AA14+AA17)*Assumptions!$K$30</f>
        <v>0</v>
      </c>
      <c r="AB23" s="59">
        <f>-(AB14+AB17)*Assumptions!$K$30</f>
        <v>0</v>
      </c>
      <c r="AC23" s="59">
        <f>-(AC14+AC17)*Assumptions!$K$30</f>
        <v>0</v>
      </c>
      <c r="AD23" s="59">
        <f>-(AD14+AD17)*Assumptions!$K$30</f>
        <v>0</v>
      </c>
      <c r="AE23" s="59">
        <f>-(AE14+AE17)*Assumptions!$K$30</f>
        <v>0</v>
      </c>
      <c r="AF23" s="59">
        <f>-(AF14+AF17)*Assumptions!$K$30</f>
        <v>0</v>
      </c>
      <c r="AG23" s="59">
        <f>-(AG14+AG17)*Assumptions!$K$30</f>
        <v>0</v>
      </c>
      <c r="AH23" s="59">
        <f>-(AH14+AH17)*Assumptions!$K$30</f>
        <v>0</v>
      </c>
      <c r="AI23" s="59">
        <f>-(AI14+AI17)*Assumptions!$K$30</f>
        <v>0</v>
      </c>
      <c r="AJ23" s="59">
        <f>-(AJ14+AJ17)*Assumptions!$K$30</f>
        <v>0</v>
      </c>
      <c r="AK23" s="59">
        <f>-(AK14+AK17)*Assumptions!$K$30</f>
        <v>0</v>
      </c>
      <c r="AL23" s="59">
        <f>-(AL14+AL17)*Assumptions!$K$30</f>
        <v>0</v>
      </c>
      <c r="AM23" s="59">
        <f>-(AM14+AM17)*Assumptions!$K$30</f>
        <v>0</v>
      </c>
      <c r="AN23" s="59">
        <f>-(AN14+AN17)*Assumptions!$K$30</f>
        <v>0</v>
      </c>
      <c r="AO23" s="59">
        <f>-(AO14+AO17)*Assumptions!$K$30</f>
        <v>0</v>
      </c>
      <c r="AP23" s="59">
        <f>-(AP14+AP17)*Assumptions!$K$30</f>
        <v>0</v>
      </c>
      <c r="AQ23" s="59">
        <f>-(AQ14+AQ17)*Assumptions!$K$30</f>
        <v>0</v>
      </c>
      <c r="AR23" s="59">
        <f>-(AR14+AR17)*Assumptions!$K$30</f>
        <v>0</v>
      </c>
      <c r="AS23" s="59">
        <f>-(AS14+AS17)*Assumptions!$K$30</f>
        <v>0</v>
      </c>
      <c r="AT23" s="59">
        <f>-(AT14+AT17)*Assumptions!$K$30</f>
        <v>0</v>
      </c>
      <c r="AU23" s="59">
        <f>-(AU14+AU17)*Assumptions!$K$30</f>
        <v>0</v>
      </c>
      <c r="AV23" s="59">
        <f>-(AV14+AV17)*Assumptions!$K$30</f>
        <v>0</v>
      </c>
      <c r="AW23" s="59">
        <f>-(AW14+AW17)*Assumptions!$K$30</f>
        <v>0</v>
      </c>
      <c r="AX23" s="59">
        <f>-(AX14+AX17)*Assumptions!$K$30</f>
        <v>0</v>
      </c>
      <c r="AY23" s="59">
        <f>-(AY14+AY17)*Assumptions!$K$30</f>
        <v>0</v>
      </c>
      <c r="AZ23" s="59">
        <f>-(AZ14+AZ17)*Assumptions!$K$30</f>
        <v>0</v>
      </c>
      <c r="BA23" s="59">
        <f>-(BA14+BA17)*Assumptions!$K$30</f>
        <v>0</v>
      </c>
      <c r="BB23" s="59">
        <f>-(BB14+BB17)*Assumptions!$K$30</f>
        <v>0</v>
      </c>
      <c r="BC23" s="59">
        <f>-(BC14+BC17)*Assumptions!$K$30</f>
        <v>0</v>
      </c>
      <c r="BD23" s="59">
        <f>-(BD14+BD17)*Assumptions!$K$30</f>
        <v>0</v>
      </c>
      <c r="BE23" s="59">
        <f>-(BE14+BE17)*Assumptions!$K$30</f>
        <v>0</v>
      </c>
      <c r="BF23" s="59">
        <f>-(BF14+BF17)*Assumptions!$K$30</f>
        <v>0</v>
      </c>
      <c r="BG23" s="59">
        <f>-(BG14+BG17)*Assumptions!$K$30</f>
        <v>0</v>
      </c>
      <c r="BH23" s="59">
        <f>-(BH14+BH17)*Assumptions!$K$30</f>
        <v>0</v>
      </c>
      <c r="BI23" s="59">
        <f>-(BI14+BI17)*Assumptions!$K$30</f>
        <v>0</v>
      </c>
      <c r="BJ23" s="59">
        <f>-(BJ14+BJ17)*Assumptions!$K$30</f>
        <v>0</v>
      </c>
      <c r="BK23" s="59">
        <f>-(BK14+BK17)*Assumptions!$K$30</f>
        <v>0</v>
      </c>
      <c r="BL23" s="59">
        <f>-(BL14+BL17)*Assumptions!$K$30</f>
        <v>0</v>
      </c>
      <c r="BM23" s="59">
        <f>-(BM14+BM17)*Assumptions!$K$30</f>
        <v>0</v>
      </c>
      <c r="BN23" s="59">
        <f>-(BN14+BN17)*Assumptions!$K$30</f>
        <v>0</v>
      </c>
      <c r="BO23" s="59">
        <f>-(BO14+BO17)*Assumptions!$K$30</f>
        <v>0</v>
      </c>
      <c r="BP23" s="59">
        <f>-(BP14+BP17)*Assumptions!$K$30</f>
        <v>0</v>
      </c>
      <c r="BQ23" s="59">
        <f>-(BQ14+BQ17)*Assumptions!$K$30</f>
        <v>0</v>
      </c>
      <c r="BR23" s="59">
        <f>-(BR14+BR17)*Assumptions!$K$30</f>
        <v>0</v>
      </c>
      <c r="BS23" s="59">
        <f>-(BS14+BS17)*Assumptions!$K$30</f>
        <v>0</v>
      </c>
      <c r="BT23" s="59">
        <f>-(BT14+BT17)*Assumptions!$K$30</f>
        <v>0</v>
      </c>
      <c r="BU23" s="59">
        <f>-(BU14+BU17)*Assumptions!$K$30</f>
        <v>0</v>
      </c>
      <c r="BV23" s="59">
        <f>-(BV14+BV17)*Assumptions!$K$30</f>
        <v>0</v>
      </c>
      <c r="BW23" s="59">
        <f>-(BW14+BW17)*Assumptions!$K$30</f>
        <v>0</v>
      </c>
      <c r="BX23" s="59">
        <f>-(BX14+BX17)*Assumptions!$K$30</f>
        <v>0</v>
      </c>
      <c r="BY23" s="59">
        <f>-(BY14+BY17)*Assumptions!$K$30</f>
        <v>0</v>
      </c>
      <c r="BZ23" s="59">
        <f>-(BZ14+BZ17)*Assumptions!$K$30</f>
        <v>0</v>
      </c>
      <c r="CA23" s="59">
        <f>-(CA14+CA17)*Assumptions!$K$30</f>
        <v>0</v>
      </c>
      <c r="CB23" s="59">
        <f>-(CB14+CB17)*Assumptions!$K$30</f>
        <v>0</v>
      </c>
      <c r="CC23" s="59">
        <f>-(CC14+CC17)*Assumptions!$K$30</f>
        <v>0</v>
      </c>
      <c r="CD23" s="59">
        <f>-(CD14+CD17)*Assumptions!$K$30</f>
        <v>0</v>
      </c>
      <c r="CE23" s="59">
        <f>-(CE14+CE17)*Assumptions!$K$30</f>
        <v>0</v>
      </c>
      <c r="CF23" s="59">
        <f>-(CF14+CF17)*Assumptions!$K$30</f>
        <v>0</v>
      </c>
      <c r="CG23" s="59">
        <f>-(CG14+CG17)*Assumptions!$K$30</f>
        <v>0</v>
      </c>
      <c r="CH23" s="59">
        <f>-(CH14+CH17)*Assumptions!$K$30</f>
        <v>0</v>
      </c>
      <c r="CI23" s="59">
        <f>-(CI14+CI17)*Assumptions!$K$30</f>
        <v>0</v>
      </c>
      <c r="CJ23" s="59">
        <f>-(CJ14+CJ17)*Assumptions!$K$30</f>
        <v>0</v>
      </c>
      <c r="CK23" s="59">
        <f>-(CK14+CK17)*Assumptions!$K$30</f>
        <v>0</v>
      </c>
      <c r="CL23" s="59">
        <f>-(CL14+CL17)*Assumptions!$K$30</f>
        <v>0</v>
      </c>
      <c r="CM23" s="59">
        <f>-(CM14+CM17)*Assumptions!$K$30</f>
        <v>0</v>
      </c>
      <c r="CN23" s="59">
        <f>-(CN14+CN17)*Assumptions!$K$30</f>
        <v>0</v>
      </c>
      <c r="CO23" s="59">
        <f>-(CO14+CO17)*Assumptions!$K$30</f>
        <v>0</v>
      </c>
      <c r="CP23" s="59">
        <f>-(CP14+CP17)*Assumptions!$K$30</f>
        <v>0</v>
      </c>
      <c r="CQ23" s="59">
        <f>-(CQ14+CQ17)*Assumptions!$K$30</f>
        <v>0</v>
      </c>
      <c r="CR23" s="59">
        <f>-(CR14+CR17)*Assumptions!$K$30</f>
        <v>0</v>
      </c>
      <c r="CS23" s="59">
        <f>-(CS14+CS17)*Assumptions!$K$30</f>
        <v>0</v>
      </c>
      <c r="CT23" s="59">
        <f>-(CT14+CT17)*Assumptions!$K$30</f>
        <v>0</v>
      </c>
      <c r="CU23" s="59">
        <f>-(CU14+CU17)*Assumptions!$K$30</f>
        <v>0</v>
      </c>
      <c r="CV23" s="59">
        <f>-(CV14+CV17)*Assumptions!$K$30</f>
        <v>0</v>
      </c>
      <c r="CW23" s="59">
        <f>-(CW14+CW17)*Assumptions!$K$30</f>
        <v>0</v>
      </c>
      <c r="CX23" s="59">
        <f>-(CX14+CX17)*Assumptions!$K$30</f>
        <v>0</v>
      </c>
      <c r="CY23" s="59">
        <f>-(CY14+CY17)*Assumptions!$K$30</f>
        <v>0</v>
      </c>
      <c r="CZ23" s="59">
        <f>-(CZ14+CZ17)*Assumptions!$K$30</f>
        <v>0</v>
      </c>
      <c r="DA23" s="59">
        <f>-(DA14+DA17)*Assumptions!$K$30</f>
        <v>0</v>
      </c>
      <c r="DB23" s="59">
        <f>-(DB14+DB17)*Assumptions!$K$30</f>
        <v>0</v>
      </c>
      <c r="DC23" s="59">
        <f>-(DC14+DC17)*Assumptions!$K$30</f>
        <v>0</v>
      </c>
      <c r="DD23" s="59">
        <f>-(DD14+DD17)*Assumptions!$K$30</f>
        <v>0</v>
      </c>
      <c r="DE23" s="59">
        <f>-(DE14+DE17)*Assumptions!$K$30</f>
        <v>0</v>
      </c>
      <c r="DF23" s="59">
        <f>-(DF14+DF17)*Assumptions!$K$30</f>
        <v>0</v>
      </c>
      <c r="DG23" s="59">
        <f>-(DG14+DG17)*Assumptions!$K$30</f>
        <v>0</v>
      </c>
      <c r="DH23" s="59">
        <f>-(DH14+DH17)*Assumptions!$K$30</f>
        <v>0</v>
      </c>
      <c r="DI23" s="59">
        <f>-(DI14+DI17)*Assumptions!$K$30</f>
        <v>0</v>
      </c>
      <c r="DJ23" s="59">
        <f>-(DJ14+DJ17)*Assumptions!$K$30</f>
        <v>0</v>
      </c>
      <c r="DK23" s="59">
        <f>-(DK14+DK17)*Assumptions!$K$30</f>
        <v>0</v>
      </c>
      <c r="DL23" s="59">
        <f>-(DL14+DL17)*Assumptions!$K$30</f>
        <v>0</v>
      </c>
      <c r="DM23" s="59">
        <f>-(DM14+DM17)*Assumptions!$K$30</f>
        <v>0</v>
      </c>
      <c r="DN23" s="59">
        <f>-(DN14+DN17)*Assumptions!$K$30</f>
        <v>0</v>
      </c>
      <c r="DO23" s="59">
        <f>-(DO14+DO17)*Assumptions!$K$30</f>
        <v>0</v>
      </c>
      <c r="DP23" s="59">
        <f>-(DP14+DP17)*Assumptions!$K$30</f>
        <v>0</v>
      </c>
      <c r="DQ23" s="59">
        <f>-(DQ14+DQ17)*Assumptions!$K$30</f>
        <v>0</v>
      </c>
      <c r="DR23" s="59">
        <f>-(DR14+DR17)*Assumptions!$K$30</f>
        <v>0</v>
      </c>
      <c r="DS23" s="59">
        <f>-(DS14+DS17)*Assumptions!$K$30</f>
        <v>0</v>
      </c>
      <c r="DT23" s="59">
        <f>-(DT14+DT17)*Assumptions!$K$30</f>
        <v>0</v>
      </c>
      <c r="DU23" s="60">
        <f>-(DU14+DU17)*Assumptions!$K$30</f>
        <v>0</v>
      </c>
    </row>
    <row r="24" spans="1:125" x14ac:dyDescent="0.4">
      <c r="B24" s="74"/>
      <c r="C24" s="55" t="s">
        <v>61</v>
      </c>
      <c r="D24" s="62"/>
      <c r="E24" s="59">
        <f>-(E15+E18)*Assumptions!$L$30</f>
        <v>0</v>
      </c>
      <c r="F24" s="59">
        <f>-(F15+F18)*Assumptions!$L$30</f>
        <v>0</v>
      </c>
      <c r="G24" s="59">
        <f>-(G15+G18)*Assumptions!$L$30</f>
        <v>0</v>
      </c>
      <c r="H24" s="59">
        <f>-(H15+H18)*Assumptions!$L$30</f>
        <v>0</v>
      </c>
      <c r="I24" s="59">
        <f>-(I15+I18)*Assumptions!$L$30</f>
        <v>0</v>
      </c>
      <c r="J24" s="59">
        <f>-(J15+J18)*Assumptions!$L$30</f>
        <v>0</v>
      </c>
      <c r="K24" s="59">
        <f>-(K15+K18)*Assumptions!$L$30</f>
        <v>0</v>
      </c>
      <c r="L24" s="59">
        <f>-(L15+L18)*Assumptions!$L$30</f>
        <v>0</v>
      </c>
      <c r="M24" s="59">
        <f>-(M15+M18)*Assumptions!$L$30</f>
        <v>0</v>
      </c>
      <c r="N24" s="59">
        <f>-(N15+N18)*Assumptions!$L$30</f>
        <v>0</v>
      </c>
      <c r="O24" s="59">
        <f>-(O15+O18)*Assumptions!$L$30</f>
        <v>0</v>
      </c>
      <c r="P24" s="59">
        <f>-(P15+P18)*Assumptions!$L$30</f>
        <v>0</v>
      </c>
      <c r="Q24" s="59">
        <f>-(Q15+Q18)*Assumptions!$L$30</f>
        <v>0</v>
      </c>
      <c r="R24" s="59">
        <f>-(R15+R18)*Assumptions!$L$30</f>
        <v>0</v>
      </c>
      <c r="S24" s="59">
        <f>-(S15+S18)*Assumptions!$L$30</f>
        <v>0</v>
      </c>
      <c r="T24" s="59">
        <f>-(T15+T18)*Assumptions!$L$30</f>
        <v>0</v>
      </c>
      <c r="U24" s="59">
        <f>-(U15+U18)*Assumptions!$L$30</f>
        <v>0</v>
      </c>
      <c r="V24" s="59">
        <f>-(V15+V18)*Assumptions!$L$30</f>
        <v>0</v>
      </c>
      <c r="W24" s="59">
        <f>-(W15+W18)*Assumptions!$L$30</f>
        <v>0</v>
      </c>
      <c r="X24" s="59">
        <f>-(X15+X18)*Assumptions!$L$30</f>
        <v>0</v>
      </c>
      <c r="Y24" s="59">
        <f>-(Y15+Y18)*Assumptions!$L$30</f>
        <v>0</v>
      </c>
      <c r="Z24" s="59">
        <f>-(Z15+Z18)*Assumptions!$L$30</f>
        <v>0</v>
      </c>
      <c r="AA24" s="59">
        <f>-(AA15+AA18)*Assumptions!$L$30</f>
        <v>0</v>
      </c>
      <c r="AB24" s="59">
        <f>-(AB15+AB18)*Assumptions!$L$30</f>
        <v>0</v>
      </c>
      <c r="AC24" s="59">
        <f>-(AC15+AC18)*Assumptions!$L$30</f>
        <v>0</v>
      </c>
      <c r="AD24" s="59">
        <f>-(AD15+AD18)*Assumptions!$L$30</f>
        <v>0</v>
      </c>
      <c r="AE24" s="59">
        <f>-(AE15+AE18)*Assumptions!$L$30</f>
        <v>0</v>
      </c>
      <c r="AF24" s="59">
        <f>-(AF15+AF18)*Assumptions!$L$30</f>
        <v>0</v>
      </c>
      <c r="AG24" s="59">
        <f>-(AG15+AG18)*Assumptions!$L$30</f>
        <v>0</v>
      </c>
      <c r="AH24" s="59">
        <f>-(AH15+AH18)*Assumptions!$L$30</f>
        <v>0</v>
      </c>
      <c r="AI24" s="59">
        <f>-(AI15+AI18)*Assumptions!$L$30</f>
        <v>0</v>
      </c>
      <c r="AJ24" s="59">
        <f>-(AJ15+AJ18)*Assumptions!$L$30</f>
        <v>0</v>
      </c>
      <c r="AK24" s="59">
        <f>-(AK15+AK18)*Assumptions!$L$30</f>
        <v>0</v>
      </c>
      <c r="AL24" s="59">
        <f>-(AL15+AL18)*Assumptions!$L$30</f>
        <v>0</v>
      </c>
      <c r="AM24" s="59">
        <f>-(AM15+AM18)*Assumptions!$L$30</f>
        <v>0</v>
      </c>
      <c r="AN24" s="59">
        <f>-(AN15+AN18)*Assumptions!$L$30</f>
        <v>0</v>
      </c>
      <c r="AO24" s="59">
        <f>-(AO15+AO18)*Assumptions!$L$30</f>
        <v>0</v>
      </c>
      <c r="AP24" s="59">
        <f>-(AP15+AP18)*Assumptions!$L$30</f>
        <v>0</v>
      </c>
      <c r="AQ24" s="59">
        <f>-(AQ15+AQ18)*Assumptions!$L$30</f>
        <v>0</v>
      </c>
      <c r="AR24" s="59">
        <f>-(AR15+AR18)*Assumptions!$L$30</f>
        <v>0</v>
      </c>
      <c r="AS24" s="59">
        <f>-(AS15+AS18)*Assumptions!$L$30</f>
        <v>0</v>
      </c>
      <c r="AT24" s="59">
        <f>-(AT15+AT18)*Assumptions!$L$30</f>
        <v>0</v>
      </c>
      <c r="AU24" s="59">
        <f>-(AU15+AU18)*Assumptions!$L$30</f>
        <v>0</v>
      </c>
      <c r="AV24" s="59">
        <f>-(AV15+AV18)*Assumptions!$L$30</f>
        <v>0</v>
      </c>
      <c r="AW24" s="59">
        <f>-(AW15+AW18)*Assumptions!$L$30</f>
        <v>0</v>
      </c>
      <c r="AX24" s="59">
        <f>-(AX15+AX18)*Assumptions!$L$30</f>
        <v>0</v>
      </c>
      <c r="AY24" s="59">
        <f>-(AY15+AY18)*Assumptions!$L$30</f>
        <v>0</v>
      </c>
      <c r="AZ24" s="59">
        <f>-(AZ15+AZ18)*Assumptions!$L$30</f>
        <v>0</v>
      </c>
      <c r="BA24" s="59">
        <f>-(BA15+BA18)*Assumptions!$L$30</f>
        <v>0</v>
      </c>
      <c r="BB24" s="59">
        <f>-(BB15+BB18)*Assumptions!$L$30</f>
        <v>0</v>
      </c>
      <c r="BC24" s="59">
        <f>-(BC15+BC18)*Assumptions!$L$30</f>
        <v>0</v>
      </c>
      <c r="BD24" s="59">
        <f>-(BD15+BD18)*Assumptions!$L$30</f>
        <v>0</v>
      </c>
      <c r="BE24" s="59">
        <f>-(BE15+BE18)*Assumptions!$L$30</f>
        <v>0</v>
      </c>
      <c r="BF24" s="59">
        <f>-(BF15+BF18)*Assumptions!$L$30</f>
        <v>0</v>
      </c>
      <c r="BG24" s="59">
        <f>-(BG15+BG18)*Assumptions!$L$30</f>
        <v>0</v>
      </c>
      <c r="BH24" s="59">
        <f>-(BH15+BH18)*Assumptions!$L$30</f>
        <v>0</v>
      </c>
      <c r="BI24" s="59">
        <f>-(BI15+BI18)*Assumptions!$L$30</f>
        <v>0</v>
      </c>
      <c r="BJ24" s="59">
        <f>-(BJ15+BJ18)*Assumptions!$L$30</f>
        <v>0</v>
      </c>
      <c r="BK24" s="59">
        <f>-(BK15+BK18)*Assumptions!$L$30</f>
        <v>0</v>
      </c>
      <c r="BL24" s="59">
        <f>-(BL15+BL18)*Assumptions!$L$30</f>
        <v>0</v>
      </c>
      <c r="BM24" s="59">
        <f>-(BM15+BM18)*Assumptions!$L$30</f>
        <v>0</v>
      </c>
      <c r="BN24" s="59">
        <f>-(BN15+BN18)*Assumptions!$L$30</f>
        <v>0</v>
      </c>
      <c r="BO24" s="59">
        <f>-(BO15+BO18)*Assumptions!$L$30</f>
        <v>0</v>
      </c>
      <c r="BP24" s="59">
        <f>-(BP15+BP18)*Assumptions!$L$30</f>
        <v>0</v>
      </c>
      <c r="BQ24" s="59">
        <f>-(BQ15+BQ18)*Assumptions!$L$30</f>
        <v>0</v>
      </c>
      <c r="BR24" s="59">
        <f>-(BR15+BR18)*Assumptions!$L$30</f>
        <v>0</v>
      </c>
      <c r="BS24" s="59">
        <f>-(BS15+BS18)*Assumptions!$L$30</f>
        <v>0</v>
      </c>
      <c r="BT24" s="59">
        <f>-(BT15+BT18)*Assumptions!$L$30</f>
        <v>0</v>
      </c>
      <c r="BU24" s="59">
        <f>-(BU15+BU18)*Assumptions!$L$30</f>
        <v>0</v>
      </c>
      <c r="BV24" s="59">
        <f>-(BV15+BV18)*Assumptions!$L$30</f>
        <v>0</v>
      </c>
      <c r="BW24" s="59">
        <f>-(BW15+BW18)*Assumptions!$L$30</f>
        <v>0</v>
      </c>
      <c r="BX24" s="59">
        <f>-(BX15+BX18)*Assumptions!$L$30</f>
        <v>0</v>
      </c>
      <c r="BY24" s="59">
        <f>-(BY15+BY18)*Assumptions!$L$30</f>
        <v>0</v>
      </c>
      <c r="BZ24" s="59">
        <f>-(BZ15+BZ18)*Assumptions!$L$30</f>
        <v>0</v>
      </c>
      <c r="CA24" s="59">
        <f>-(CA15+CA18)*Assumptions!$L$30</f>
        <v>0</v>
      </c>
      <c r="CB24" s="59">
        <f>-(CB15+CB18)*Assumptions!$L$30</f>
        <v>0</v>
      </c>
      <c r="CC24" s="59">
        <f>-(CC15+CC18)*Assumptions!$L$30</f>
        <v>0</v>
      </c>
      <c r="CD24" s="59">
        <f>-(CD15+CD18)*Assumptions!$L$30</f>
        <v>0</v>
      </c>
      <c r="CE24" s="59">
        <f>-(CE15+CE18)*Assumptions!$L$30</f>
        <v>0</v>
      </c>
      <c r="CF24" s="59">
        <f>-(CF15+CF18)*Assumptions!$L$30</f>
        <v>0</v>
      </c>
      <c r="CG24" s="59">
        <f>-(CG15+CG18)*Assumptions!$L$30</f>
        <v>0</v>
      </c>
      <c r="CH24" s="59">
        <f>-(CH15+CH18)*Assumptions!$L$30</f>
        <v>0</v>
      </c>
      <c r="CI24" s="59">
        <f>-(CI15+CI18)*Assumptions!$L$30</f>
        <v>0</v>
      </c>
      <c r="CJ24" s="59">
        <f>-(CJ15+CJ18)*Assumptions!$L$30</f>
        <v>0</v>
      </c>
      <c r="CK24" s="59">
        <f>-(CK15+CK18)*Assumptions!$L$30</f>
        <v>0</v>
      </c>
      <c r="CL24" s="59">
        <f>-(CL15+CL18)*Assumptions!$L$30</f>
        <v>0</v>
      </c>
      <c r="CM24" s="59">
        <f>-(CM15+CM18)*Assumptions!$L$30</f>
        <v>0</v>
      </c>
      <c r="CN24" s="59">
        <f>-(CN15+CN18)*Assumptions!$L$30</f>
        <v>0</v>
      </c>
      <c r="CO24" s="59">
        <f>-(CO15+CO18)*Assumptions!$L$30</f>
        <v>0</v>
      </c>
      <c r="CP24" s="59">
        <f>-(CP15+CP18)*Assumptions!$L$30</f>
        <v>0</v>
      </c>
      <c r="CQ24" s="59">
        <f>-(CQ15+CQ18)*Assumptions!$L$30</f>
        <v>0</v>
      </c>
      <c r="CR24" s="59">
        <f>-(CR15+CR18)*Assumptions!$L$30</f>
        <v>0</v>
      </c>
      <c r="CS24" s="59">
        <f>-(CS15+CS18)*Assumptions!$L$30</f>
        <v>0</v>
      </c>
      <c r="CT24" s="59">
        <f>-(CT15+CT18)*Assumptions!$L$30</f>
        <v>0</v>
      </c>
      <c r="CU24" s="59">
        <f>-(CU15+CU18)*Assumptions!$L$30</f>
        <v>0</v>
      </c>
      <c r="CV24" s="59">
        <f>-(CV15+CV18)*Assumptions!$L$30</f>
        <v>0</v>
      </c>
      <c r="CW24" s="59">
        <f>-(CW15+CW18)*Assumptions!$L$30</f>
        <v>0</v>
      </c>
      <c r="CX24" s="59">
        <f>-(CX15+CX18)*Assumptions!$L$30</f>
        <v>0</v>
      </c>
      <c r="CY24" s="59">
        <f>-(CY15+CY18)*Assumptions!$L$30</f>
        <v>0</v>
      </c>
      <c r="CZ24" s="59">
        <f>-(CZ15+CZ18)*Assumptions!$L$30</f>
        <v>0</v>
      </c>
      <c r="DA24" s="59">
        <f>-(DA15+DA18)*Assumptions!$L$30</f>
        <v>0</v>
      </c>
      <c r="DB24" s="59">
        <f>-(DB15+DB18)*Assumptions!$L$30</f>
        <v>0</v>
      </c>
      <c r="DC24" s="59">
        <f>-(DC15+DC18)*Assumptions!$L$30</f>
        <v>0</v>
      </c>
      <c r="DD24" s="59">
        <f>-(DD15+DD18)*Assumptions!$L$30</f>
        <v>0</v>
      </c>
      <c r="DE24" s="59">
        <f>-(DE15+DE18)*Assumptions!$L$30</f>
        <v>0</v>
      </c>
      <c r="DF24" s="59">
        <f>-(DF15+DF18)*Assumptions!$L$30</f>
        <v>0</v>
      </c>
      <c r="DG24" s="59">
        <f>-(DG15+DG18)*Assumptions!$L$30</f>
        <v>0</v>
      </c>
      <c r="DH24" s="59">
        <f>-(DH15+DH18)*Assumptions!$L$30</f>
        <v>0</v>
      </c>
      <c r="DI24" s="59">
        <f>-(DI15+DI18)*Assumptions!$L$30</f>
        <v>0</v>
      </c>
      <c r="DJ24" s="59">
        <f>-(DJ15+DJ18)*Assumptions!$L$30</f>
        <v>0</v>
      </c>
      <c r="DK24" s="59">
        <f>-(DK15+DK18)*Assumptions!$L$30</f>
        <v>0</v>
      </c>
      <c r="DL24" s="59">
        <f>-(DL15+DL18)*Assumptions!$L$30</f>
        <v>0</v>
      </c>
      <c r="DM24" s="59">
        <f>-(DM15+DM18)*Assumptions!$L$30</f>
        <v>0</v>
      </c>
      <c r="DN24" s="59">
        <f>-(DN15+DN18)*Assumptions!$L$30</f>
        <v>0</v>
      </c>
      <c r="DO24" s="59">
        <f>-(DO15+DO18)*Assumptions!$L$30</f>
        <v>0</v>
      </c>
      <c r="DP24" s="59">
        <f>-(DP15+DP18)*Assumptions!$L$30</f>
        <v>0</v>
      </c>
      <c r="DQ24" s="59">
        <f>-(DQ15+DQ18)*Assumptions!$L$30</f>
        <v>0</v>
      </c>
      <c r="DR24" s="59">
        <f>-(DR15+DR18)*Assumptions!$L$30</f>
        <v>0</v>
      </c>
      <c r="DS24" s="59">
        <f>-(DS15+DS18)*Assumptions!$L$30</f>
        <v>0</v>
      </c>
      <c r="DT24" s="59">
        <f>-(DT15+DT18)*Assumptions!$L$30</f>
        <v>0</v>
      </c>
      <c r="DU24" s="60">
        <f>-(DU15+DU18)*Assumptions!$L$30</f>
        <v>0</v>
      </c>
    </row>
    <row r="25" spans="1:125" x14ac:dyDescent="0.4">
      <c r="B25" s="74" t="s">
        <v>39</v>
      </c>
      <c r="D25" s="62"/>
      <c r="E25" s="90">
        <f>SUM(E26:E27)</f>
        <v>670000</v>
      </c>
      <c r="F25" s="90">
        <f t="shared" ref="F25:BQ25" si="11">SUM(F26:F27)</f>
        <v>663233</v>
      </c>
      <c r="G25" s="90">
        <f t="shared" si="11"/>
        <v>656534.34669999999</v>
      </c>
      <c r="H25" s="90">
        <f t="shared" si="11"/>
        <v>649903.34979832999</v>
      </c>
      <c r="I25" s="90">
        <f t="shared" si="11"/>
        <v>643339.32596536691</v>
      </c>
      <c r="J25" s="90">
        <f t="shared" si="11"/>
        <v>636841.5987731166</v>
      </c>
      <c r="K25" s="90">
        <f t="shared" si="11"/>
        <v>630409.49862550816</v>
      </c>
      <c r="L25" s="90">
        <f t="shared" si="11"/>
        <v>624042.36268939055</v>
      </c>
      <c r="M25" s="90">
        <f t="shared" si="11"/>
        <v>617739.5348262277</v>
      </c>
      <c r="N25" s="90">
        <f t="shared" si="11"/>
        <v>611500.3655244828</v>
      </c>
      <c r="O25" s="90">
        <f t="shared" si="11"/>
        <v>605324.21183268563</v>
      </c>
      <c r="P25" s="90">
        <f t="shared" si="11"/>
        <v>599210.43729317549</v>
      </c>
      <c r="Q25" s="90">
        <f t="shared" si="11"/>
        <v>593158.41187651444</v>
      </c>
      <c r="R25" s="90">
        <f t="shared" si="11"/>
        <v>587167.51191656152</v>
      </c>
      <c r="S25" s="90">
        <f t="shared" si="11"/>
        <v>581237.12004620431</v>
      </c>
      <c r="T25" s="90">
        <f t="shared" si="11"/>
        <v>575366.62513373757</v>
      </c>
      <c r="U25" s="90">
        <f t="shared" si="11"/>
        <v>569555.42221988679</v>
      </c>
      <c r="V25" s="90">
        <f t="shared" si="11"/>
        <v>563802.91245546599</v>
      </c>
      <c r="W25" s="90">
        <f t="shared" si="11"/>
        <v>558108.50303966575</v>
      </c>
      <c r="X25" s="90">
        <f t="shared" si="11"/>
        <v>552471.6071589652</v>
      </c>
      <c r="Y25" s="90">
        <f t="shared" si="11"/>
        <v>546891.6439266596</v>
      </c>
      <c r="Z25" s="90">
        <f t="shared" si="11"/>
        <v>541368.03832300042</v>
      </c>
      <c r="AA25" s="90">
        <f t="shared" si="11"/>
        <v>535900.22113593807</v>
      </c>
      <c r="AB25" s="90">
        <f t="shared" si="11"/>
        <v>530487.62890246511</v>
      </c>
      <c r="AC25" s="90">
        <f t="shared" si="11"/>
        <v>525129.70385055023</v>
      </c>
      <c r="AD25" s="90">
        <f t="shared" si="11"/>
        <v>519825.89384165965</v>
      </c>
      <c r="AE25" s="90">
        <f t="shared" si="11"/>
        <v>514575.65231385885</v>
      </c>
      <c r="AF25" s="90">
        <f t="shared" si="11"/>
        <v>509378.43822548888</v>
      </c>
      <c r="AG25" s="90">
        <f t="shared" si="11"/>
        <v>504233.71599941142</v>
      </c>
      <c r="AH25" s="90">
        <f t="shared" si="11"/>
        <v>499140.95546781737</v>
      </c>
      <c r="AI25" s="90">
        <f t="shared" si="11"/>
        <v>494099.63181759242</v>
      </c>
      <c r="AJ25" s="90">
        <f t="shared" si="11"/>
        <v>489109.22553623474</v>
      </c>
      <c r="AK25" s="90">
        <f t="shared" si="11"/>
        <v>484169.2223583188</v>
      </c>
      <c r="AL25" s="90">
        <f t="shared" si="11"/>
        <v>479279.11321249977</v>
      </c>
      <c r="AM25" s="90">
        <f t="shared" si="11"/>
        <v>474438.39416905353</v>
      </c>
      <c r="AN25" s="90">
        <f t="shared" si="11"/>
        <v>469646.56638794614</v>
      </c>
      <c r="AO25" s="90">
        <f t="shared" si="11"/>
        <v>464903.13606742787</v>
      </c>
      <c r="AP25" s="90">
        <f t="shared" si="11"/>
        <v>460207.61439314683</v>
      </c>
      <c r="AQ25" s="90">
        <f t="shared" si="11"/>
        <v>455559.51748777606</v>
      </c>
      <c r="AR25" s="90">
        <f t="shared" si="11"/>
        <v>450958.36636114953</v>
      </c>
      <c r="AS25" s="90">
        <f t="shared" si="11"/>
        <v>446403.68686090194</v>
      </c>
      <c r="AT25" s="90">
        <f t="shared" si="11"/>
        <v>441895.00962360681</v>
      </c>
      <c r="AU25" s="90">
        <f t="shared" si="11"/>
        <v>437431.8700264084</v>
      </c>
      <c r="AV25" s="90">
        <f t="shared" si="11"/>
        <v>433013.80813914171</v>
      </c>
      <c r="AW25" s="90">
        <f t="shared" si="11"/>
        <v>428640.36867693637</v>
      </c>
      <c r="AX25" s="90">
        <f t="shared" si="11"/>
        <v>424311.10095329926</v>
      </c>
      <c r="AY25" s="90">
        <f t="shared" si="11"/>
        <v>420025.55883367098</v>
      </c>
      <c r="AZ25" s="90">
        <f t="shared" si="11"/>
        <v>415783.30068945087</v>
      </c>
      <c r="BA25" s="90">
        <f t="shared" si="11"/>
        <v>411583.8893524874</v>
      </c>
      <c r="BB25" s="90">
        <f t="shared" si="11"/>
        <v>407426.8920700273</v>
      </c>
      <c r="BC25" s="90">
        <f t="shared" si="11"/>
        <v>403311.88046012004</v>
      </c>
      <c r="BD25" s="90">
        <f t="shared" si="11"/>
        <v>399238.43046747282</v>
      </c>
      <c r="BE25" s="90">
        <f t="shared" si="11"/>
        <v>395206.12231975136</v>
      </c>
      <c r="BF25" s="90">
        <f t="shared" si="11"/>
        <v>391214.54048432189</v>
      </c>
      <c r="BG25" s="90">
        <f t="shared" si="11"/>
        <v>387263.27362543024</v>
      </c>
      <c r="BH25" s="90">
        <f t="shared" si="11"/>
        <v>383351.91456181341</v>
      </c>
      <c r="BI25" s="90">
        <f t="shared" si="11"/>
        <v>379480.06022473914</v>
      </c>
      <c r="BJ25" s="90">
        <f t="shared" si="11"/>
        <v>375647.31161646929</v>
      </c>
      <c r="BK25" s="90">
        <f t="shared" si="11"/>
        <v>371853.27376914292</v>
      </c>
      <c r="BL25" s="90">
        <f t="shared" si="11"/>
        <v>368097.55570407456</v>
      </c>
      <c r="BM25" s="90">
        <f t="shared" si="11"/>
        <v>364379.77039146348</v>
      </c>
      <c r="BN25" s="90">
        <f t="shared" si="11"/>
        <v>360699.5347105097</v>
      </c>
      <c r="BO25" s="90">
        <f t="shared" si="11"/>
        <v>357056.46940993355</v>
      </c>
      <c r="BP25" s="90">
        <f t="shared" si="11"/>
        <v>353450.19906889315</v>
      </c>
      <c r="BQ25" s="90">
        <f t="shared" si="11"/>
        <v>349880.35205829737</v>
      </c>
      <c r="BR25" s="90">
        <f t="shared" ref="BR25:DU25" si="12">SUM(BR26:BR27)</f>
        <v>346346.56050250854</v>
      </c>
      <c r="BS25" s="90">
        <f t="shared" si="12"/>
        <v>342848.46024143317</v>
      </c>
      <c r="BT25" s="90">
        <f t="shared" si="12"/>
        <v>339385.69079299469</v>
      </c>
      <c r="BU25" s="90">
        <f t="shared" si="12"/>
        <v>335957.89531598543</v>
      </c>
      <c r="BV25" s="90">
        <f t="shared" si="12"/>
        <v>332564.72057329398</v>
      </c>
      <c r="BW25" s="90">
        <f t="shared" si="12"/>
        <v>329205.81689550373</v>
      </c>
      <c r="BX25" s="90">
        <f t="shared" si="12"/>
        <v>325880.83814485912</v>
      </c>
      <c r="BY25" s="90">
        <f t="shared" si="12"/>
        <v>322589.44167959603</v>
      </c>
      <c r="BZ25" s="90">
        <f t="shared" si="12"/>
        <v>319331.28831863217</v>
      </c>
      <c r="CA25" s="90">
        <f t="shared" si="12"/>
        <v>316106.04230661393</v>
      </c>
      <c r="CB25" s="90">
        <f t="shared" si="12"/>
        <v>312913.37127931713</v>
      </c>
      <c r="CC25" s="90">
        <f t="shared" si="12"/>
        <v>309752.94622939604</v>
      </c>
      <c r="CD25" s="90">
        <f t="shared" si="12"/>
        <v>306624.44147247908</v>
      </c>
      <c r="CE25" s="90">
        <f t="shared" si="12"/>
        <v>303527.53461360704</v>
      </c>
      <c r="CF25" s="90">
        <f t="shared" si="12"/>
        <v>300461.90651400964</v>
      </c>
      <c r="CG25" s="90">
        <f t="shared" si="12"/>
        <v>297427.24125821819</v>
      </c>
      <c r="CH25" s="90">
        <f t="shared" si="12"/>
        <v>294423.22612151015</v>
      </c>
      <c r="CI25" s="90">
        <f t="shared" si="12"/>
        <v>291449.55153768288</v>
      </c>
      <c r="CJ25" s="90">
        <f t="shared" si="12"/>
        <v>288505.91106715228</v>
      </c>
      <c r="CK25" s="90">
        <f t="shared" si="12"/>
        <v>285592.00136537408</v>
      </c>
      <c r="CL25" s="90">
        <f t="shared" si="12"/>
        <v>282707.52215158381</v>
      </c>
      <c r="CM25" s="90">
        <f t="shared" si="12"/>
        <v>279852.17617785279</v>
      </c>
      <c r="CN25" s="90">
        <f t="shared" si="12"/>
        <v>277025.66919845651</v>
      </c>
      <c r="CO25" s="90">
        <f t="shared" si="12"/>
        <v>274227.70993955206</v>
      </c>
      <c r="CP25" s="90">
        <f t="shared" si="12"/>
        <v>271458.01006916258</v>
      </c>
      <c r="CQ25" s="90">
        <f t="shared" si="12"/>
        <v>268716.28416746407</v>
      </c>
      <c r="CR25" s="90">
        <f t="shared" si="12"/>
        <v>266002.24969737267</v>
      </c>
      <c r="CS25" s="90">
        <f t="shared" si="12"/>
        <v>263315.62697542924</v>
      </c>
      <c r="CT25" s="90">
        <f t="shared" si="12"/>
        <v>260656.13914297739</v>
      </c>
      <c r="CU25" s="90">
        <f t="shared" si="12"/>
        <v>258023.51213763334</v>
      </c>
      <c r="CV25" s="90">
        <f t="shared" si="12"/>
        <v>255417.47466504324</v>
      </c>
      <c r="CW25" s="90">
        <f t="shared" si="12"/>
        <v>252837.75817092627</v>
      </c>
      <c r="CX25" s="90">
        <f t="shared" si="12"/>
        <v>250284.09681339993</v>
      </c>
      <c r="CY25" s="90">
        <f t="shared" si="12"/>
        <v>247756.22743558459</v>
      </c>
      <c r="CZ25" s="90">
        <f t="shared" si="12"/>
        <v>245253.88953848518</v>
      </c>
      <c r="DA25" s="90">
        <f t="shared" si="12"/>
        <v>242776.82525414648</v>
      </c>
      <c r="DB25" s="90">
        <f t="shared" si="12"/>
        <v>240324.77931907959</v>
      </c>
      <c r="DC25" s="90">
        <f t="shared" si="12"/>
        <v>237897.4990479569</v>
      </c>
      <c r="DD25" s="90">
        <f t="shared" si="12"/>
        <v>235494.73430757254</v>
      </c>
      <c r="DE25" s="90">
        <f t="shared" si="12"/>
        <v>233116.23749106607</v>
      </c>
      <c r="DF25" s="90">
        <f t="shared" si="12"/>
        <v>230761.76349240632</v>
      </c>
      <c r="DG25" s="90">
        <f t="shared" si="12"/>
        <v>228431.069681133</v>
      </c>
      <c r="DH25" s="90">
        <f t="shared" si="12"/>
        <v>226123.91587735355</v>
      </c>
      <c r="DI25" s="90">
        <f t="shared" si="12"/>
        <v>223840.06432699229</v>
      </c>
      <c r="DJ25" s="90">
        <f t="shared" si="12"/>
        <v>221579.27967728965</v>
      </c>
      <c r="DK25" s="90">
        <f t="shared" si="12"/>
        <v>219341.32895254903</v>
      </c>
      <c r="DL25" s="90">
        <f t="shared" si="12"/>
        <v>217125.98153012828</v>
      </c>
      <c r="DM25" s="90">
        <f t="shared" si="12"/>
        <v>214933.00911667402</v>
      </c>
      <c r="DN25" s="90">
        <f t="shared" si="12"/>
        <v>212762.18572459559</v>
      </c>
      <c r="DO25" s="90">
        <f t="shared" si="12"/>
        <v>210613.28764877719</v>
      </c>
      <c r="DP25" s="90">
        <f t="shared" si="12"/>
        <v>208486.09344352453</v>
      </c>
      <c r="DQ25" s="90">
        <f t="shared" si="12"/>
        <v>206380.38389974492</v>
      </c>
      <c r="DR25" s="90">
        <f t="shared" si="12"/>
        <v>204295.94202235751</v>
      </c>
      <c r="DS25" s="90">
        <f t="shared" si="12"/>
        <v>202232.55300793171</v>
      </c>
      <c r="DT25" s="90">
        <f t="shared" si="12"/>
        <v>200190.00422255159</v>
      </c>
      <c r="DU25" s="88">
        <f t="shared" si="12"/>
        <v>1201140.0253353093</v>
      </c>
    </row>
    <row r="26" spans="1:125" x14ac:dyDescent="0.4">
      <c r="B26" s="74"/>
      <c r="C26" s="55" t="s">
        <v>60</v>
      </c>
      <c r="D26" s="62"/>
      <c r="E26" s="59">
        <f>E14+E17+E23</f>
        <v>600000</v>
      </c>
      <c r="F26" s="59">
        <f t="shared" ref="F26:BQ26" si="13">F14+F17+F23</f>
        <v>593940</v>
      </c>
      <c r="G26" s="59">
        <f t="shared" si="13"/>
        <v>587941.20600000001</v>
      </c>
      <c r="H26" s="59">
        <f t="shared" si="13"/>
        <v>582002.99981940002</v>
      </c>
      <c r="I26" s="59">
        <f t="shared" si="13"/>
        <v>576124.76952122408</v>
      </c>
      <c r="J26" s="59">
        <f t="shared" si="13"/>
        <v>570305.90934905969</v>
      </c>
      <c r="K26" s="59">
        <f t="shared" si="13"/>
        <v>564545.81966463418</v>
      </c>
      <c r="L26" s="59">
        <f t="shared" si="13"/>
        <v>558843.90688602137</v>
      </c>
      <c r="M26" s="59">
        <f t="shared" si="13"/>
        <v>553199.58342647261</v>
      </c>
      <c r="N26" s="59">
        <f t="shared" si="13"/>
        <v>547612.26763386524</v>
      </c>
      <c r="O26" s="59">
        <f t="shared" si="13"/>
        <v>542081.38373076322</v>
      </c>
      <c r="P26" s="59">
        <f t="shared" si="13"/>
        <v>536606.3617550825</v>
      </c>
      <c r="Q26" s="59">
        <f t="shared" si="13"/>
        <v>531186.63750135619</v>
      </c>
      <c r="R26" s="59">
        <f t="shared" si="13"/>
        <v>525821.65246259246</v>
      </c>
      <c r="S26" s="59">
        <f t="shared" si="13"/>
        <v>520510.85377272026</v>
      </c>
      <c r="T26" s="59">
        <f t="shared" si="13"/>
        <v>515253.69414961577</v>
      </c>
      <c r="U26" s="59">
        <f t="shared" si="13"/>
        <v>510049.63183870463</v>
      </c>
      <c r="V26" s="59">
        <f t="shared" si="13"/>
        <v>504898.1305571337</v>
      </c>
      <c r="W26" s="59">
        <f t="shared" si="13"/>
        <v>499798.65943850664</v>
      </c>
      <c r="X26" s="59">
        <f t="shared" si="13"/>
        <v>494750.69297817774</v>
      </c>
      <c r="Y26" s="59">
        <f t="shared" si="13"/>
        <v>489753.71097909816</v>
      </c>
      <c r="Z26" s="59">
        <f t="shared" si="13"/>
        <v>484807.1984982093</v>
      </c>
      <c r="AA26" s="59">
        <f t="shared" si="13"/>
        <v>479910.64579337736</v>
      </c>
      <c r="AB26" s="59">
        <f t="shared" si="13"/>
        <v>475063.54827086424</v>
      </c>
      <c r="AC26" s="59">
        <f t="shared" si="13"/>
        <v>470265.40643332852</v>
      </c>
      <c r="AD26" s="59">
        <f t="shared" si="13"/>
        <v>465515.72582835192</v>
      </c>
      <c r="AE26" s="59">
        <f t="shared" si="13"/>
        <v>460814.01699748554</v>
      </c>
      <c r="AF26" s="59">
        <f t="shared" si="13"/>
        <v>456159.79542581091</v>
      </c>
      <c r="AG26" s="59">
        <f t="shared" si="13"/>
        <v>451552.58149201021</v>
      </c>
      <c r="AH26" s="59">
        <f t="shared" si="13"/>
        <v>446991.90041894093</v>
      </c>
      <c r="AI26" s="59">
        <f t="shared" si="13"/>
        <v>442477.28222470963</v>
      </c>
      <c r="AJ26" s="59">
        <f t="shared" si="13"/>
        <v>438008.26167424006</v>
      </c>
      <c r="AK26" s="59">
        <f t="shared" si="13"/>
        <v>433584.37823133025</v>
      </c>
      <c r="AL26" s="59">
        <f t="shared" si="13"/>
        <v>429205.17601119383</v>
      </c>
      <c r="AM26" s="59">
        <f t="shared" si="13"/>
        <v>424870.20373348077</v>
      </c>
      <c r="AN26" s="59">
        <f t="shared" si="13"/>
        <v>420579.01467577263</v>
      </c>
      <c r="AO26" s="59">
        <f t="shared" si="13"/>
        <v>416331.16662754735</v>
      </c>
      <c r="AP26" s="59">
        <f t="shared" si="13"/>
        <v>412126.22184460913</v>
      </c>
      <c r="AQ26" s="59">
        <f t="shared" si="13"/>
        <v>407963.74700397858</v>
      </c>
      <c r="AR26" s="59">
        <f t="shared" si="13"/>
        <v>403843.31315923837</v>
      </c>
      <c r="AS26" s="59">
        <f t="shared" si="13"/>
        <v>399764.49569633009</v>
      </c>
      <c r="AT26" s="59">
        <f t="shared" si="13"/>
        <v>395726.87428979715</v>
      </c>
      <c r="AU26" s="59">
        <f t="shared" si="13"/>
        <v>391730.03285947023</v>
      </c>
      <c r="AV26" s="59">
        <f t="shared" si="13"/>
        <v>387773.55952758959</v>
      </c>
      <c r="AW26" s="59">
        <f t="shared" si="13"/>
        <v>383857.04657636094</v>
      </c>
      <c r="AX26" s="59">
        <f t="shared" si="13"/>
        <v>379980.09040593967</v>
      </c>
      <c r="AY26" s="59">
        <f t="shared" si="13"/>
        <v>376142.29149283969</v>
      </c>
      <c r="AZ26" s="59">
        <f t="shared" si="13"/>
        <v>372343.25434876198</v>
      </c>
      <c r="BA26" s="59">
        <f t="shared" si="13"/>
        <v>368582.58747983951</v>
      </c>
      <c r="BB26" s="59">
        <f t="shared" si="13"/>
        <v>364859.90334629314</v>
      </c>
      <c r="BC26" s="59">
        <f t="shared" si="13"/>
        <v>361174.81832249556</v>
      </c>
      <c r="BD26" s="59">
        <f t="shared" si="13"/>
        <v>357526.95265743835</v>
      </c>
      <c r="BE26" s="59">
        <f t="shared" si="13"/>
        <v>353915.93043559825</v>
      </c>
      <c r="BF26" s="59">
        <f t="shared" si="13"/>
        <v>350341.3795381987</v>
      </c>
      <c r="BG26" s="59">
        <f t="shared" si="13"/>
        <v>346802.93160486291</v>
      </c>
      <c r="BH26" s="59">
        <f t="shared" si="13"/>
        <v>343300.22199565382</v>
      </c>
      <c r="BI26" s="59">
        <f t="shared" si="13"/>
        <v>339832.88975349773</v>
      </c>
      <c r="BJ26" s="59">
        <f t="shared" si="13"/>
        <v>336400.57756698743</v>
      </c>
      <c r="BK26" s="59">
        <f t="shared" si="13"/>
        <v>333002.93173356086</v>
      </c>
      <c r="BL26" s="59">
        <f t="shared" si="13"/>
        <v>329639.60212305188</v>
      </c>
      <c r="BM26" s="59">
        <f t="shared" si="13"/>
        <v>326310.24214160908</v>
      </c>
      <c r="BN26" s="59">
        <f t="shared" si="13"/>
        <v>323014.50869597885</v>
      </c>
      <c r="BO26" s="59">
        <f t="shared" si="13"/>
        <v>319752.06215814943</v>
      </c>
      <c r="BP26" s="59">
        <f t="shared" si="13"/>
        <v>316522.5663303521</v>
      </c>
      <c r="BQ26" s="59">
        <f t="shared" si="13"/>
        <v>313325.68841041555</v>
      </c>
      <c r="BR26" s="59">
        <f t="shared" ref="BR26:DU26" si="14">BR14+BR17+BR23</f>
        <v>310161.09895747033</v>
      </c>
      <c r="BS26" s="59">
        <f t="shared" si="14"/>
        <v>307028.47185799986</v>
      </c>
      <c r="BT26" s="59">
        <f t="shared" si="14"/>
        <v>303927.48429223406</v>
      </c>
      <c r="BU26" s="59">
        <f t="shared" si="14"/>
        <v>300857.81670088251</v>
      </c>
      <c r="BV26" s="59">
        <f t="shared" si="14"/>
        <v>297819.15275220358</v>
      </c>
      <c r="BW26" s="59">
        <f t="shared" si="14"/>
        <v>294811.17930940632</v>
      </c>
      <c r="BX26" s="59">
        <f t="shared" si="14"/>
        <v>291833.58639838133</v>
      </c>
      <c r="BY26" s="59">
        <f t="shared" si="14"/>
        <v>288886.06717575766</v>
      </c>
      <c r="BZ26" s="59">
        <f t="shared" si="14"/>
        <v>285968.31789728254</v>
      </c>
      <c r="CA26" s="59">
        <f t="shared" si="14"/>
        <v>283080.03788651997</v>
      </c>
      <c r="CB26" s="59">
        <f t="shared" si="14"/>
        <v>280220.92950386612</v>
      </c>
      <c r="CC26" s="59">
        <f t="shared" si="14"/>
        <v>277390.69811587705</v>
      </c>
      <c r="CD26" s="59">
        <f t="shared" si="14"/>
        <v>274589.05206490669</v>
      </c>
      <c r="CE26" s="59">
        <f t="shared" si="14"/>
        <v>271815.70263905113</v>
      </c>
      <c r="CF26" s="59">
        <f t="shared" si="14"/>
        <v>269070.36404239672</v>
      </c>
      <c r="CG26" s="59">
        <f t="shared" si="14"/>
        <v>266352.75336556853</v>
      </c>
      <c r="CH26" s="59">
        <f t="shared" si="14"/>
        <v>263662.59055657627</v>
      </c>
      <c r="CI26" s="59">
        <f t="shared" si="14"/>
        <v>260999.59839195485</v>
      </c>
      <c r="CJ26" s="59">
        <f t="shared" si="14"/>
        <v>258363.50244819612</v>
      </c>
      <c r="CK26" s="59">
        <f t="shared" si="14"/>
        <v>255754.03107346935</v>
      </c>
      <c r="CL26" s="59">
        <f t="shared" si="14"/>
        <v>253170.91535962731</v>
      </c>
      <c r="CM26" s="59">
        <f t="shared" si="14"/>
        <v>250613.88911449508</v>
      </c>
      <c r="CN26" s="59">
        <f t="shared" si="14"/>
        <v>248082.68883443868</v>
      </c>
      <c r="CO26" s="59">
        <f t="shared" si="14"/>
        <v>245577.05367721085</v>
      </c>
      <c r="CP26" s="59">
        <f t="shared" si="14"/>
        <v>243096.72543507101</v>
      </c>
      <c r="CQ26" s="59">
        <f t="shared" si="14"/>
        <v>240641.44850817681</v>
      </c>
      <c r="CR26" s="59">
        <f t="shared" si="14"/>
        <v>238210.96987824421</v>
      </c>
      <c r="CS26" s="59">
        <f t="shared" si="14"/>
        <v>235805.03908247396</v>
      </c>
      <c r="CT26" s="59">
        <f t="shared" si="14"/>
        <v>233423.40818774098</v>
      </c>
      <c r="CU26" s="59">
        <f t="shared" si="14"/>
        <v>231065.8317650448</v>
      </c>
      <c r="CV26" s="59">
        <f t="shared" si="14"/>
        <v>228732.06686421784</v>
      </c>
      <c r="CW26" s="59">
        <f t="shared" si="14"/>
        <v>226421.87298888923</v>
      </c>
      <c r="CX26" s="59">
        <f t="shared" si="14"/>
        <v>224135.01207170144</v>
      </c>
      <c r="CY26" s="59">
        <f t="shared" si="14"/>
        <v>221871.24844977725</v>
      </c>
      <c r="CZ26" s="59">
        <f t="shared" si="14"/>
        <v>219630.34884043451</v>
      </c>
      <c r="DA26" s="59">
        <f t="shared" si="14"/>
        <v>217412.08231714612</v>
      </c>
      <c r="DB26" s="59">
        <f t="shared" si="14"/>
        <v>215216.22028574295</v>
      </c>
      <c r="DC26" s="59">
        <f t="shared" si="14"/>
        <v>213042.53646085694</v>
      </c>
      <c r="DD26" s="59">
        <f t="shared" si="14"/>
        <v>210890.80684260229</v>
      </c>
      <c r="DE26" s="59">
        <f t="shared" si="14"/>
        <v>208760.80969349202</v>
      </c>
      <c r="DF26" s="59">
        <f t="shared" si="14"/>
        <v>206652.32551558776</v>
      </c>
      <c r="DG26" s="59">
        <f t="shared" si="14"/>
        <v>204565.13702788032</v>
      </c>
      <c r="DH26" s="59">
        <f t="shared" si="14"/>
        <v>202499.02914389872</v>
      </c>
      <c r="DI26" s="59">
        <f t="shared" si="14"/>
        <v>200453.78894954536</v>
      </c>
      <c r="DJ26" s="59">
        <f t="shared" si="14"/>
        <v>198429.20568115494</v>
      </c>
      <c r="DK26" s="59">
        <f t="shared" si="14"/>
        <v>196425.07070377527</v>
      </c>
      <c r="DL26" s="59">
        <f t="shared" si="14"/>
        <v>194441.17748966714</v>
      </c>
      <c r="DM26" s="59">
        <f t="shared" si="14"/>
        <v>192477.32159702151</v>
      </c>
      <c r="DN26" s="59">
        <f t="shared" si="14"/>
        <v>190533.3006488916</v>
      </c>
      <c r="DO26" s="59">
        <f t="shared" si="14"/>
        <v>188608.91431233779</v>
      </c>
      <c r="DP26" s="59">
        <f t="shared" si="14"/>
        <v>186703.96427778318</v>
      </c>
      <c r="DQ26" s="59">
        <f t="shared" si="14"/>
        <v>184818.25423857756</v>
      </c>
      <c r="DR26" s="59">
        <f t="shared" si="14"/>
        <v>182951.58987076793</v>
      </c>
      <c r="DS26" s="59">
        <f t="shared" si="14"/>
        <v>181103.77881307318</v>
      </c>
      <c r="DT26" s="59">
        <f t="shared" si="14"/>
        <v>179274.63064706113</v>
      </c>
      <c r="DU26" s="60">
        <f t="shared" si="14"/>
        <v>1075647.7838823667</v>
      </c>
    </row>
    <row r="27" spans="1:125" x14ac:dyDescent="0.4">
      <c r="B27" s="74"/>
      <c r="C27" s="55" t="s">
        <v>61</v>
      </c>
      <c r="D27" s="62"/>
      <c r="E27" s="59">
        <f>E15+E18+E24</f>
        <v>70000</v>
      </c>
      <c r="F27" s="59">
        <f t="shared" ref="F27:BQ27" si="15">F15+F18+F24</f>
        <v>69293</v>
      </c>
      <c r="G27" s="59">
        <f t="shared" si="15"/>
        <v>68593.140700000004</v>
      </c>
      <c r="H27" s="59">
        <f t="shared" si="15"/>
        <v>67900.349978929997</v>
      </c>
      <c r="I27" s="59">
        <f t="shared" si="15"/>
        <v>67214.5564441428</v>
      </c>
      <c r="J27" s="59">
        <f t="shared" si="15"/>
        <v>66535.689424056953</v>
      </c>
      <c r="K27" s="59">
        <f t="shared" si="15"/>
        <v>65863.678960873978</v>
      </c>
      <c r="L27" s="59">
        <f t="shared" si="15"/>
        <v>65198.45580336915</v>
      </c>
      <c r="M27" s="59">
        <f t="shared" si="15"/>
        <v>64539.951399755118</v>
      </c>
      <c r="N27" s="59">
        <f t="shared" si="15"/>
        <v>63888.097890617595</v>
      </c>
      <c r="O27" s="59">
        <f t="shared" si="15"/>
        <v>63242.828101922358</v>
      </c>
      <c r="P27" s="59">
        <f t="shared" si="15"/>
        <v>62604.07553809294</v>
      </c>
      <c r="Q27" s="59">
        <f t="shared" si="15"/>
        <v>61971.774375158202</v>
      </c>
      <c r="R27" s="59">
        <f t="shared" si="15"/>
        <v>61345.859453969104</v>
      </c>
      <c r="S27" s="59">
        <f t="shared" si="15"/>
        <v>60726.26627348402</v>
      </c>
      <c r="T27" s="59">
        <f t="shared" si="15"/>
        <v>60112.930984121835</v>
      </c>
      <c r="U27" s="59">
        <f t="shared" si="15"/>
        <v>59505.790381182203</v>
      </c>
      <c r="V27" s="59">
        <f t="shared" si="15"/>
        <v>58904.781898332265</v>
      </c>
      <c r="W27" s="59">
        <f t="shared" si="15"/>
        <v>58309.843601159111</v>
      </c>
      <c r="X27" s="59">
        <f t="shared" si="15"/>
        <v>57720.914180787404</v>
      </c>
      <c r="Y27" s="59">
        <f t="shared" si="15"/>
        <v>57137.93294756145</v>
      </c>
      <c r="Z27" s="59">
        <f t="shared" si="15"/>
        <v>56560.839824791081</v>
      </c>
      <c r="AA27" s="59">
        <f t="shared" si="15"/>
        <v>55989.575342560689</v>
      </c>
      <c r="AB27" s="59">
        <f t="shared" si="15"/>
        <v>55424.080631600824</v>
      </c>
      <c r="AC27" s="59">
        <f t="shared" si="15"/>
        <v>54864.297417221656</v>
      </c>
      <c r="AD27" s="59">
        <f t="shared" si="15"/>
        <v>54310.168013307717</v>
      </c>
      <c r="AE27" s="59">
        <f t="shared" si="15"/>
        <v>53761.635316373307</v>
      </c>
      <c r="AF27" s="59">
        <f t="shared" si="15"/>
        <v>53218.642799677938</v>
      </c>
      <c r="AG27" s="59">
        <f t="shared" si="15"/>
        <v>52681.134507401192</v>
      </c>
      <c r="AH27" s="59">
        <f t="shared" si="15"/>
        <v>52149.055048876442</v>
      </c>
      <c r="AI27" s="59">
        <f t="shared" si="15"/>
        <v>51622.349592882791</v>
      </c>
      <c r="AJ27" s="59">
        <f t="shared" si="15"/>
        <v>51100.963861994678</v>
      </c>
      <c r="AK27" s="59">
        <f t="shared" si="15"/>
        <v>50584.84412698853</v>
      </c>
      <c r="AL27" s="59">
        <f t="shared" si="15"/>
        <v>50073.937201305947</v>
      </c>
      <c r="AM27" s="59">
        <f t="shared" si="15"/>
        <v>49568.19043557276</v>
      </c>
      <c r="AN27" s="59">
        <f t="shared" si="15"/>
        <v>49067.551712173474</v>
      </c>
      <c r="AO27" s="59">
        <f t="shared" si="15"/>
        <v>48571.969439880522</v>
      </c>
      <c r="AP27" s="59">
        <f t="shared" si="15"/>
        <v>48081.392548537726</v>
      </c>
      <c r="AQ27" s="59">
        <f t="shared" si="15"/>
        <v>47595.770483797496</v>
      </c>
      <c r="AR27" s="59">
        <f t="shared" si="15"/>
        <v>47115.053201911142</v>
      </c>
      <c r="AS27" s="59">
        <f t="shared" si="15"/>
        <v>46639.191164571836</v>
      </c>
      <c r="AT27" s="59">
        <f t="shared" si="15"/>
        <v>46168.13533380966</v>
      </c>
      <c r="AU27" s="59">
        <f t="shared" si="15"/>
        <v>45701.837166938181</v>
      </c>
      <c r="AV27" s="59">
        <f t="shared" si="15"/>
        <v>45240.248611552102</v>
      </c>
      <c r="AW27" s="59">
        <f t="shared" si="15"/>
        <v>44783.322100575424</v>
      </c>
      <c r="AX27" s="59">
        <f t="shared" si="15"/>
        <v>44331.010547359612</v>
      </c>
      <c r="AY27" s="59">
        <f t="shared" si="15"/>
        <v>43883.267340831277</v>
      </c>
      <c r="AZ27" s="59">
        <f t="shared" si="15"/>
        <v>43440.046340688881</v>
      </c>
      <c r="BA27" s="59">
        <f t="shared" si="15"/>
        <v>43001.30187264792</v>
      </c>
      <c r="BB27" s="59">
        <f t="shared" si="15"/>
        <v>42566.988723734175</v>
      </c>
      <c r="BC27" s="59">
        <f t="shared" si="15"/>
        <v>42137.06213762446</v>
      </c>
      <c r="BD27" s="59">
        <f t="shared" si="15"/>
        <v>41711.477810034456</v>
      </c>
      <c r="BE27" s="59">
        <f t="shared" si="15"/>
        <v>41290.191884153108</v>
      </c>
      <c r="BF27" s="59">
        <f t="shared" si="15"/>
        <v>40873.160946123164</v>
      </c>
      <c r="BG27" s="59">
        <f t="shared" si="15"/>
        <v>40460.342020567317</v>
      </c>
      <c r="BH27" s="59">
        <f t="shared" si="15"/>
        <v>40051.692566159589</v>
      </c>
      <c r="BI27" s="59">
        <f t="shared" si="15"/>
        <v>39647.170471241378</v>
      </c>
      <c r="BJ27" s="59">
        <f t="shared" si="15"/>
        <v>39246.734049481842</v>
      </c>
      <c r="BK27" s="59">
        <f t="shared" si="15"/>
        <v>38850.342035582078</v>
      </c>
      <c r="BL27" s="59">
        <f t="shared" si="15"/>
        <v>38457.953581022703</v>
      </c>
      <c r="BM27" s="59">
        <f t="shared" si="15"/>
        <v>38069.528249854375</v>
      </c>
      <c r="BN27" s="59">
        <f t="shared" si="15"/>
        <v>37685.026014530842</v>
      </c>
      <c r="BO27" s="59">
        <f t="shared" si="15"/>
        <v>37304.407251784083</v>
      </c>
      <c r="BP27" s="59">
        <f t="shared" si="15"/>
        <v>36927.632738541062</v>
      </c>
      <c r="BQ27" s="59">
        <f t="shared" si="15"/>
        <v>36554.663647881796</v>
      </c>
      <c r="BR27" s="59">
        <f t="shared" ref="BR27:DU27" si="16">BR15+BR18+BR24</f>
        <v>36185.46154503819</v>
      </c>
      <c r="BS27" s="59">
        <f t="shared" si="16"/>
        <v>35819.988383433301</v>
      </c>
      <c r="BT27" s="59">
        <f t="shared" si="16"/>
        <v>35458.206500760622</v>
      </c>
      <c r="BU27" s="59">
        <f t="shared" si="16"/>
        <v>35100.078615102939</v>
      </c>
      <c r="BV27" s="59">
        <f t="shared" si="16"/>
        <v>34745.567821090401</v>
      </c>
      <c r="BW27" s="59">
        <f t="shared" si="16"/>
        <v>34394.637586097386</v>
      </c>
      <c r="BX27" s="59">
        <f t="shared" si="16"/>
        <v>34047.251746477799</v>
      </c>
      <c r="BY27" s="59">
        <f t="shared" si="16"/>
        <v>33703.374503838371</v>
      </c>
      <c r="BZ27" s="59">
        <f t="shared" si="16"/>
        <v>33362.970421349601</v>
      </c>
      <c r="CA27" s="59">
        <f t="shared" si="16"/>
        <v>33026.004420093966</v>
      </c>
      <c r="CB27" s="59">
        <f t="shared" si="16"/>
        <v>32692.441775451018</v>
      </c>
      <c r="CC27" s="59">
        <f t="shared" si="16"/>
        <v>32362.248113518963</v>
      </c>
      <c r="CD27" s="59">
        <f t="shared" si="16"/>
        <v>32035.38940757242</v>
      </c>
      <c r="CE27" s="59">
        <f t="shared" si="16"/>
        <v>31711.831974555938</v>
      </c>
      <c r="CF27" s="59">
        <f t="shared" si="16"/>
        <v>31391.542471612924</v>
      </c>
      <c r="CG27" s="59">
        <f t="shared" si="16"/>
        <v>31074.487892649635</v>
      </c>
      <c r="CH27" s="59">
        <f t="shared" si="16"/>
        <v>30760.635564933873</v>
      </c>
      <c r="CI27" s="59">
        <f t="shared" si="16"/>
        <v>30449.953145728039</v>
      </c>
      <c r="CJ27" s="59">
        <f t="shared" si="16"/>
        <v>30142.408618956186</v>
      </c>
      <c r="CK27" s="59">
        <f t="shared" si="16"/>
        <v>29837.970291904727</v>
      </c>
      <c r="CL27" s="59">
        <f t="shared" si="16"/>
        <v>29536.606791956488</v>
      </c>
      <c r="CM27" s="59">
        <f t="shared" si="16"/>
        <v>29238.287063357729</v>
      </c>
      <c r="CN27" s="59">
        <f t="shared" si="16"/>
        <v>28942.980364017818</v>
      </c>
      <c r="CO27" s="59">
        <f t="shared" si="16"/>
        <v>28650.656262341239</v>
      </c>
      <c r="CP27" s="59">
        <f t="shared" si="16"/>
        <v>28361.284634091593</v>
      </c>
      <c r="CQ27" s="59">
        <f t="shared" si="16"/>
        <v>28074.83565928727</v>
      </c>
      <c r="CR27" s="59">
        <f t="shared" si="16"/>
        <v>27791.279819128467</v>
      </c>
      <c r="CS27" s="59">
        <f t="shared" si="16"/>
        <v>27510.587892955271</v>
      </c>
      <c r="CT27" s="59">
        <f t="shared" si="16"/>
        <v>27232.730955236424</v>
      </c>
      <c r="CU27" s="59">
        <f t="shared" si="16"/>
        <v>26957.680372588537</v>
      </c>
      <c r="CV27" s="59">
        <f t="shared" si="16"/>
        <v>26685.407800825393</v>
      </c>
      <c r="CW27" s="59">
        <f t="shared" si="16"/>
        <v>26415.885182037055</v>
      </c>
      <c r="CX27" s="59">
        <f t="shared" si="16"/>
        <v>26149.08474169848</v>
      </c>
      <c r="CY27" s="59">
        <f t="shared" si="16"/>
        <v>25884.978985807324</v>
      </c>
      <c r="CZ27" s="59">
        <f t="shared" si="16"/>
        <v>25623.54069805067</v>
      </c>
      <c r="DA27" s="59">
        <f t="shared" si="16"/>
        <v>25364.742937000359</v>
      </c>
      <c r="DB27" s="59">
        <f t="shared" si="16"/>
        <v>25108.559033336656</v>
      </c>
      <c r="DC27" s="59">
        <f t="shared" si="16"/>
        <v>24854.962587099955</v>
      </c>
      <c r="DD27" s="59">
        <f t="shared" si="16"/>
        <v>24603.927464970246</v>
      </c>
      <c r="DE27" s="59">
        <f t="shared" si="16"/>
        <v>24355.427797574048</v>
      </c>
      <c r="DF27" s="59">
        <f t="shared" si="16"/>
        <v>24109.43797681855</v>
      </c>
      <c r="DG27" s="59">
        <f t="shared" si="16"/>
        <v>23865.932653252683</v>
      </c>
      <c r="DH27" s="59">
        <f t="shared" si="16"/>
        <v>23624.88673345483</v>
      </c>
      <c r="DI27" s="59">
        <f t="shared" si="16"/>
        <v>23386.275377446938</v>
      </c>
      <c r="DJ27" s="59">
        <f t="shared" si="16"/>
        <v>23150.073996134724</v>
      </c>
      <c r="DK27" s="59">
        <f t="shared" si="16"/>
        <v>22916.258248773764</v>
      </c>
      <c r="DL27" s="59">
        <f t="shared" si="16"/>
        <v>22684.804040461149</v>
      </c>
      <c r="DM27" s="59">
        <f t="shared" si="16"/>
        <v>22455.687519652492</v>
      </c>
      <c r="DN27" s="59">
        <f t="shared" si="16"/>
        <v>22228.885075704002</v>
      </c>
      <c r="DO27" s="59">
        <f t="shared" si="16"/>
        <v>22004.373336439392</v>
      </c>
      <c r="DP27" s="59">
        <f t="shared" si="16"/>
        <v>21782.129165741353</v>
      </c>
      <c r="DQ27" s="59">
        <f t="shared" si="16"/>
        <v>21562.129661167364</v>
      </c>
      <c r="DR27" s="59">
        <f t="shared" si="16"/>
        <v>21344.352151589574</v>
      </c>
      <c r="DS27" s="59">
        <f t="shared" si="16"/>
        <v>21128.774194858521</v>
      </c>
      <c r="DT27" s="59">
        <f t="shared" si="16"/>
        <v>20915.373575490448</v>
      </c>
      <c r="DU27" s="60">
        <f t="shared" si="16"/>
        <v>125492.24145294269</v>
      </c>
    </row>
    <row r="28" spans="1:125" s="4" customFormat="1" x14ac:dyDescent="0.4">
      <c r="B28" s="81" t="s">
        <v>121</v>
      </c>
      <c r="C28" s="173"/>
      <c r="D28" s="91"/>
      <c r="E28" s="90">
        <f>E26*Assumptions!$K$32+E27*Assumptions!$L$32</f>
        <v>335000</v>
      </c>
      <c r="F28" s="90">
        <f>F26*Assumptions!$K$32+F27*Assumptions!$L$32</f>
        <v>331616.5</v>
      </c>
      <c r="G28" s="90">
        <f>G26*Assumptions!$K$32+G27*Assumptions!$L$32</f>
        <v>328267.17335</v>
      </c>
      <c r="H28" s="90">
        <f>H26*Assumptions!$K$32+H27*Assumptions!$L$32</f>
        <v>324951.67489916499</v>
      </c>
      <c r="I28" s="90">
        <f>I26*Assumptions!$K$32+I27*Assumptions!$L$32</f>
        <v>321669.66298268345</v>
      </c>
      <c r="J28" s="90">
        <f>J26*Assumptions!$K$32+J27*Assumptions!$L$32</f>
        <v>318420.7993865583</v>
      </c>
      <c r="K28" s="90">
        <f>K26*Assumptions!$K$32+K27*Assumptions!$L$32</f>
        <v>315204.74931275408</v>
      </c>
      <c r="L28" s="90">
        <f>L26*Assumptions!$K$32+L27*Assumptions!$L$32</f>
        <v>312021.18134469527</v>
      </c>
      <c r="M28" s="90">
        <f>M26*Assumptions!$K$32+M27*Assumptions!$L$32</f>
        <v>308869.76741311385</v>
      </c>
      <c r="N28" s="90">
        <f>N26*Assumptions!$K$32+N27*Assumptions!$L$32</f>
        <v>305750.1827622414</v>
      </c>
      <c r="O28" s="90">
        <f>O26*Assumptions!$K$32+O27*Assumptions!$L$32</f>
        <v>302662.10591634281</v>
      </c>
      <c r="P28" s="90">
        <f>P26*Assumptions!$K$32+P27*Assumptions!$L$32</f>
        <v>299605.21864658775</v>
      </c>
      <c r="Q28" s="90">
        <f>Q26*Assumptions!$K$32+Q27*Assumptions!$L$32</f>
        <v>296579.20593825722</v>
      </c>
      <c r="R28" s="90">
        <f>R26*Assumptions!$K$32+R27*Assumptions!$L$32</f>
        <v>293583.75595828076</v>
      </c>
      <c r="S28" s="90">
        <f>S26*Assumptions!$K$32+S27*Assumptions!$L$32</f>
        <v>290618.56002310215</v>
      </c>
      <c r="T28" s="90">
        <f>T26*Assumptions!$K$32+T27*Assumptions!$L$32</f>
        <v>287683.31256686879</v>
      </c>
      <c r="U28" s="90">
        <f>U26*Assumptions!$K$32+U27*Assumptions!$L$32</f>
        <v>284777.7111099434</v>
      </c>
      <c r="V28" s="90">
        <f>V26*Assumptions!$K$32+V27*Assumptions!$L$32</f>
        <v>281901.456227733</v>
      </c>
      <c r="W28" s="90">
        <f>W26*Assumptions!$K$32+W27*Assumptions!$L$32</f>
        <v>279054.25151983288</v>
      </c>
      <c r="X28" s="90">
        <f>X26*Assumptions!$K$32+X27*Assumptions!$L$32</f>
        <v>276235.8035794826</v>
      </c>
      <c r="Y28" s="90">
        <f>Y26*Assumptions!$K$32+Y27*Assumptions!$L$32</f>
        <v>273445.8219633298</v>
      </c>
      <c r="Z28" s="90">
        <f>Z26*Assumptions!$K$32+Z27*Assumptions!$L$32</f>
        <v>270684.01916150021</v>
      </c>
      <c r="AA28" s="90">
        <f>AA26*Assumptions!$K$32+AA27*Assumptions!$L$32</f>
        <v>267950.11056796904</v>
      </c>
      <c r="AB28" s="90">
        <f>AB26*Assumptions!$K$32+AB27*Assumptions!$L$32</f>
        <v>265243.81445123255</v>
      </c>
      <c r="AC28" s="90">
        <f>AC26*Assumptions!$K$32+AC27*Assumptions!$L$32</f>
        <v>262564.85192527511</v>
      </c>
      <c r="AD28" s="90">
        <f>AD26*Assumptions!$K$32+AD27*Assumptions!$L$32</f>
        <v>259912.94692082983</v>
      </c>
      <c r="AE28" s="90">
        <f>AE26*Assumptions!$K$32+AE27*Assumptions!$L$32</f>
        <v>257287.82615692943</v>
      </c>
      <c r="AF28" s="90">
        <f>AF26*Assumptions!$K$32+AF27*Assumptions!$L$32</f>
        <v>254689.21911274444</v>
      </c>
      <c r="AG28" s="90">
        <f>AG26*Assumptions!$K$32+AG27*Assumptions!$L$32</f>
        <v>252116.85799970571</v>
      </c>
      <c r="AH28" s="90">
        <f>AH26*Assumptions!$K$32+AH27*Assumptions!$L$32</f>
        <v>249570.47773390869</v>
      </c>
      <c r="AI28" s="90">
        <f>AI26*Assumptions!$K$32+AI27*Assumptions!$L$32</f>
        <v>247049.81590879621</v>
      </c>
      <c r="AJ28" s="90">
        <f>AJ26*Assumptions!$K$32+AJ27*Assumptions!$L$32</f>
        <v>244554.61276811737</v>
      </c>
      <c r="AK28" s="90">
        <f>AK26*Assumptions!$K$32+AK27*Assumptions!$L$32</f>
        <v>242084.6111791594</v>
      </c>
      <c r="AL28" s="90">
        <f>AL26*Assumptions!$K$32+AL27*Assumptions!$L$32</f>
        <v>239639.55660624988</v>
      </c>
      <c r="AM28" s="90">
        <f>AM26*Assumptions!$K$32+AM27*Assumptions!$L$32</f>
        <v>237219.19708452676</v>
      </c>
      <c r="AN28" s="90">
        <f>AN26*Assumptions!$K$32+AN27*Assumptions!$L$32</f>
        <v>234823.28319397307</v>
      </c>
      <c r="AO28" s="90">
        <f>AO26*Assumptions!$K$32+AO27*Assumptions!$L$32</f>
        <v>232451.56803371393</v>
      </c>
      <c r="AP28" s="90">
        <f>AP26*Assumptions!$K$32+AP27*Assumptions!$L$32</f>
        <v>230103.80719657341</v>
      </c>
      <c r="AQ28" s="90">
        <f>AQ26*Assumptions!$K$32+AQ27*Assumptions!$L$32</f>
        <v>227779.75874388803</v>
      </c>
      <c r="AR28" s="90">
        <f>AR26*Assumptions!$K$32+AR27*Assumptions!$L$32</f>
        <v>225479.18318057476</v>
      </c>
      <c r="AS28" s="90">
        <f>AS26*Assumptions!$K$32+AS27*Assumptions!$L$32</f>
        <v>223201.84343045097</v>
      </c>
      <c r="AT28" s="90">
        <f>AT26*Assumptions!$K$32+AT27*Assumptions!$L$32</f>
        <v>220947.5048118034</v>
      </c>
      <c r="AU28" s="90">
        <f>AU26*Assumptions!$K$32+AU27*Assumptions!$L$32</f>
        <v>218715.9350132042</v>
      </c>
      <c r="AV28" s="90">
        <f>AV26*Assumptions!$K$32+AV27*Assumptions!$L$32</f>
        <v>216506.90406957085</v>
      </c>
      <c r="AW28" s="90">
        <f>AW26*Assumptions!$K$32+AW27*Assumptions!$L$32</f>
        <v>214320.18433846819</v>
      </c>
      <c r="AX28" s="90">
        <f>AX26*Assumptions!$K$32+AX27*Assumptions!$L$32</f>
        <v>212155.55047664963</v>
      </c>
      <c r="AY28" s="90">
        <f>AY26*Assumptions!$K$32+AY27*Assumptions!$L$32</f>
        <v>210012.77941683549</v>
      </c>
      <c r="AZ28" s="90">
        <f>AZ26*Assumptions!$K$32+AZ27*Assumptions!$L$32</f>
        <v>207891.65034472544</v>
      </c>
      <c r="BA28" s="90">
        <f>BA26*Assumptions!$K$32+BA27*Assumptions!$L$32</f>
        <v>205791.9446762437</v>
      </c>
      <c r="BB28" s="90">
        <f>BB26*Assumptions!$K$32+BB27*Assumptions!$L$32</f>
        <v>203713.44603501365</v>
      </c>
      <c r="BC28" s="90">
        <f>BC26*Assumptions!$K$32+BC27*Assumptions!$L$32</f>
        <v>201655.94023006002</v>
      </c>
      <c r="BD28" s="90">
        <f>BD26*Assumptions!$K$32+BD27*Assumptions!$L$32</f>
        <v>199619.21523373641</v>
      </c>
      <c r="BE28" s="90">
        <f>BE26*Assumptions!$K$32+BE27*Assumptions!$L$32</f>
        <v>197603.06115987568</v>
      </c>
      <c r="BF28" s="90">
        <f>BF26*Assumptions!$K$32+BF27*Assumptions!$L$32</f>
        <v>195607.27024216094</v>
      </c>
      <c r="BG28" s="90">
        <f>BG26*Assumptions!$K$32+BG27*Assumptions!$L$32</f>
        <v>193631.63681271512</v>
      </c>
      <c r="BH28" s="90">
        <f>BH26*Assumptions!$K$32+BH27*Assumptions!$L$32</f>
        <v>191675.9572809067</v>
      </c>
      <c r="BI28" s="90">
        <f>BI26*Assumptions!$K$32+BI27*Assumptions!$L$32</f>
        <v>189740.03011236957</v>
      </c>
      <c r="BJ28" s="90">
        <f>BJ26*Assumptions!$K$32+BJ27*Assumptions!$L$32</f>
        <v>187823.65580823465</v>
      </c>
      <c r="BK28" s="90">
        <f>BK26*Assumptions!$K$32+BK27*Assumptions!$L$32</f>
        <v>185926.63688457146</v>
      </c>
      <c r="BL28" s="90">
        <f>BL26*Assumptions!$K$32+BL27*Assumptions!$L$32</f>
        <v>184048.77785203728</v>
      </c>
      <c r="BM28" s="90">
        <f>BM26*Assumptions!$K$32+BM27*Assumptions!$L$32</f>
        <v>182189.88519573174</v>
      </c>
      <c r="BN28" s="90">
        <f>BN26*Assumptions!$K$32+BN27*Assumptions!$L$32</f>
        <v>180349.76735525485</v>
      </c>
      <c r="BO28" s="90">
        <f>BO26*Assumptions!$K$32+BO27*Assumptions!$L$32</f>
        <v>178528.23470496677</v>
      </c>
      <c r="BP28" s="90">
        <f>BP26*Assumptions!$K$32+BP27*Assumptions!$L$32</f>
        <v>176725.09953444658</v>
      </c>
      <c r="BQ28" s="90">
        <f>BQ26*Assumptions!$K$32+BQ27*Assumptions!$L$32</f>
        <v>174940.17602914869</v>
      </c>
      <c r="BR28" s="90">
        <f>BR26*Assumptions!$K$32+BR27*Assumptions!$L$32</f>
        <v>173173.28025125427</v>
      </c>
      <c r="BS28" s="90">
        <f>BS26*Assumptions!$K$32+BS27*Assumptions!$L$32</f>
        <v>171424.23012071659</v>
      </c>
      <c r="BT28" s="90">
        <f>BT26*Assumptions!$K$32+BT27*Assumptions!$L$32</f>
        <v>169692.84539649735</v>
      </c>
      <c r="BU28" s="90">
        <f>BU26*Assumptions!$K$32+BU27*Assumptions!$L$32</f>
        <v>167978.94765799271</v>
      </c>
      <c r="BV28" s="90">
        <f>BV26*Assumptions!$K$32+BV27*Assumptions!$L$32</f>
        <v>166282.36028664699</v>
      </c>
      <c r="BW28" s="90">
        <f>BW26*Assumptions!$K$32+BW27*Assumptions!$L$32</f>
        <v>164602.90844775186</v>
      </c>
      <c r="BX28" s="90">
        <f>BX26*Assumptions!$K$32+BX27*Assumptions!$L$32</f>
        <v>162940.41907242956</v>
      </c>
      <c r="BY28" s="90">
        <f>BY26*Assumptions!$K$32+BY27*Assumptions!$L$32</f>
        <v>161294.72083979801</v>
      </c>
      <c r="BZ28" s="90">
        <f>BZ26*Assumptions!$K$32+BZ27*Assumptions!$L$32</f>
        <v>159665.64415931609</v>
      </c>
      <c r="CA28" s="90">
        <f>CA26*Assumptions!$K$32+CA27*Assumptions!$L$32</f>
        <v>158053.02115330697</v>
      </c>
      <c r="CB28" s="90">
        <f>CB26*Assumptions!$K$32+CB27*Assumptions!$L$32</f>
        <v>156456.68563965856</v>
      </c>
      <c r="CC28" s="90">
        <f>CC26*Assumptions!$K$32+CC27*Assumptions!$L$32</f>
        <v>154876.47311469802</v>
      </c>
      <c r="CD28" s="90">
        <f>CD26*Assumptions!$K$32+CD27*Assumptions!$L$32</f>
        <v>153312.22073623954</v>
      </c>
      <c r="CE28" s="90">
        <f>CE26*Assumptions!$K$32+CE27*Assumptions!$L$32</f>
        <v>151763.76730680352</v>
      </c>
      <c r="CF28" s="90">
        <f>CF26*Assumptions!$K$32+CF27*Assumptions!$L$32</f>
        <v>150230.95325700482</v>
      </c>
      <c r="CG28" s="90">
        <f>CG26*Assumptions!$K$32+CG27*Assumptions!$L$32</f>
        <v>148713.62062910909</v>
      </c>
      <c r="CH28" s="90">
        <f>CH26*Assumptions!$K$32+CH27*Assumptions!$L$32</f>
        <v>147211.61306075507</v>
      </c>
      <c r="CI28" s="90">
        <f>CI26*Assumptions!$K$32+CI27*Assumptions!$L$32</f>
        <v>145724.77576884144</v>
      </c>
      <c r="CJ28" s="90">
        <f>CJ26*Assumptions!$K$32+CJ27*Assumptions!$L$32</f>
        <v>144252.95553357614</v>
      </c>
      <c r="CK28" s="90">
        <f>CK26*Assumptions!$K$32+CK27*Assumptions!$L$32</f>
        <v>142796.00068268704</v>
      </c>
      <c r="CL28" s="90">
        <f>CL26*Assumptions!$K$32+CL27*Assumptions!$L$32</f>
        <v>141353.7610757919</v>
      </c>
      <c r="CM28" s="90">
        <f>CM26*Assumptions!$K$32+CM27*Assumptions!$L$32</f>
        <v>139926.08808892639</v>
      </c>
      <c r="CN28" s="90">
        <f>CN26*Assumptions!$K$32+CN27*Assumptions!$L$32</f>
        <v>138512.83459922826</v>
      </c>
      <c r="CO28" s="90">
        <f>CO26*Assumptions!$K$32+CO27*Assumptions!$L$32</f>
        <v>137113.85496977603</v>
      </c>
      <c r="CP28" s="90">
        <f>CP26*Assumptions!$K$32+CP27*Assumptions!$L$32</f>
        <v>135729.00503458129</v>
      </c>
      <c r="CQ28" s="90">
        <f>CQ26*Assumptions!$K$32+CQ27*Assumptions!$L$32</f>
        <v>134358.14208373203</v>
      </c>
      <c r="CR28" s="90">
        <f>CR26*Assumptions!$K$32+CR27*Assumptions!$L$32</f>
        <v>133001.12484868633</v>
      </c>
      <c r="CS28" s="90">
        <f>CS26*Assumptions!$K$32+CS27*Assumptions!$L$32</f>
        <v>131657.81348771462</v>
      </c>
      <c r="CT28" s="90">
        <f>CT26*Assumptions!$K$32+CT27*Assumptions!$L$32</f>
        <v>130328.0695714887</v>
      </c>
      <c r="CU28" s="90">
        <f>CU26*Assumptions!$K$32+CU27*Assumptions!$L$32</f>
        <v>129011.75606881667</v>
      </c>
      <c r="CV28" s="90">
        <f>CV26*Assumptions!$K$32+CV27*Assumptions!$L$32</f>
        <v>127708.73733252162</v>
      </c>
      <c r="CW28" s="90">
        <f>CW26*Assumptions!$K$32+CW27*Assumptions!$L$32</f>
        <v>126418.87908546314</v>
      </c>
      <c r="CX28" s="90">
        <f>CX26*Assumptions!$K$32+CX27*Assumptions!$L$32</f>
        <v>125142.04840669996</v>
      </c>
      <c r="CY28" s="90">
        <f>CY26*Assumptions!$K$32+CY27*Assumptions!$L$32</f>
        <v>123878.11371779229</v>
      </c>
      <c r="CZ28" s="90">
        <f>CZ26*Assumptions!$K$32+CZ27*Assumptions!$L$32</f>
        <v>122626.94476924259</v>
      </c>
      <c r="DA28" s="90">
        <f>DA26*Assumptions!$K$32+DA27*Assumptions!$L$32</f>
        <v>121388.41262707324</v>
      </c>
      <c r="DB28" s="90">
        <f>DB26*Assumptions!$K$32+DB27*Assumptions!$L$32</f>
        <v>120162.3896595398</v>
      </c>
      <c r="DC28" s="90">
        <f>DC26*Assumptions!$K$32+DC27*Assumptions!$L$32</f>
        <v>118948.74952397845</v>
      </c>
      <c r="DD28" s="90">
        <f>DD26*Assumptions!$K$32+DD27*Assumptions!$L$32</f>
        <v>117747.36715378627</v>
      </c>
      <c r="DE28" s="90">
        <f>DE26*Assumptions!$K$32+DE27*Assumptions!$L$32</f>
        <v>116558.11874553304</v>
      </c>
      <c r="DF28" s="90">
        <f>DF26*Assumptions!$K$32+DF27*Assumptions!$L$32</f>
        <v>115380.88174620316</v>
      </c>
      <c r="DG28" s="90">
        <f>DG26*Assumptions!$K$32+DG27*Assumptions!$L$32</f>
        <v>114215.5348405665</v>
      </c>
      <c r="DH28" s="90">
        <f>DH26*Assumptions!$K$32+DH27*Assumptions!$L$32</f>
        <v>113061.95793867677</v>
      </c>
      <c r="DI28" s="90">
        <f>DI26*Assumptions!$K$32+DI27*Assumptions!$L$32</f>
        <v>111920.03216349614</v>
      </c>
      <c r="DJ28" s="90">
        <f>DJ26*Assumptions!$K$32+DJ27*Assumptions!$L$32</f>
        <v>110789.63983864483</v>
      </c>
      <c r="DK28" s="90">
        <f>DK26*Assumptions!$K$32+DK27*Assumptions!$L$32</f>
        <v>109670.66447627451</v>
      </c>
      <c r="DL28" s="90">
        <f>DL26*Assumptions!$K$32+DL27*Assumptions!$L$32</f>
        <v>108562.99076506414</v>
      </c>
      <c r="DM28" s="90">
        <f>DM26*Assumptions!$K$32+DM27*Assumptions!$L$32</f>
        <v>107466.50455833701</v>
      </c>
      <c r="DN28" s="90">
        <f>DN26*Assumptions!$K$32+DN27*Assumptions!$L$32</f>
        <v>106381.0928622978</v>
      </c>
      <c r="DO28" s="90">
        <f>DO26*Assumptions!$K$32+DO27*Assumptions!$L$32</f>
        <v>105306.64382438859</v>
      </c>
      <c r="DP28" s="90">
        <f>DP26*Assumptions!$K$32+DP27*Assumptions!$L$32</f>
        <v>104243.04672176226</v>
      </c>
      <c r="DQ28" s="90">
        <f>DQ26*Assumptions!$K$32+DQ27*Assumptions!$L$32</f>
        <v>103190.19194987246</v>
      </c>
      <c r="DR28" s="90">
        <f>DR26*Assumptions!$K$32+DR27*Assumptions!$L$32</f>
        <v>102147.97101117876</v>
      </c>
      <c r="DS28" s="90">
        <f>DS26*Assumptions!$K$32+DS27*Assumptions!$L$32</f>
        <v>101116.27650396586</v>
      </c>
      <c r="DT28" s="90">
        <f>DT26*Assumptions!$K$32+DT27*Assumptions!$L$32</f>
        <v>100095.0021112758</v>
      </c>
      <c r="DU28" s="88">
        <f>DU26*Assumptions!$K$32+DU27*Assumptions!$L$32</f>
        <v>600570.01266765466</v>
      </c>
    </row>
    <row r="29" spans="1:125" s="4" customFormat="1" x14ac:dyDescent="0.4">
      <c r="B29" s="81" t="s">
        <v>122</v>
      </c>
      <c r="C29" s="173"/>
      <c r="D29" s="91"/>
      <c r="E29" s="90">
        <f>E26*Assumptions!$K$33+'50% Equity Scenario'!E27*Assumptions!$L$33</f>
        <v>335000</v>
      </c>
      <c r="F29" s="90">
        <f>F26*Assumptions!$K$33+'50% Equity Scenario'!F27*Assumptions!$L$33</f>
        <v>331616.5</v>
      </c>
      <c r="G29" s="90">
        <f>G26*Assumptions!$K$33+'50% Equity Scenario'!G27*Assumptions!$L$33</f>
        <v>328267.17335</v>
      </c>
      <c r="H29" s="90">
        <f>H26*Assumptions!$K$33+'50% Equity Scenario'!H27*Assumptions!$L$33</f>
        <v>324951.67489916499</v>
      </c>
      <c r="I29" s="90">
        <f>I26*Assumptions!$K$33+'50% Equity Scenario'!I27*Assumptions!$L$33</f>
        <v>321669.66298268345</v>
      </c>
      <c r="J29" s="90">
        <f>J26*Assumptions!$K$33+'50% Equity Scenario'!J27*Assumptions!$L$33</f>
        <v>318420.7993865583</v>
      </c>
      <c r="K29" s="90">
        <f>K26*Assumptions!$K$33+'50% Equity Scenario'!K27*Assumptions!$L$33</f>
        <v>315204.74931275408</v>
      </c>
      <c r="L29" s="90">
        <f>L26*Assumptions!$K$33+'50% Equity Scenario'!L27*Assumptions!$L$33</f>
        <v>312021.18134469527</v>
      </c>
      <c r="M29" s="90">
        <f>M26*Assumptions!$K$33+'50% Equity Scenario'!M27*Assumptions!$L$33</f>
        <v>308869.76741311385</v>
      </c>
      <c r="N29" s="90">
        <f>N26*Assumptions!$K$33+'50% Equity Scenario'!N27*Assumptions!$L$33</f>
        <v>305750.1827622414</v>
      </c>
      <c r="O29" s="90">
        <f>O26*Assumptions!$K$33+'50% Equity Scenario'!O27*Assumptions!$L$33</f>
        <v>302662.10591634281</v>
      </c>
      <c r="P29" s="90">
        <f>P26*Assumptions!$K$33+'50% Equity Scenario'!P27*Assumptions!$L$33</f>
        <v>299605.21864658775</v>
      </c>
      <c r="Q29" s="90">
        <f>Q26*Assumptions!$K$33+'50% Equity Scenario'!Q27*Assumptions!$L$33</f>
        <v>296579.20593825722</v>
      </c>
      <c r="R29" s="90">
        <f>R26*Assumptions!$K$33+'50% Equity Scenario'!R27*Assumptions!$L$33</f>
        <v>293583.75595828076</v>
      </c>
      <c r="S29" s="90">
        <f>S26*Assumptions!$K$33+'50% Equity Scenario'!S27*Assumptions!$L$33</f>
        <v>290618.56002310215</v>
      </c>
      <c r="T29" s="90">
        <f>T26*Assumptions!$K$33+'50% Equity Scenario'!T27*Assumptions!$L$33</f>
        <v>287683.31256686879</v>
      </c>
      <c r="U29" s="90">
        <f>U26*Assumptions!$K$33+'50% Equity Scenario'!U27*Assumptions!$L$33</f>
        <v>284777.7111099434</v>
      </c>
      <c r="V29" s="90">
        <f>V26*Assumptions!$K$33+'50% Equity Scenario'!V27*Assumptions!$L$33</f>
        <v>281901.456227733</v>
      </c>
      <c r="W29" s="90">
        <f>W26*Assumptions!$K$33+'50% Equity Scenario'!W27*Assumptions!$L$33</f>
        <v>279054.25151983288</v>
      </c>
      <c r="X29" s="90">
        <f>X26*Assumptions!$K$33+'50% Equity Scenario'!X27*Assumptions!$L$33</f>
        <v>276235.8035794826</v>
      </c>
      <c r="Y29" s="90">
        <f>Y26*Assumptions!$K$33+'50% Equity Scenario'!Y27*Assumptions!$L$33</f>
        <v>273445.8219633298</v>
      </c>
      <c r="Z29" s="90">
        <f>Z26*Assumptions!$K$33+'50% Equity Scenario'!Z27*Assumptions!$L$33</f>
        <v>270684.01916150021</v>
      </c>
      <c r="AA29" s="90">
        <f>AA26*Assumptions!$K$33+'50% Equity Scenario'!AA27*Assumptions!$L$33</f>
        <v>267950.11056796904</v>
      </c>
      <c r="AB29" s="90">
        <f>AB26*Assumptions!$K$33+'50% Equity Scenario'!AB27*Assumptions!$L$33</f>
        <v>265243.81445123255</v>
      </c>
      <c r="AC29" s="90">
        <f>AC26*Assumptions!$K$33+'50% Equity Scenario'!AC27*Assumptions!$L$33</f>
        <v>262564.85192527511</v>
      </c>
      <c r="AD29" s="90">
        <f>AD26*Assumptions!$K$33+'50% Equity Scenario'!AD27*Assumptions!$L$33</f>
        <v>259912.94692082983</v>
      </c>
      <c r="AE29" s="90">
        <f>AE26*Assumptions!$K$33+'50% Equity Scenario'!AE27*Assumptions!$L$33</f>
        <v>257287.82615692943</v>
      </c>
      <c r="AF29" s="90">
        <f>AF26*Assumptions!$K$33+'50% Equity Scenario'!AF27*Assumptions!$L$33</f>
        <v>254689.21911274444</v>
      </c>
      <c r="AG29" s="90">
        <f>AG26*Assumptions!$K$33+'50% Equity Scenario'!AG27*Assumptions!$L$33</f>
        <v>252116.85799970571</v>
      </c>
      <c r="AH29" s="90">
        <f>AH26*Assumptions!$K$33+'50% Equity Scenario'!AH27*Assumptions!$L$33</f>
        <v>249570.47773390869</v>
      </c>
      <c r="AI29" s="90">
        <f>AI26*Assumptions!$K$33+'50% Equity Scenario'!AI27*Assumptions!$L$33</f>
        <v>247049.81590879621</v>
      </c>
      <c r="AJ29" s="90">
        <f>AJ26*Assumptions!$K$33+'50% Equity Scenario'!AJ27*Assumptions!$L$33</f>
        <v>244554.61276811737</v>
      </c>
      <c r="AK29" s="90">
        <f>AK26*Assumptions!$K$33+'50% Equity Scenario'!AK27*Assumptions!$L$33</f>
        <v>242084.6111791594</v>
      </c>
      <c r="AL29" s="90">
        <f>AL26*Assumptions!$K$33+'50% Equity Scenario'!AL27*Assumptions!$L$33</f>
        <v>239639.55660624988</v>
      </c>
      <c r="AM29" s="90">
        <f>AM26*Assumptions!$K$33+'50% Equity Scenario'!AM27*Assumptions!$L$33</f>
        <v>237219.19708452676</v>
      </c>
      <c r="AN29" s="90">
        <f>AN26*Assumptions!$K$33+'50% Equity Scenario'!AN27*Assumptions!$L$33</f>
        <v>234823.28319397307</v>
      </c>
      <c r="AO29" s="90">
        <f>AO26*Assumptions!$K$33+'50% Equity Scenario'!AO27*Assumptions!$L$33</f>
        <v>232451.56803371393</v>
      </c>
      <c r="AP29" s="90">
        <f>AP26*Assumptions!$K$33+'50% Equity Scenario'!AP27*Assumptions!$L$33</f>
        <v>230103.80719657341</v>
      </c>
      <c r="AQ29" s="90">
        <f>AQ26*Assumptions!$K$33+'50% Equity Scenario'!AQ27*Assumptions!$L$33</f>
        <v>227779.75874388803</v>
      </c>
      <c r="AR29" s="90">
        <f>AR26*Assumptions!$K$33+'50% Equity Scenario'!AR27*Assumptions!$L$33</f>
        <v>225479.18318057476</v>
      </c>
      <c r="AS29" s="90">
        <f>AS26*Assumptions!$K$33+'50% Equity Scenario'!AS27*Assumptions!$L$33</f>
        <v>223201.84343045097</v>
      </c>
      <c r="AT29" s="90">
        <f>AT26*Assumptions!$K$33+'50% Equity Scenario'!AT27*Assumptions!$L$33</f>
        <v>220947.5048118034</v>
      </c>
      <c r="AU29" s="90">
        <f>AU26*Assumptions!$K$33+'50% Equity Scenario'!AU27*Assumptions!$L$33</f>
        <v>218715.9350132042</v>
      </c>
      <c r="AV29" s="90">
        <f>AV26*Assumptions!$K$33+'50% Equity Scenario'!AV27*Assumptions!$L$33</f>
        <v>216506.90406957085</v>
      </c>
      <c r="AW29" s="90">
        <f>AW26*Assumptions!$K$33+'50% Equity Scenario'!AW27*Assumptions!$L$33</f>
        <v>214320.18433846819</v>
      </c>
      <c r="AX29" s="90">
        <f>AX26*Assumptions!$K$33+'50% Equity Scenario'!AX27*Assumptions!$L$33</f>
        <v>212155.55047664963</v>
      </c>
      <c r="AY29" s="90">
        <f>AY26*Assumptions!$K$33+'50% Equity Scenario'!AY27*Assumptions!$L$33</f>
        <v>210012.77941683549</v>
      </c>
      <c r="AZ29" s="90">
        <f>AZ26*Assumptions!$K$33+'50% Equity Scenario'!AZ27*Assumptions!$L$33</f>
        <v>207891.65034472544</v>
      </c>
      <c r="BA29" s="90">
        <f>BA26*Assumptions!$K$33+'50% Equity Scenario'!BA27*Assumptions!$L$33</f>
        <v>205791.9446762437</v>
      </c>
      <c r="BB29" s="90">
        <f>BB26*Assumptions!$K$33+'50% Equity Scenario'!BB27*Assumptions!$L$33</f>
        <v>203713.44603501365</v>
      </c>
      <c r="BC29" s="90">
        <f>BC26*Assumptions!$K$33+'50% Equity Scenario'!BC27*Assumptions!$L$33</f>
        <v>201655.94023006002</v>
      </c>
      <c r="BD29" s="90">
        <f>BD26*Assumptions!$K$33+'50% Equity Scenario'!BD27*Assumptions!$L$33</f>
        <v>199619.21523373641</v>
      </c>
      <c r="BE29" s="90">
        <f>BE26*Assumptions!$K$33+'50% Equity Scenario'!BE27*Assumptions!$L$33</f>
        <v>197603.06115987568</v>
      </c>
      <c r="BF29" s="90">
        <f>BF26*Assumptions!$K$33+'50% Equity Scenario'!BF27*Assumptions!$L$33</f>
        <v>195607.27024216094</v>
      </c>
      <c r="BG29" s="90">
        <f>BG26*Assumptions!$K$33+'50% Equity Scenario'!BG27*Assumptions!$L$33</f>
        <v>193631.63681271512</v>
      </c>
      <c r="BH29" s="90">
        <f>BH26*Assumptions!$K$33+'50% Equity Scenario'!BH27*Assumptions!$L$33</f>
        <v>191675.9572809067</v>
      </c>
      <c r="BI29" s="90">
        <f>BI26*Assumptions!$K$33+'50% Equity Scenario'!BI27*Assumptions!$L$33</f>
        <v>189740.03011236957</v>
      </c>
      <c r="BJ29" s="90">
        <f>BJ26*Assumptions!$K$33+'50% Equity Scenario'!BJ27*Assumptions!$L$33</f>
        <v>187823.65580823465</v>
      </c>
      <c r="BK29" s="90">
        <f>BK26*Assumptions!$K$33+'50% Equity Scenario'!BK27*Assumptions!$L$33</f>
        <v>185926.63688457146</v>
      </c>
      <c r="BL29" s="90">
        <f>BL26*Assumptions!$K$33+'50% Equity Scenario'!BL27*Assumptions!$L$33</f>
        <v>184048.77785203728</v>
      </c>
      <c r="BM29" s="90">
        <f>BM26*Assumptions!$K$33+'50% Equity Scenario'!BM27*Assumptions!$L$33</f>
        <v>182189.88519573174</v>
      </c>
      <c r="BN29" s="90">
        <f>BN26*Assumptions!$K$33+'50% Equity Scenario'!BN27*Assumptions!$L$33</f>
        <v>180349.76735525485</v>
      </c>
      <c r="BO29" s="90">
        <f>BO26*Assumptions!$K$33+'50% Equity Scenario'!BO27*Assumptions!$L$33</f>
        <v>178528.23470496677</v>
      </c>
      <c r="BP29" s="90">
        <f>BP26*Assumptions!$K$33+'50% Equity Scenario'!BP27*Assumptions!$L$33</f>
        <v>176725.09953444658</v>
      </c>
      <c r="BQ29" s="90">
        <f>BQ26*Assumptions!$K$33+'50% Equity Scenario'!BQ27*Assumptions!$L$33</f>
        <v>174940.17602914869</v>
      </c>
      <c r="BR29" s="90">
        <f>BR26*Assumptions!$K$33+'50% Equity Scenario'!BR27*Assumptions!$L$33</f>
        <v>173173.28025125427</v>
      </c>
      <c r="BS29" s="90">
        <f>BS26*Assumptions!$K$33+'50% Equity Scenario'!BS27*Assumptions!$L$33</f>
        <v>171424.23012071659</v>
      </c>
      <c r="BT29" s="90">
        <f>BT26*Assumptions!$K$33+'50% Equity Scenario'!BT27*Assumptions!$L$33</f>
        <v>169692.84539649735</v>
      </c>
      <c r="BU29" s="90">
        <f>BU26*Assumptions!$K$33+'50% Equity Scenario'!BU27*Assumptions!$L$33</f>
        <v>167978.94765799271</v>
      </c>
      <c r="BV29" s="90">
        <f>BV26*Assumptions!$K$33+'50% Equity Scenario'!BV27*Assumptions!$L$33</f>
        <v>166282.36028664699</v>
      </c>
      <c r="BW29" s="90">
        <f>BW26*Assumptions!$K$33+'50% Equity Scenario'!BW27*Assumptions!$L$33</f>
        <v>164602.90844775186</v>
      </c>
      <c r="BX29" s="90">
        <f>BX26*Assumptions!$K$33+'50% Equity Scenario'!BX27*Assumptions!$L$33</f>
        <v>162940.41907242956</v>
      </c>
      <c r="BY29" s="90">
        <f>BY26*Assumptions!$K$33+'50% Equity Scenario'!BY27*Assumptions!$L$33</f>
        <v>161294.72083979801</v>
      </c>
      <c r="BZ29" s="90">
        <f>BZ26*Assumptions!$K$33+'50% Equity Scenario'!BZ27*Assumptions!$L$33</f>
        <v>159665.64415931609</v>
      </c>
      <c r="CA29" s="90">
        <f>CA26*Assumptions!$K$33+'50% Equity Scenario'!CA27*Assumptions!$L$33</f>
        <v>158053.02115330697</v>
      </c>
      <c r="CB29" s="90">
        <f>CB26*Assumptions!$K$33+'50% Equity Scenario'!CB27*Assumptions!$L$33</f>
        <v>156456.68563965856</v>
      </c>
      <c r="CC29" s="90">
        <f>CC26*Assumptions!$K$33+'50% Equity Scenario'!CC27*Assumptions!$L$33</f>
        <v>154876.47311469802</v>
      </c>
      <c r="CD29" s="90">
        <f>CD26*Assumptions!$K$33+'50% Equity Scenario'!CD27*Assumptions!$L$33</f>
        <v>153312.22073623954</v>
      </c>
      <c r="CE29" s="90">
        <f>CE26*Assumptions!$K$33+'50% Equity Scenario'!CE27*Assumptions!$L$33</f>
        <v>151763.76730680352</v>
      </c>
      <c r="CF29" s="90">
        <f>CF26*Assumptions!$K$33+'50% Equity Scenario'!CF27*Assumptions!$L$33</f>
        <v>150230.95325700482</v>
      </c>
      <c r="CG29" s="90">
        <f>CG26*Assumptions!$K$33+'50% Equity Scenario'!CG27*Assumptions!$L$33</f>
        <v>148713.62062910909</v>
      </c>
      <c r="CH29" s="90">
        <f>CH26*Assumptions!$K$33+'50% Equity Scenario'!CH27*Assumptions!$L$33</f>
        <v>147211.61306075507</v>
      </c>
      <c r="CI29" s="90">
        <f>CI26*Assumptions!$K$33+'50% Equity Scenario'!CI27*Assumptions!$L$33</f>
        <v>145724.77576884144</v>
      </c>
      <c r="CJ29" s="90">
        <f>CJ26*Assumptions!$K$33+'50% Equity Scenario'!CJ27*Assumptions!$L$33</f>
        <v>144252.95553357614</v>
      </c>
      <c r="CK29" s="90">
        <f>CK26*Assumptions!$K$33+'50% Equity Scenario'!CK27*Assumptions!$L$33</f>
        <v>142796.00068268704</v>
      </c>
      <c r="CL29" s="90">
        <f>CL26*Assumptions!$K$33+'50% Equity Scenario'!CL27*Assumptions!$L$33</f>
        <v>141353.7610757919</v>
      </c>
      <c r="CM29" s="90">
        <f>CM26*Assumptions!$K$33+'50% Equity Scenario'!CM27*Assumptions!$L$33</f>
        <v>139926.08808892639</v>
      </c>
      <c r="CN29" s="90">
        <f>CN26*Assumptions!$K$33+'50% Equity Scenario'!CN27*Assumptions!$L$33</f>
        <v>138512.83459922826</v>
      </c>
      <c r="CO29" s="90">
        <f>CO26*Assumptions!$K$33+'50% Equity Scenario'!CO27*Assumptions!$L$33</f>
        <v>137113.85496977603</v>
      </c>
      <c r="CP29" s="90">
        <f>CP26*Assumptions!$K$33+'50% Equity Scenario'!CP27*Assumptions!$L$33</f>
        <v>135729.00503458129</v>
      </c>
      <c r="CQ29" s="90">
        <f>CQ26*Assumptions!$K$33+'50% Equity Scenario'!CQ27*Assumptions!$L$33</f>
        <v>134358.14208373203</v>
      </c>
      <c r="CR29" s="90">
        <f>CR26*Assumptions!$K$33+'50% Equity Scenario'!CR27*Assumptions!$L$33</f>
        <v>133001.12484868633</v>
      </c>
      <c r="CS29" s="90">
        <f>CS26*Assumptions!$K$33+'50% Equity Scenario'!CS27*Assumptions!$L$33</f>
        <v>131657.81348771462</v>
      </c>
      <c r="CT29" s="90">
        <f>CT26*Assumptions!$K$33+'50% Equity Scenario'!CT27*Assumptions!$L$33</f>
        <v>130328.0695714887</v>
      </c>
      <c r="CU29" s="90">
        <f>CU26*Assumptions!$K$33+'50% Equity Scenario'!CU27*Assumptions!$L$33</f>
        <v>129011.75606881667</v>
      </c>
      <c r="CV29" s="90">
        <f>CV26*Assumptions!$K$33+'50% Equity Scenario'!CV27*Assumptions!$L$33</f>
        <v>127708.73733252162</v>
      </c>
      <c r="CW29" s="90">
        <f>CW26*Assumptions!$K$33+'50% Equity Scenario'!CW27*Assumptions!$L$33</f>
        <v>126418.87908546314</v>
      </c>
      <c r="CX29" s="90">
        <f>CX26*Assumptions!$K$33+'50% Equity Scenario'!CX27*Assumptions!$L$33</f>
        <v>125142.04840669996</v>
      </c>
      <c r="CY29" s="90">
        <f>CY26*Assumptions!$K$33+'50% Equity Scenario'!CY27*Assumptions!$L$33</f>
        <v>123878.11371779229</v>
      </c>
      <c r="CZ29" s="90">
        <f>CZ26*Assumptions!$K$33+'50% Equity Scenario'!CZ27*Assumptions!$L$33</f>
        <v>122626.94476924259</v>
      </c>
      <c r="DA29" s="90">
        <f>DA26*Assumptions!$K$33+'50% Equity Scenario'!DA27*Assumptions!$L$33</f>
        <v>121388.41262707324</v>
      </c>
      <c r="DB29" s="90">
        <f>DB26*Assumptions!$K$33+'50% Equity Scenario'!DB27*Assumptions!$L$33</f>
        <v>120162.3896595398</v>
      </c>
      <c r="DC29" s="90">
        <f>DC26*Assumptions!$K$33+'50% Equity Scenario'!DC27*Assumptions!$L$33</f>
        <v>118948.74952397845</v>
      </c>
      <c r="DD29" s="90">
        <f>DD26*Assumptions!$K$33+'50% Equity Scenario'!DD27*Assumptions!$L$33</f>
        <v>117747.36715378627</v>
      </c>
      <c r="DE29" s="90">
        <f>DE26*Assumptions!$K$33+'50% Equity Scenario'!DE27*Assumptions!$L$33</f>
        <v>116558.11874553304</v>
      </c>
      <c r="DF29" s="90">
        <f>DF26*Assumptions!$K$33+'50% Equity Scenario'!DF27*Assumptions!$L$33</f>
        <v>115380.88174620316</v>
      </c>
      <c r="DG29" s="90">
        <f>DG26*Assumptions!$K$33+'50% Equity Scenario'!DG27*Assumptions!$L$33</f>
        <v>114215.5348405665</v>
      </c>
      <c r="DH29" s="90">
        <f>DH26*Assumptions!$K$33+'50% Equity Scenario'!DH27*Assumptions!$L$33</f>
        <v>113061.95793867677</v>
      </c>
      <c r="DI29" s="90">
        <f>DI26*Assumptions!$K$33+'50% Equity Scenario'!DI27*Assumptions!$L$33</f>
        <v>111920.03216349614</v>
      </c>
      <c r="DJ29" s="90">
        <f>DJ26*Assumptions!$K$33+'50% Equity Scenario'!DJ27*Assumptions!$L$33</f>
        <v>110789.63983864483</v>
      </c>
      <c r="DK29" s="90">
        <f>DK26*Assumptions!$K$33+'50% Equity Scenario'!DK27*Assumptions!$L$33</f>
        <v>109670.66447627451</v>
      </c>
      <c r="DL29" s="90">
        <f>DL26*Assumptions!$K$33+'50% Equity Scenario'!DL27*Assumptions!$L$33</f>
        <v>108562.99076506414</v>
      </c>
      <c r="DM29" s="90">
        <f>DM26*Assumptions!$K$33+'50% Equity Scenario'!DM27*Assumptions!$L$33</f>
        <v>107466.50455833701</v>
      </c>
      <c r="DN29" s="90">
        <f>DN26*Assumptions!$K$33+'50% Equity Scenario'!DN27*Assumptions!$L$33</f>
        <v>106381.0928622978</v>
      </c>
      <c r="DO29" s="90">
        <f>DO26*Assumptions!$K$33+'50% Equity Scenario'!DO27*Assumptions!$L$33</f>
        <v>105306.64382438859</v>
      </c>
      <c r="DP29" s="90">
        <f>DP26*Assumptions!$K$33+'50% Equity Scenario'!DP27*Assumptions!$L$33</f>
        <v>104243.04672176226</v>
      </c>
      <c r="DQ29" s="90">
        <f>DQ26*Assumptions!$K$33+'50% Equity Scenario'!DQ27*Assumptions!$L$33</f>
        <v>103190.19194987246</v>
      </c>
      <c r="DR29" s="90">
        <f>DR26*Assumptions!$K$33+'50% Equity Scenario'!DR27*Assumptions!$L$33</f>
        <v>102147.97101117876</v>
      </c>
      <c r="DS29" s="90">
        <f>DS26*Assumptions!$K$33+'50% Equity Scenario'!DS27*Assumptions!$L$33</f>
        <v>101116.27650396586</v>
      </c>
      <c r="DT29" s="90">
        <f>DT26*Assumptions!$K$33+'50% Equity Scenario'!DT27*Assumptions!$L$33</f>
        <v>100095.0021112758</v>
      </c>
      <c r="DU29" s="88">
        <f>DU26*Assumptions!$K$33+'50% Equity Scenario'!DU27*Assumptions!$L$33</f>
        <v>600570.01266765466</v>
      </c>
    </row>
    <row r="30" spans="1:125" x14ac:dyDescent="0.4">
      <c r="B30" s="74"/>
      <c r="C30" s="55"/>
      <c r="D30" s="62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60"/>
    </row>
    <row r="31" spans="1:125" x14ac:dyDescent="0.4">
      <c r="B31" s="39" t="s">
        <v>110</v>
      </c>
      <c r="C31" s="55"/>
      <c r="D31" s="62"/>
      <c r="E31" s="59">
        <f t="shared" ref="E31:AJ31" si="17">-MIN(-E43,E29)</f>
        <v>-85983.333333333328</v>
      </c>
      <c r="F31" s="59">
        <f t="shared" si="17"/>
        <v>-83078.138888888905</v>
      </c>
      <c r="G31" s="59">
        <f t="shared" si="17"/>
        <v>-80178.524675925917</v>
      </c>
      <c r="H31" s="59">
        <f t="shared" si="17"/>
        <v>-77284.157108061743</v>
      </c>
      <c r="I31" s="59">
        <f t="shared" si="17"/>
        <v>-74394.702733832193</v>
      </c>
      <c r="J31" s="59">
        <f t="shared" si="17"/>
        <v>-71509.828197595591</v>
      </c>
      <c r="K31" s="59">
        <f t="shared" si="17"/>
        <v>-68629.200200391031</v>
      </c>
      <c r="L31" s="59">
        <f t="shared" si="17"/>
        <v>-65752.485460746801</v>
      </c>
      <c r="M31" s="59">
        <f t="shared" si="17"/>
        <v>-62879.350675434056</v>
      </c>
      <c r="N31" s="59">
        <f t="shared" si="17"/>
        <v>-60009.462480161128</v>
      </c>
      <c r="O31" s="59">
        <f t="shared" si="17"/>
        <v>-57142.487410203525</v>
      </c>
      <c r="P31" s="59">
        <f t="shared" si="17"/>
        <v>-54278.091860965229</v>
      </c>
      <c r="Q31" s="59">
        <f t="shared" si="17"/>
        <v>-51415.942048466299</v>
      </c>
      <c r="R31" s="59">
        <f t="shared" si="17"/>
        <v>-48555.703969752081</v>
      </c>
      <c r="S31" s="59">
        <f t="shared" si="17"/>
        <v>-45697.043363219243</v>
      </c>
      <c r="T31" s="59">
        <f t="shared" si="17"/>
        <v>-42839.625668853943</v>
      </c>
      <c r="U31" s="59">
        <f t="shared" si="17"/>
        <v>-39983.115988377103</v>
      </c>
      <c r="V31" s="59">
        <f t="shared" si="17"/>
        <v>-37127.179045292163</v>
      </c>
      <c r="W31" s="59">
        <f t="shared" si="17"/>
        <v>-34271.479144830359</v>
      </c>
      <c r="X31" s="59">
        <f t="shared" si="17"/>
        <v>-31415.680133788661</v>
      </c>
      <c r="Y31" s="59">
        <f t="shared" si="17"/>
        <v>-28559.44536025557</v>
      </c>
      <c r="Z31" s="59">
        <f t="shared" si="17"/>
        <v>-25702.437633219703</v>
      </c>
      <c r="AA31" s="59">
        <f t="shared" si="17"/>
        <v>-22844.319182056432</v>
      </c>
      <c r="AB31" s="59">
        <f t="shared" si="17"/>
        <v>-19984.75161588745</v>
      </c>
      <c r="AC31" s="59">
        <f t="shared" si="17"/>
        <v>-17123.395882808425</v>
      </c>
      <c r="AD31" s="59">
        <f t="shared" si="17"/>
        <v>-14259.912228979647</v>
      </c>
      <c r="AE31" s="59">
        <f t="shared" si="17"/>
        <v>-11393.960157574729</v>
      </c>
      <c r="AF31" s="59">
        <f t="shared" si="17"/>
        <v>-8525.1983875822571</v>
      </c>
      <c r="AG31" s="59">
        <f t="shared" si="17"/>
        <v>-5653.2848124553648</v>
      </c>
      <c r="AH31" s="59">
        <f t="shared" si="17"/>
        <v>-2777.8764586041111</v>
      </c>
      <c r="AI31" s="59">
        <f t="shared" si="17"/>
        <v>0</v>
      </c>
      <c r="AJ31" s="59">
        <f t="shared" si="17"/>
        <v>0</v>
      </c>
      <c r="AK31" s="59">
        <f t="shared" ref="AK31:BP31" si="18">-MIN(-AK43,AK29)</f>
        <v>0</v>
      </c>
      <c r="AL31" s="59">
        <f t="shared" si="18"/>
        <v>0</v>
      </c>
      <c r="AM31" s="59">
        <f t="shared" si="18"/>
        <v>0</v>
      </c>
      <c r="AN31" s="59">
        <f t="shared" si="18"/>
        <v>0</v>
      </c>
      <c r="AO31" s="59">
        <f t="shared" si="18"/>
        <v>0</v>
      </c>
      <c r="AP31" s="59">
        <f t="shared" si="18"/>
        <v>0</v>
      </c>
      <c r="AQ31" s="59">
        <f t="shared" si="18"/>
        <v>0</v>
      </c>
      <c r="AR31" s="59">
        <f t="shared" si="18"/>
        <v>0</v>
      </c>
      <c r="AS31" s="59">
        <f t="shared" si="18"/>
        <v>0</v>
      </c>
      <c r="AT31" s="59">
        <f t="shared" si="18"/>
        <v>0</v>
      </c>
      <c r="AU31" s="59">
        <f t="shared" si="18"/>
        <v>0</v>
      </c>
      <c r="AV31" s="59">
        <f t="shared" si="18"/>
        <v>0</v>
      </c>
      <c r="AW31" s="59">
        <f t="shared" si="18"/>
        <v>0</v>
      </c>
      <c r="AX31" s="59">
        <f t="shared" si="18"/>
        <v>0</v>
      </c>
      <c r="AY31" s="59">
        <f t="shared" si="18"/>
        <v>0</v>
      </c>
      <c r="AZ31" s="59">
        <f t="shared" si="18"/>
        <v>0</v>
      </c>
      <c r="BA31" s="59">
        <f t="shared" si="18"/>
        <v>0</v>
      </c>
      <c r="BB31" s="59">
        <f t="shared" si="18"/>
        <v>0</v>
      </c>
      <c r="BC31" s="59">
        <f t="shared" si="18"/>
        <v>0</v>
      </c>
      <c r="BD31" s="59">
        <f t="shared" si="18"/>
        <v>0</v>
      </c>
      <c r="BE31" s="59">
        <f t="shared" si="18"/>
        <v>0</v>
      </c>
      <c r="BF31" s="59">
        <f t="shared" si="18"/>
        <v>0</v>
      </c>
      <c r="BG31" s="59">
        <f t="shared" si="18"/>
        <v>0</v>
      </c>
      <c r="BH31" s="59">
        <f t="shared" si="18"/>
        <v>0</v>
      </c>
      <c r="BI31" s="59">
        <f t="shared" si="18"/>
        <v>0</v>
      </c>
      <c r="BJ31" s="59">
        <f t="shared" si="18"/>
        <v>0</v>
      </c>
      <c r="BK31" s="59">
        <f t="shared" si="18"/>
        <v>0</v>
      </c>
      <c r="BL31" s="59">
        <f t="shared" si="18"/>
        <v>0</v>
      </c>
      <c r="BM31" s="59">
        <f t="shared" si="18"/>
        <v>0</v>
      </c>
      <c r="BN31" s="59">
        <f t="shared" si="18"/>
        <v>0</v>
      </c>
      <c r="BO31" s="59">
        <f t="shared" si="18"/>
        <v>0</v>
      </c>
      <c r="BP31" s="59">
        <f t="shared" si="18"/>
        <v>0</v>
      </c>
      <c r="BQ31" s="59">
        <f t="shared" ref="BQ31:CV31" si="19">-MIN(-BQ43,BQ29)</f>
        <v>0</v>
      </c>
      <c r="BR31" s="59">
        <f t="shared" si="19"/>
        <v>0</v>
      </c>
      <c r="BS31" s="59">
        <f t="shared" si="19"/>
        <v>0</v>
      </c>
      <c r="BT31" s="59">
        <f t="shared" si="19"/>
        <v>0</v>
      </c>
      <c r="BU31" s="59">
        <f t="shared" si="19"/>
        <v>0</v>
      </c>
      <c r="BV31" s="59">
        <f t="shared" si="19"/>
        <v>0</v>
      </c>
      <c r="BW31" s="59">
        <f t="shared" si="19"/>
        <v>0</v>
      </c>
      <c r="BX31" s="59">
        <f t="shared" si="19"/>
        <v>0</v>
      </c>
      <c r="BY31" s="59">
        <f t="shared" si="19"/>
        <v>0</v>
      </c>
      <c r="BZ31" s="59">
        <f t="shared" si="19"/>
        <v>0</v>
      </c>
      <c r="CA31" s="59">
        <f t="shared" si="19"/>
        <v>0</v>
      </c>
      <c r="CB31" s="59">
        <f t="shared" si="19"/>
        <v>0</v>
      </c>
      <c r="CC31" s="59">
        <f t="shared" si="19"/>
        <v>0</v>
      </c>
      <c r="CD31" s="59">
        <f t="shared" si="19"/>
        <v>0</v>
      </c>
      <c r="CE31" s="59">
        <f t="shared" si="19"/>
        <v>0</v>
      </c>
      <c r="CF31" s="59">
        <f t="shared" si="19"/>
        <v>0</v>
      </c>
      <c r="CG31" s="59">
        <f t="shared" si="19"/>
        <v>0</v>
      </c>
      <c r="CH31" s="59">
        <f t="shared" si="19"/>
        <v>0</v>
      </c>
      <c r="CI31" s="59">
        <f t="shared" si="19"/>
        <v>0</v>
      </c>
      <c r="CJ31" s="59">
        <f t="shared" si="19"/>
        <v>0</v>
      </c>
      <c r="CK31" s="59">
        <f t="shared" si="19"/>
        <v>0</v>
      </c>
      <c r="CL31" s="59">
        <f t="shared" si="19"/>
        <v>0</v>
      </c>
      <c r="CM31" s="59">
        <f t="shared" si="19"/>
        <v>0</v>
      </c>
      <c r="CN31" s="59">
        <f t="shared" si="19"/>
        <v>0</v>
      </c>
      <c r="CO31" s="59">
        <f t="shared" si="19"/>
        <v>0</v>
      </c>
      <c r="CP31" s="59">
        <f t="shared" si="19"/>
        <v>0</v>
      </c>
      <c r="CQ31" s="59">
        <f t="shared" si="19"/>
        <v>0</v>
      </c>
      <c r="CR31" s="59">
        <f t="shared" si="19"/>
        <v>0</v>
      </c>
      <c r="CS31" s="59">
        <f t="shared" si="19"/>
        <v>0</v>
      </c>
      <c r="CT31" s="59">
        <f t="shared" si="19"/>
        <v>0</v>
      </c>
      <c r="CU31" s="59">
        <f t="shared" si="19"/>
        <v>0</v>
      </c>
      <c r="CV31" s="59">
        <f t="shared" si="19"/>
        <v>0</v>
      </c>
      <c r="CW31" s="59">
        <f t="shared" ref="CW31:DU31" si="20">-MIN(-CW43,CW29)</f>
        <v>0</v>
      </c>
      <c r="CX31" s="59">
        <f t="shared" si="20"/>
        <v>0</v>
      </c>
      <c r="CY31" s="59">
        <f t="shared" si="20"/>
        <v>0</v>
      </c>
      <c r="CZ31" s="59">
        <f t="shared" si="20"/>
        <v>0</v>
      </c>
      <c r="DA31" s="59">
        <f t="shared" si="20"/>
        <v>0</v>
      </c>
      <c r="DB31" s="59">
        <f t="shared" si="20"/>
        <v>0</v>
      </c>
      <c r="DC31" s="59">
        <f t="shared" si="20"/>
        <v>0</v>
      </c>
      <c r="DD31" s="59">
        <f t="shared" si="20"/>
        <v>0</v>
      </c>
      <c r="DE31" s="59">
        <f t="shared" si="20"/>
        <v>0</v>
      </c>
      <c r="DF31" s="59">
        <f t="shared" si="20"/>
        <v>0</v>
      </c>
      <c r="DG31" s="59">
        <f t="shared" si="20"/>
        <v>0</v>
      </c>
      <c r="DH31" s="59">
        <f t="shared" si="20"/>
        <v>0</v>
      </c>
      <c r="DI31" s="59">
        <f t="shared" si="20"/>
        <v>0</v>
      </c>
      <c r="DJ31" s="59">
        <f t="shared" si="20"/>
        <v>0</v>
      </c>
      <c r="DK31" s="59">
        <f t="shared" si="20"/>
        <v>0</v>
      </c>
      <c r="DL31" s="59">
        <f t="shared" si="20"/>
        <v>0</v>
      </c>
      <c r="DM31" s="59">
        <f t="shared" si="20"/>
        <v>0</v>
      </c>
      <c r="DN31" s="59">
        <f t="shared" si="20"/>
        <v>0</v>
      </c>
      <c r="DO31" s="59">
        <f t="shared" si="20"/>
        <v>0</v>
      </c>
      <c r="DP31" s="59">
        <f t="shared" si="20"/>
        <v>0</v>
      </c>
      <c r="DQ31" s="59">
        <f t="shared" si="20"/>
        <v>0</v>
      </c>
      <c r="DR31" s="59">
        <f t="shared" si="20"/>
        <v>0</v>
      </c>
      <c r="DS31" s="59">
        <f t="shared" si="20"/>
        <v>0</v>
      </c>
      <c r="DT31" s="59">
        <f t="shared" si="20"/>
        <v>0</v>
      </c>
      <c r="DU31" s="60">
        <f t="shared" si="20"/>
        <v>0</v>
      </c>
    </row>
    <row r="32" spans="1:125" x14ac:dyDescent="0.4">
      <c r="B32" s="39" t="s">
        <v>111</v>
      </c>
      <c r="C32" s="55"/>
      <c r="D32" s="62"/>
      <c r="E32" s="59">
        <f t="shared" ref="E32:AJ32" si="21">IF(E$31=0,0,E$31*E44/E43)</f>
        <v>-77000</v>
      </c>
      <c r="F32" s="59">
        <f t="shared" si="21"/>
        <v>-74398.333333333343</v>
      </c>
      <c r="G32" s="59">
        <f t="shared" si="21"/>
        <v>-71801.663888888885</v>
      </c>
      <c r="H32" s="59">
        <f t="shared" si="21"/>
        <v>-69209.692932592603</v>
      </c>
      <c r="I32" s="59">
        <f t="shared" si="21"/>
        <v>-66622.121851193006</v>
      </c>
      <c r="J32" s="59">
        <f t="shared" si="21"/>
        <v>-64038.652117249796</v>
      </c>
      <c r="K32" s="59">
        <f t="shared" si="21"/>
        <v>-61458.985254081519</v>
      </c>
      <c r="L32" s="59">
        <f t="shared" si="21"/>
        <v>-58882.822800668771</v>
      </c>
      <c r="M32" s="59">
        <f t="shared" si="21"/>
        <v>-56309.86627650811</v>
      </c>
      <c r="N32" s="59">
        <f t="shared" si="21"/>
        <v>-53739.817146412948</v>
      </c>
      <c r="O32" s="59">
        <f t="shared" si="21"/>
        <v>-51172.376785256885</v>
      </c>
      <c r="P32" s="59">
        <f t="shared" si="21"/>
        <v>-48607.246442655436</v>
      </c>
      <c r="Q32" s="59">
        <f t="shared" si="21"/>
        <v>-46044.127207581761</v>
      </c>
      <c r="R32" s="59">
        <f t="shared" si="21"/>
        <v>-43482.719972912309</v>
      </c>
      <c r="S32" s="59">
        <f t="shared" si="21"/>
        <v>-40922.725399897827</v>
      </c>
      <c r="T32" s="59">
        <f t="shared" si="21"/>
        <v>-38363.843882555768</v>
      </c>
      <c r="U32" s="59">
        <f t="shared" si="21"/>
        <v>-35805.775511979497</v>
      </c>
      <c r="V32" s="59">
        <f t="shared" si="21"/>
        <v>-33248.220040560147</v>
      </c>
      <c r="W32" s="59">
        <f t="shared" si="21"/>
        <v>-30690.876846116735</v>
      </c>
      <c r="X32" s="59">
        <f t="shared" si="21"/>
        <v>-28133.444895930144</v>
      </c>
      <c r="Y32" s="59">
        <f t="shared" si="21"/>
        <v>-25575.622710676627</v>
      </c>
      <c r="Z32" s="59">
        <f t="shared" si="21"/>
        <v>-23017.10832825645</v>
      </c>
      <c r="AA32" s="59">
        <f t="shared" si="21"/>
        <v>-20457.599267513222</v>
      </c>
      <c r="AB32" s="59">
        <f t="shared" si="21"/>
        <v>-17896.792491839507</v>
      </c>
      <c r="AC32" s="59">
        <f t="shared" si="21"/>
        <v>-15334.384372664261</v>
      </c>
      <c r="AD32" s="59">
        <f t="shared" si="21"/>
        <v>-12770.070652817594</v>
      </c>
      <c r="AE32" s="59">
        <f t="shared" si="21"/>
        <v>-10203.546409768414</v>
      </c>
      <c r="AF32" s="59">
        <f t="shared" si="21"/>
        <v>-7634.5060187303789</v>
      </c>
      <c r="AG32" s="59">
        <f t="shared" si="21"/>
        <v>-5062.6431156316694</v>
      </c>
      <c r="AH32" s="59">
        <f t="shared" si="21"/>
        <v>-2487.6505599439793</v>
      </c>
      <c r="AI32" s="59">
        <f t="shared" si="21"/>
        <v>0</v>
      </c>
      <c r="AJ32" s="59">
        <f t="shared" si="21"/>
        <v>0</v>
      </c>
      <c r="AK32" s="59">
        <f t="shared" ref="AK32:BP32" si="22">IF(AK$31=0,0,AK$31*AK44/AK43)</f>
        <v>0</v>
      </c>
      <c r="AL32" s="59">
        <f t="shared" si="22"/>
        <v>0</v>
      </c>
      <c r="AM32" s="59">
        <f t="shared" si="22"/>
        <v>0</v>
      </c>
      <c r="AN32" s="59">
        <f t="shared" si="22"/>
        <v>0</v>
      </c>
      <c r="AO32" s="59">
        <f t="shared" si="22"/>
        <v>0</v>
      </c>
      <c r="AP32" s="59">
        <f t="shared" si="22"/>
        <v>0</v>
      </c>
      <c r="AQ32" s="59">
        <f t="shared" si="22"/>
        <v>0</v>
      </c>
      <c r="AR32" s="59">
        <f t="shared" si="22"/>
        <v>0</v>
      </c>
      <c r="AS32" s="59">
        <f t="shared" si="22"/>
        <v>0</v>
      </c>
      <c r="AT32" s="59">
        <f t="shared" si="22"/>
        <v>0</v>
      </c>
      <c r="AU32" s="59">
        <f t="shared" si="22"/>
        <v>0</v>
      </c>
      <c r="AV32" s="59">
        <f t="shared" si="22"/>
        <v>0</v>
      </c>
      <c r="AW32" s="59">
        <f t="shared" si="22"/>
        <v>0</v>
      </c>
      <c r="AX32" s="59">
        <f t="shared" si="22"/>
        <v>0</v>
      </c>
      <c r="AY32" s="59">
        <f t="shared" si="22"/>
        <v>0</v>
      </c>
      <c r="AZ32" s="59">
        <f t="shared" si="22"/>
        <v>0</v>
      </c>
      <c r="BA32" s="59">
        <f t="shared" si="22"/>
        <v>0</v>
      </c>
      <c r="BB32" s="59">
        <f t="shared" si="22"/>
        <v>0</v>
      </c>
      <c r="BC32" s="59">
        <f t="shared" si="22"/>
        <v>0</v>
      </c>
      <c r="BD32" s="59">
        <f t="shared" si="22"/>
        <v>0</v>
      </c>
      <c r="BE32" s="59">
        <f t="shared" si="22"/>
        <v>0</v>
      </c>
      <c r="BF32" s="59">
        <f t="shared" si="22"/>
        <v>0</v>
      </c>
      <c r="BG32" s="59">
        <f t="shared" si="22"/>
        <v>0</v>
      </c>
      <c r="BH32" s="59">
        <f t="shared" si="22"/>
        <v>0</v>
      </c>
      <c r="BI32" s="59">
        <f t="shared" si="22"/>
        <v>0</v>
      </c>
      <c r="BJ32" s="59">
        <f t="shared" si="22"/>
        <v>0</v>
      </c>
      <c r="BK32" s="59">
        <f t="shared" si="22"/>
        <v>0</v>
      </c>
      <c r="BL32" s="59">
        <f t="shared" si="22"/>
        <v>0</v>
      </c>
      <c r="BM32" s="59">
        <f t="shared" si="22"/>
        <v>0</v>
      </c>
      <c r="BN32" s="59">
        <f t="shared" si="22"/>
        <v>0</v>
      </c>
      <c r="BO32" s="59">
        <f t="shared" si="22"/>
        <v>0</v>
      </c>
      <c r="BP32" s="59">
        <f t="shared" si="22"/>
        <v>0</v>
      </c>
      <c r="BQ32" s="59">
        <f t="shared" ref="BQ32:CV32" si="23">IF(BQ$31=0,0,BQ$31*BQ44/BQ43)</f>
        <v>0</v>
      </c>
      <c r="BR32" s="59">
        <f t="shared" si="23"/>
        <v>0</v>
      </c>
      <c r="BS32" s="59">
        <f t="shared" si="23"/>
        <v>0</v>
      </c>
      <c r="BT32" s="59">
        <f t="shared" si="23"/>
        <v>0</v>
      </c>
      <c r="BU32" s="59">
        <f t="shared" si="23"/>
        <v>0</v>
      </c>
      <c r="BV32" s="59">
        <f t="shared" si="23"/>
        <v>0</v>
      </c>
      <c r="BW32" s="59">
        <f t="shared" si="23"/>
        <v>0</v>
      </c>
      <c r="BX32" s="59">
        <f t="shared" si="23"/>
        <v>0</v>
      </c>
      <c r="BY32" s="59">
        <f t="shared" si="23"/>
        <v>0</v>
      </c>
      <c r="BZ32" s="59">
        <f t="shared" si="23"/>
        <v>0</v>
      </c>
      <c r="CA32" s="59">
        <f t="shared" si="23"/>
        <v>0</v>
      </c>
      <c r="CB32" s="59">
        <f t="shared" si="23"/>
        <v>0</v>
      </c>
      <c r="CC32" s="59">
        <f t="shared" si="23"/>
        <v>0</v>
      </c>
      <c r="CD32" s="59">
        <f t="shared" si="23"/>
        <v>0</v>
      </c>
      <c r="CE32" s="59">
        <f t="shared" si="23"/>
        <v>0</v>
      </c>
      <c r="CF32" s="59">
        <f t="shared" si="23"/>
        <v>0</v>
      </c>
      <c r="CG32" s="59">
        <f t="shared" si="23"/>
        <v>0</v>
      </c>
      <c r="CH32" s="59">
        <f t="shared" si="23"/>
        <v>0</v>
      </c>
      <c r="CI32" s="59">
        <f t="shared" si="23"/>
        <v>0</v>
      </c>
      <c r="CJ32" s="59">
        <f t="shared" si="23"/>
        <v>0</v>
      </c>
      <c r="CK32" s="59">
        <f t="shared" si="23"/>
        <v>0</v>
      </c>
      <c r="CL32" s="59">
        <f t="shared" si="23"/>
        <v>0</v>
      </c>
      <c r="CM32" s="59">
        <f t="shared" si="23"/>
        <v>0</v>
      </c>
      <c r="CN32" s="59">
        <f t="shared" si="23"/>
        <v>0</v>
      </c>
      <c r="CO32" s="59">
        <f t="shared" si="23"/>
        <v>0</v>
      </c>
      <c r="CP32" s="59">
        <f t="shared" si="23"/>
        <v>0</v>
      </c>
      <c r="CQ32" s="59">
        <f t="shared" si="23"/>
        <v>0</v>
      </c>
      <c r="CR32" s="59">
        <f t="shared" si="23"/>
        <v>0</v>
      </c>
      <c r="CS32" s="59">
        <f t="shared" si="23"/>
        <v>0</v>
      </c>
      <c r="CT32" s="59">
        <f t="shared" si="23"/>
        <v>0</v>
      </c>
      <c r="CU32" s="59">
        <f t="shared" si="23"/>
        <v>0</v>
      </c>
      <c r="CV32" s="59">
        <f t="shared" si="23"/>
        <v>0</v>
      </c>
      <c r="CW32" s="59">
        <f t="shared" ref="CW32:DU32" si="24">IF(CW$31=0,0,CW$31*CW44/CW43)</f>
        <v>0</v>
      </c>
      <c r="CX32" s="59">
        <f t="shared" si="24"/>
        <v>0</v>
      </c>
      <c r="CY32" s="59">
        <f t="shared" si="24"/>
        <v>0</v>
      </c>
      <c r="CZ32" s="59">
        <f t="shared" si="24"/>
        <v>0</v>
      </c>
      <c r="DA32" s="59">
        <f t="shared" si="24"/>
        <v>0</v>
      </c>
      <c r="DB32" s="59">
        <f t="shared" si="24"/>
        <v>0</v>
      </c>
      <c r="DC32" s="59">
        <f t="shared" si="24"/>
        <v>0</v>
      </c>
      <c r="DD32" s="59">
        <f t="shared" si="24"/>
        <v>0</v>
      </c>
      <c r="DE32" s="59">
        <f t="shared" si="24"/>
        <v>0</v>
      </c>
      <c r="DF32" s="59">
        <f t="shared" si="24"/>
        <v>0</v>
      </c>
      <c r="DG32" s="59">
        <f t="shared" si="24"/>
        <v>0</v>
      </c>
      <c r="DH32" s="59">
        <f t="shared" si="24"/>
        <v>0</v>
      </c>
      <c r="DI32" s="59">
        <f t="shared" si="24"/>
        <v>0</v>
      </c>
      <c r="DJ32" s="59">
        <f t="shared" si="24"/>
        <v>0</v>
      </c>
      <c r="DK32" s="59">
        <f t="shared" si="24"/>
        <v>0</v>
      </c>
      <c r="DL32" s="59">
        <f t="shared" si="24"/>
        <v>0</v>
      </c>
      <c r="DM32" s="59">
        <f t="shared" si="24"/>
        <v>0</v>
      </c>
      <c r="DN32" s="59">
        <f t="shared" si="24"/>
        <v>0</v>
      </c>
      <c r="DO32" s="59">
        <f t="shared" si="24"/>
        <v>0</v>
      </c>
      <c r="DP32" s="59">
        <f t="shared" si="24"/>
        <v>0</v>
      </c>
      <c r="DQ32" s="59">
        <f t="shared" si="24"/>
        <v>0</v>
      </c>
      <c r="DR32" s="59">
        <f t="shared" si="24"/>
        <v>0</v>
      </c>
      <c r="DS32" s="59">
        <f t="shared" si="24"/>
        <v>0</v>
      </c>
      <c r="DT32" s="59">
        <f t="shared" si="24"/>
        <v>0</v>
      </c>
      <c r="DU32" s="60">
        <f t="shared" si="24"/>
        <v>0</v>
      </c>
    </row>
    <row r="33" spans="2:125" x14ac:dyDescent="0.4">
      <c r="B33" s="39" t="s">
        <v>112</v>
      </c>
      <c r="C33" s="55"/>
      <c r="D33" s="62"/>
      <c r="E33" s="59">
        <f t="shared" ref="E33:AJ33" si="25">IF(E$31=0,0,E$31*E45/E43)</f>
        <v>-8983.3333333333339</v>
      </c>
      <c r="F33" s="59">
        <f t="shared" si="25"/>
        <v>-8679.8055555555566</v>
      </c>
      <c r="G33" s="59">
        <f t="shared" si="25"/>
        <v>-8376.8607870370379</v>
      </c>
      <c r="H33" s="59">
        <f t="shared" si="25"/>
        <v>-8074.4641754691347</v>
      </c>
      <c r="I33" s="59">
        <f t="shared" si="25"/>
        <v>-7772.5808826391831</v>
      </c>
      <c r="J33" s="59">
        <f t="shared" si="25"/>
        <v>-7471.1760803458073</v>
      </c>
      <c r="K33" s="59">
        <f t="shared" si="25"/>
        <v>-7170.2149463095102</v>
      </c>
      <c r="L33" s="59">
        <f t="shared" si="25"/>
        <v>-6869.6626600780237</v>
      </c>
      <c r="M33" s="59">
        <f t="shared" si="25"/>
        <v>-6569.4843989259471</v>
      </c>
      <c r="N33" s="59">
        <f t="shared" si="25"/>
        <v>-6269.6453337481789</v>
      </c>
      <c r="O33" s="59">
        <f t="shared" si="25"/>
        <v>-5970.1106249466375</v>
      </c>
      <c r="P33" s="59">
        <f t="shared" si="25"/>
        <v>-5670.8454183098011</v>
      </c>
      <c r="Q33" s="59">
        <f t="shared" si="25"/>
        <v>-5371.8148408845409</v>
      </c>
      <c r="R33" s="59">
        <f t="shared" si="25"/>
        <v>-5072.983996839771</v>
      </c>
      <c r="S33" s="59">
        <f t="shared" si="25"/>
        <v>-4774.3179633214149</v>
      </c>
      <c r="T33" s="59">
        <f t="shared" si="25"/>
        <v>-4475.7817862981747</v>
      </c>
      <c r="U33" s="59">
        <f t="shared" si="25"/>
        <v>-4177.3404763976096</v>
      </c>
      <c r="V33" s="59">
        <f t="shared" si="25"/>
        <v>-3878.9590047320189</v>
      </c>
      <c r="W33" s="59">
        <f t="shared" si="25"/>
        <v>-3580.6022987136207</v>
      </c>
      <c r="X33" s="59">
        <f t="shared" si="25"/>
        <v>-3282.2352378585178</v>
      </c>
      <c r="Y33" s="59">
        <f t="shared" si="25"/>
        <v>-2983.8226495789409</v>
      </c>
      <c r="Z33" s="59">
        <f t="shared" si="25"/>
        <v>-2685.3293049632534</v>
      </c>
      <c r="AA33" s="59">
        <f t="shared" si="25"/>
        <v>-2386.7199145432101</v>
      </c>
      <c r="AB33" s="59">
        <f t="shared" si="25"/>
        <v>-2087.9591240479431</v>
      </c>
      <c r="AC33" s="59">
        <f t="shared" si="25"/>
        <v>-1789.0115101441645</v>
      </c>
      <c r="AD33" s="59">
        <f t="shared" si="25"/>
        <v>-1489.8415761620533</v>
      </c>
      <c r="AE33" s="59">
        <f t="shared" si="25"/>
        <v>-1190.4137478063155</v>
      </c>
      <c r="AF33" s="59">
        <f t="shared" si="25"/>
        <v>-890.69236885187831</v>
      </c>
      <c r="AG33" s="59">
        <f t="shared" si="25"/>
        <v>-590.64169682369561</v>
      </c>
      <c r="AH33" s="59">
        <f t="shared" si="25"/>
        <v>-290.22589866013175</v>
      </c>
      <c r="AI33" s="59">
        <f t="shared" si="25"/>
        <v>0</v>
      </c>
      <c r="AJ33" s="59">
        <f t="shared" si="25"/>
        <v>0</v>
      </c>
      <c r="AK33" s="59">
        <f t="shared" ref="AK33:BP33" si="26">IF(AK$31=0,0,AK$31*AK45/AK43)</f>
        <v>0</v>
      </c>
      <c r="AL33" s="59">
        <f t="shared" si="26"/>
        <v>0</v>
      </c>
      <c r="AM33" s="59">
        <f t="shared" si="26"/>
        <v>0</v>
      </c>
      <c r="AN33" s="59">
        <f t="shared" si="26"/>
        <v>0</v>
      </c>
      <c r="AO33" s="59">
        <f t="shared" si="26"/>
        <v>0</v>
      </c>
      <c r="AP33" s="59">
        <f t="shared" si="26"/>
        <v>0</v>
      </c>
      <c r="AQ33" s="59">
        <f t="shared" si="26"/>
        <v>0</v>
      </c>
      <c r="AR33" s="59">
        <f t="shared" si="26"/>
        <v>0</v>
      </c>
      <c r="AS33" s="59">
        <f t="shared" si="26"/>
        <v>0</v>
      </c>
      <c r="AT33" s="59">
        <f t="shared" si="26"/>
        <v>0</v>
      </c>
      <c r="AU33" s="59">
        <f t="shared" si="26"/>
        <v>0</v>
      </c>
      <c r="AV33" s="59">
        <f t="shared" si="26"/>
        <v>0</v>
      </c>
      <c r="AW33" s="59">
        <f t="shared" si="26"/>
        <v>0</v>
      </c>
      <c r="AX33" s="59">
        <f t="shared" si="26"/>
        <v>0</v>
      </c>
      <c r="AY33" s="59">
        <f t="shared" si="26"/>
        <v>0</v>
      </c>
      <c r="AZ33" s="59">
        <f t="shared" si="26"/>
        <v>0</v>
      </c>
      <c r="BA33" s="59">
        <f t="shared" si="26"/>
        <v>0</v>
      </c>
      <c r="BB33" s="59">
        <f t="shared" si="26"/>
        <v>0</v>
      </c>
      <c r="BC33" s="59">
        <f t="shared" si="26"/>
        <v>0</v>
      </c>
      <c r="BD33" s="59">
        <f t="shared" si="26"/>
        <v>0</v>
      </c>
      <c r="BE33" s="59">
        <f t="shared" si="26"/>
        <v>0</v>
      </c>
      <c r="BF33" s="59">
        <f t="shared" si="26"/>
        <v>0</v>
      </c>
      <c r="BG33" s="59">
        <f t="shared" si="26"/>
        <v>0</v>
      </c>
      <c r="BH33" s="59">
        <f t="shared" si="26"/>
        <v>0</v>
      </c>
      <c r="BI33" s="59">
        <f t="shared" si="26"/>
        <v>0</v>
      </c>
      <c r="BJ33" s="59">
        <f t="shared" si="26"/>
        <v>0</v>
      </c>
      <c r="BK33" s="59">
        <f t="shared" si="26"/>
        <v>0</v>
      </c>
      <c r="BL33" s="59">
        <f t="shared" si="26"/>
        <v>0</v>
      </c>
      <c r="BM33" s="59">
        <f t="shared" si="26"/>
        <v>0</v>
      </c>
      <c r="BN33" s="59">
        <f t="shared" si="26"/>
        <v>0</v>
      </c>
      <c r="BO33" s="59">
        <f t="shared" si="26"/>
        <v>0</v>
      </c>
      <c r="BP33" s="59">
        <f t="shared" si="26"/>
        <v>0</v>
      </c>
      <c r="BQ33" s="59">
        <f t="shared" ref="BQ33:CV33" si="27">IF(BQ$31=0,0,BQ$31*BQ45/BQ43)</f>
        <v>0</v>
      </c>
      <c r="BR33" s="59">
        <f t="shared" si="27"/>
        <v>0</v>
      </c>
      <c r="BS33" s="59">
        <f t="shared" si="27"/>
        <v>0</v>
      </c>
      <c r="BT33" s="59">
        <f t="shared" si="27"/>
        <v>0</v>
      </c>
      <c r="BU33" s="59">
        <f t="shared" si="27"/>
        <v>0</v>
      </c>
      <c r="BV33" s="59">
        <f t="shared" si="27"/>
        <v>0</v>
      </c>
      <c r="BW33" s="59">
        <f t="shared" si="27"/>
        <v>0</v>
      </c>
      <c r="BX33" s="59">
        <f t="shared" si="27"/>
        <v>0</v>
      </c>
      <c r="BY33" s="59">
        <f t="shared" si="27"/>
        <v>0</v>
      </c>
      <c r="BZ33" s="59">
        <f t="shared" si="27"/>
        <v>0</v>
      </c>
      <c r="CA33" s="59">
        <f t="shared" si="27"/>
        <v>0</v>
      </c>
      <c r="CB33" s="59">
        <f t="shared" si="27"/>
        <v>0</v>
      </c>
      <c r="CC33" s="59">
        <f t="shared" si="27"/>
        <v>0</v>
      </c>
      <c r="CD33" s="59">
        <f t="shared" si="27"/>
        <v>0</v>
      </c>
      <c r="CE33" s="59">
        <f t="shared" si="27"/>
        <v>0</v>
      </c>
      <c r="CF33" s="59">
        <f t="shared" si="27"/>
        <v>0</v>
      </c>
      <c r="CG33" s="59">
        <f t="shared" si="27"/>
        <v>0</v>
      </c>
      <c r="CH33" s="59">
        <f t="shared" si="27"/>
        <v>0</v>
      </c>
      <c r="CI33" s="59">
        <f t="shared" si="27"/>
        <v>0</v>
      </c>
      <c r="CJ33" s="59">
        <f t="shared" si="27"/>
        <v>0</v>
      </c>
      <c r="CK33" s="59">
        <f t="shared" si="27"/>
        <v>0</v>
      </c>
      <c r="CL33" s="59">
        <f t="shared" si="27"/>
        <v>0</v>
      </c>
      <c r="CM33" s="59">
        <f t="shared" si="27"/>
        <v>0</v>
      </c>
      <c r="CN33" s="59">
        <f t="shared" si="27"/>
        <v>0</v>
      </c>
      <c r="CO33" s="59">
        <f t="shared" si="27"/>
        <v>0</v>
      </c>
      <c r="CP33" s="59">
        <f t="shared" si="27"/>
        <v>0</v>
      </c>
      <c r="CQ33" s="59">
        <f t="shared" si="27"/>
        <v>0</v>
      </c>
      <c r="CR33" s="59">
        <f t="shared" si="27"/>
        <v>0</v>
      </c>
      <c r="CS33" s="59">
        <f t="shared" si="27"/>
        <v>0</v>
      </c>
      <c r="CT33" s="59">
        <f t="shared" si="27"/>
        <v>0</v>
      </c>
      <c r="CU33" s="59">
        <f t="shared" si="27"/>
        <v>0</v>
      </c>
      <c r="CV33" s="59">
        <f t="shared" si="27"/>
        <v>0</v>
      </c>
      <c r="CW33" s="59">
        <f t="shared" ref="CW33:DU33" si="28">IF(CW$31=0,0,CW$31*CW45/CW43)</f>
        <v>0</v>
      </c>
      <c r="CX33" s="59">
        <f t="shared" si="28"/>
        <v>0</v>
      </c>
      <c r="CY33" s="59">
        <f t="shared" si="28"/>
        <v>0</v>
      </c>
      <c r="CZ33" s="59">
        <f t="shared" si="28"/>
        <v>0</v>
      </c>
      <c r="DA33" s="59">
        <f t="shared" si="28"/>
        <v>0</v>
      </c>
      <c r="DB33" s="59">
        <f t="shared" si="28"/>
        <v>0</v>
      </c>
      <c r="DC33" s="59">
        <f t="shared" si="28"/>
        <v>0</v>
      </c>
      <c r="DD33" s="59">
        <f t="shared" si="28"/>
        <v>0</v>
      </c>
      <c r="DE33" s="59">
        <f t="shared" si="28"/>
        <v>0</v>
      </c>
      <c r="DF33" s="59">
        <f t="shared" si="28"/>
        <v>0</v>
      </c>
      <c r="DG33" s="59">
        <f t="shared" si="28"/>
        <v>0</v>
      </c>
      <c r="DH33" s="59">
        <f t="shared" si="28"/>
        <v>0</v>
      </c>
      <c r="DI33" s="59">
        <f t="shared" si="28"/>
        <v>0</v>
      </c>
      <c r="DJ33" s="59">
        <f t="shared" si="28"/>
        <v>0</v>
      </c>
      <c r="DK33" s="59">
        <f t="shared" si="28"/>
        <v>0</v>
      </c>
      <c r="DL33" s="59">
        <f t="shared" si="28"/>
        <v>0</v>
      </c>
      <c r="DM33" s="59">
        <f t="shared" si="28"/>
        <v>0</v>
      </c>
      <c r="DN33" s="59">
        <f t="shared" si="28"/>
        <v>0</v>
      </c>
      <c r="DO33" s="59">
        <f t="shared" si="28"/>
        <v>0</v>
      </c>
      <c r="DP33" s="59">
        <f t="shared" si="28"/>
        <v>0</v>
      </c>
      <c r="DQ33" s="59">
        <f t="shared" si="28"/>
        <v>0</v>
      </c>
      <c r="DR33" s="59">
        <f t="shared" si="28"/>
        <v>0</v>
      </c>
      <c r="DS33" s="59">
        <f t="shared" si="28"/>
        <v>0</v>
      </c>
      <c r="DT33" s="59">
        <f t="shared" si="28"/>
        <v>0</v>
      </c>
      <c r="DU33" s="60">
        <f t="shared" si="28"/>
        <v>0</v>
      </c>
    </row>
    <row r="34" spans="2:125" s="4" customFormat="1" x14ac:dyDescent="0.4">
      <c r="B34" s="74" t="s">
        <v>114</v>
      </c>
      <c r="C34" s="173"/>
      <c r="D34" s="91"/>
      <c r="E34" s="90">
        <f>E29+E31</f>
        <v>249016.66666666669</v>
      </c>
      <c r="F34" s="90">
        <f t="shared" ref="F34:BQ34" si="29">F29+F31</f>
        <v>248538.36111111109</v>
      </c>
      <c r="G34" s="90">
        <f t="shared" si="29"/>
        <v>248088.64867407409</v>
      </c>
      <c r="H34" s="90">
        <f t="shared" si="29"/>
        <v>247667.51779110325</v>
      </c>
      <c r="I34" s="90">
        <f t="shared" si="29"/>
        <v>247274.96024885128</v>
      </c>
      <c r="J34" s="90">
        <f t="shared" si="29"/>
        <v>246910.97118896269</v>
      </c>
      <c r="K34" s="90">
        <f t="shared" si="29"/>
        <v>246575.54911236305</v>
      </c>
      <c r="L34" s="90">
        <f t="shared" si="29"/>
        <v>246268.69588394847</v>
      </c>
      <c r="M34" s="90">
        <f t="shared" si="29"/>
        <v>245990.4167376798</v>
      </c>
      <c r="N34" s="90">
        <f t="shared" si="29"/>
        <v>245740.72028208026</v>
      </c>
      <c r="O34" s="90">
        <f t="shared" si="29"/>
        <v>245519.61850613929</v>
      </c>
      <c r="P34" s="90">
        <f t="shared" si="29"/>
        <v>245327.1267856225</v>
      </c>
      <c r="Q34" s="90">
        <f t="shared" si="29"/>
        <v>245163.26388979092</v>
      </c>
      <c r="R34" s="90">
        <f t="shared" si="29"/>
        <v>245028.05198852869</v>
      </c>
      <c r="S34" s="90">
        <f t="shared" si="29"/>
        <v>244921.51665988291</v>
      </c>
      <c r="T34" s="90">
        <f t="shared" si="29"/>
        <v>244843.68689801486</v>
      </c>
      <c r="U34" s="90">
        <f t="shared" si="29"/>
        <v>244794.59512156629</v>
      </c>
      <c r="V34" s="90">
        <f t="shared" si="29"/>
        <v>244774.27718244083</v>
      </c>
      <c r="W34" s="90">
        <f t="shared" si="29"/>
        <v>244782.7723750025</v>
      </c>
      <c r="X34" s="90">
        <f t="shared" si="29"/>
        <v>244820.12344569393</v>
      </c>
      <c r="Y34" s="90">
        <f t="shared" si="29"/>
        <v>244886.37660307423</v>
      </c>
      <c r="Z34" s="90">
        <f t="shared" si="29"/>
        <v>244981.58152828051</v>
      </c>
      <c r="AA34" s="90">
        <f t="shared" si="29"/>
        <v>245105.7913859126</v>
      </c>
      <c r="AB34" s="90">
        <f t="shared" si="29"/>
        <v>245259.0628353451</v>
      </c>
      <c r="AC34" s="90">
        <f t="shared" si="29"/>
        <v>245441.45604246669</v>
      </c>
      <c r="AD34" s="90">
        <f t="shared" si="29"/>
        <v>245653.03469185019</v>
      </c>
      <c r="AE34" s="90">
        <f t="shared" si="29"/>
        <v>245893.86599935469</v>
      </c>
      <c r="AF34" s="90">
        <f t="shared" si="29"/>
        <v>246164.02072516218</v>
      </c>
      <c r="AG34" s="90">
        <f t="shared" si="29"/>
        <v>246463.57318725035</v>
      </c>
      <c r="AH34" s="90">
        <f t="shared" si="29"/>
        <v>246792.60127530457</v>
      </c>
      <c r="AI34" s="90">
        <f t="shared" si="29"/>
        <v>247049.81590879621</v>
      </c>
      <c r="AJ34" s="90">
        <f t="shared" si="29"/>
        <v>244554.61276811737</v>
      </c>
      <c r="AK34" s="90">
        <f t="shared" si="29"/>
        <v>242084.6111791594</v>
      </c>
      <c r="AL34" s="90">
        <f t="shared" si="29"/>
        <v>239639.55660624988</v>
      </c>
      <c r="AM34" s="90">
        <f t="shared" si="29"/>
        <v>237219.19708452676</v>
      </c>
      <c r="AN34" s="90">
        <f t="shared" si="29"/>
        <v>234823.28319397307</v>
      </c>
      <c r="AO34" s="90">
        <f t="shared" si="29"/>
        <v>232451.56803371393</v>
      </c>
      <c r="AP34" s="90">
        <f t="shared" si="29"/>
        <v>230103.80719657341</v>
      </c>
      <c r="AQ34" s="90">
        <f t="shared" si="29"/>
        <v>227779.75874388803</v>
      </c>
      <c r="AR34" s="90">
        <f t="shared" si="29"/>
        <v>225479.18318057476</v>
      </c>
      <c r="AS34" s="90">
        <f t="shared" si="29"/>
        <v>223201.84343045097</v>
      </c>
      <c r="AT34" s="90">
        <f t="shared" si="29"/>
        <v>220947.5048118034</v>
      </c>
      <c r="AU34" s="90">
        <f t="shared" si="29"/>
        <v>218715.9350132042</v>
      </c>
      <c r="AV34" s="90">
        <f t="shared" si="29"/>
        <v>216506.90406957085</v>
      </c>
      <c r="AW34" s="90">
        <f t="shared" si="29"/>
        <v>214320.18433846819</v>
      </c>
      <c r="AX34" s="90">
        <f t="shared" si="29"/>
        <v>212155.55047664963</v>
      </c>
      <c r="AY34" s="90">
        <f t="shared" si="29"/>
        <v>210012.77941683549</v>
      </c>
      <c r="AZ34" s="90">
        <f t="shared" si="29"/>
        <v>207891.65034472544</v>
      </c>
      <c r="BA34" s="90">
        <f t="shared" si="29"/>
        <v>205791.9446762437</v>
      </c>
      <c r="BB34" s="90">
        <f t="shared" si="29"/>
        <v>203713.44603501365</v>
      </c>
      <c r="BC34" s="90">
        <f t="shared" si="29"/>
        <v>201655.94023006002</v>
      </c>
      <c r="BD34" s="90">
        <f t="shared" si="29"/>
        <v>199619.21523373641</v>
      </c>
      <c r="BE34" s="90">
        <f t="shared" si="29"/>
        <v>197603.06115987568</v>
      </c>
      <c r="BF34" s="90">
        <f t="shared" si="29"/>
        <v>195607.27024216094</v>
      </c>
      <c r="BG34" s="90">
        <f t="shared" si="29"/>
        <v>193631.63681271512</v>
      </c>
      <c r="BH34" s="90">
        <f t="shared" si="29"/>
        <v>191675.9572809067</v>
      </c>
      <c r="BI34" s="90">
        <f t="shared" si="29"/>
        <v>189740.03011236957</v>
      </c>
      <c r="BJ34" s="90">
        <f t="shared" si="29"/>
        <v>187823.65580823465</v>
      </c>
      <c r="BK34" s="90">
        <f t="shared" si="29"/>
        <v>185926.63688457146</v>
      </c>
      <c r="BL34" s="90">
        <f t="shared" si="29"/>
        <v>184048.77785203728</v>
      </c>
      <c r="BM34" s="90">
        <f t="shared" si="29"/>
        <v>182189.88519573174</v>
      </c>
      <c r="BN34" s="90">
        <f t="shared" si="29"/>
        <v>180349.76735525485</v>
      </c>
      <c r="BO34" s="90">
        <f t="shared" si="29"/>
        <v>178528.23470496677</v>
      </c>
      <c r="BP34" s="90">
        <f t="shared" si="29"/>
        <v>176725.09953444658</v>
      </c>
      <c r="BQ34" s="90">
        <f t="shared" si="29"/>
        <v>174940.17602914869</v>
      </c>
      <c r="BR34" s="90">
        <f t="shared" ref="BR34:DU34" si="30">BR29+BR31</f>
        <v>173173.28025125427</v>
      </c>
      <c r="BS34" s="90">
        <f t="shared" si="30"/>
        <v>171424.23012071659</v>
      </c>
      <c r="BT34" s="90">
        <f t="shared" si="30"/>
        <v>169692.84539649735</v>
      </c>
      <c r="BU34" s="90">
        <f t="shared" si="30"/>
        <v>167978.94765799271</v>
      </c>
      <c r="BV34" s="90">
        <f t="shared" si="30"/>
        <v>166282.36028664699</v>
      </c>
      <c r="BW34" s="90">
        <f t="shared" si="30"/>
        <v>164602.90844775186</v>
      </c>
      <c r="BX34" s="90">
        <f t="shared" si="30"/>
        <v>162940.41907242956</v>
      </c>
      <c r="BY34" s="90">
        <f t="shared" si="30"/>
        <v>161294.72083979801</v>
      </c>
      <c r="BZ34" s="90">
        <f t="shared" si="30"/>
        <v>159665.64415931609</v>
      </c>
      <c r="CA34" s="90">
        <f t="shared" si="30"/>
        <v>158053.02115330697</v>
      </c>
      <c r="CB34" s="90">
        <f t="shared" si="30"/>
        <v>156456.68563965856</v>
      </c>
      <c r="CC34" s="90">
        <f t="shared" si="30"/>
        <v>154876.47311469802</v>
      </c>
      <c r="CD34" s="90">
        <f t="shared" si="30"/>
        <v>153312.22073623954</v>
      </c>
      <c r="CE34" s="90">
        <f t="shared" si="30"/>
        <v>151763.76730680352</v>
      </c>
      <c r="CF34" s="90">
        <f t="shared" si="30"/>
        <v>150230.95325700482</v>
      </c>
      <c r="CG34" s="90">
        <f t="shared" si="30"/>
        <v>148713.62062910909</v>
      </c>
      <c r="CH34" s="90">
        <f t="shared" si="30"/>
        <v>147211.61306075507</v>
      </c>
      <c r="CI34" s="90">
        <f t="shared" si="30"/>
        <v>145724.77576884144</v>
      </c>
      <c r="CJ34" s="90">
        <f t="shared" si="30"/>
        <v>144252.95553357614</v>
      </c>
      <c r="CK34" s="90">
        <f t="shared" si="30"/>
        <v>142796.00068268704</v>
      </c>
      <c r="CL34" s="90">
        <f t="shared" si="30"/>
        <v>141353.7610757919</v>
      </c>
      <c r="CM34" s="90">
        <f t="shared" si="30"/>
        <v>139926.08808892639</v>
      </c>
      <c r="CN34" s="90">
        <f t="shared" si="30"/>
        <v>138512.83459922826</v>
      </c>
      <c r="CO34" s="90">
        <f t="shared" si="30"/>
        <v>137113.85496977603</v>
      </c>
      <c r="CP34" s="90">
        <f t="shared" si="30"/>
        <v>135729.00503458129</v>
      </c>
      <c r="CQ34" s="90">
        <f t="shared" si="30"/>
        <v>134358.14208373203</v>
      </c>
      <c r="CR34" s="90">
        <f t="shared" si="30"/>
        <v>133001.12484868633</v>
      </c>
      <c r="CS34" s="90">
        <f t="shared" si="30"/>
        <v>131657.81348771462</v>
      </c>
      <c r="CT34" s="90">
        <f t="shared" si="30"/>
        <v>130328.0695714887</v>
      </c>
      <c r="CU34" s="90">
        <f t="shared" si="30"/>
        <v>129011.75606881667</v>
      </c>
      <c r="CV34" s="90">
        <f t="shared" si="30"/>
        <v>127708.73733252162</v>
      </c>
      <c r="CW34" s="90">
        <f t="shared" si="30"/>
        <v>126418.87908546314</v>
      </c>
      <c r="CX34" s="90">
        <f t="shared" si="30"/>
        <v>125142.04840669996</v>
      </c>
      <c r="CY34" s="90">
        <f t="shared" si="30"/>
        <v>123878.11371779229</v>
      </c>
      <c r="CZ34" s="90">
        <f t="shared" si="30"/>
        <v>122626.94476924259</v>
      </c>
      <c r="DA34" s="90">
        <f t="shared" si="30"/>
        <v>121388.41262707324</v>
      </c>
      <c r="DB34" s="90">
        <f t="shared" si="30"/>
        <v>120162.3896595398</v>
      </c>
      <c r="DC34" s="90">
        <f t="shared" si="30"/>
        <v>118948.74952397845</v>
      </c>
      <c r="DD34" s="90">
        <f t="shared" si="30"/>
        <v>117747.36715378627</v>
      </c>
      <c r="DE34" s="90">
        <f t="shared" si="30"/>
        <v>116558.11874553304</v>
      </c>
      <c r="DF34" s="90">
        <f t="shared" si="30"/>
        <v>115380.88174620316</v>
      </c>
      <c r="DG34" s="90">
        <f t="shared" si="30"/>
        <v>114215.5348405665</v>
      </c>
      <c r="DH34" s="90">
        <f t="shared" si="30"/>
        <v>113061.95793867677</v>
      </c>
      <c r="DI34" s="90">
        <f t="shared" si="30"/>
        <v>111920.03216349614</v>
      </c>
      <c r="DJ34" s="90">
        <f t="shared" si="30"/>
        <v>110789.63983864483</v>
      </c>
      <c r="DK34" s="90">
        <f t="shared" si="30"/>
        <v>109670.66447627451</v>
      </c>
      <c r="DL34" s="90">
        <f t="shared" si="30"/>
        <v>108562.99076506414</v>
      </c>
      <c r="DM34" s="90">
        <f t="shared" si="30"/>
        <v>107466.50455833701</v>
      </c>
      <c r="DN34" s="90">
        <f t="shared" si="30"/>
        <v>106381.0928622978</v>
      </c>
      <c r="DO34" s="90">
        <f t="shared" si="30"/>
        <v>105306.64382438859</v>
      </c>
      <c r="DP34" s="90">
        <f t="shared" si="30"/>
        <v>104243.04672176226</v>
      </c>
      <c r="DQ34" s="90">
        <f t="shared" si="30"/>
        <v>103190.19194987246</v>
      </c>
      <c r="DR34" s="90">
        <f t="shared" si="30"/>
        <v>102147.97101117876</v>
      </c>
      <c r="DS34" s="90">
        <f t="shared" si="30"/>
        <v>101116.27650396586</v>
      </c>
      <c r="DT34" s="90">
        <f t="shared" si="30"/>
        <v>100095.0021112758</v>
      </c>
      <c r="DU34" s="88">
        <f t="shared" si="30"/>
        <v>600570.01266765466</v>
      </c>
    </row>
    <row r="35" spans="2:125" x14ac:dyDescent="0.4">
      <c r="B35" s="74" t="s">
        <v>115</v>
      </c>
      <c r="C35" s="55"/>
      <c r="D35" s="62"/>
      <c r="E35" s="90">
        <f t="shared" ref="E35:AJ35" si="31">-MIN(E34,-E46)</f>
        <v>-249016.66666666666</v>
      </c>
      <c r="F35" s="90">
        <f t="shared" si="31"/>
        <v>-248538.36111111109</v>
      </c>
      <c r="G35" s="90">
        <f t="shared" si="31"/>
        <v>-248088.64867407407</v>
      </c>
      <c r="H35" s="90">
        <f t="shared" si="31"/>
        <v>-247667.51779110325</v>
      </c>
      <c r="I35" s="90">
        <f t="shared" si="31"/>
        <v>-247274.96024885125</v>
      </c>
      <c r="J35" s="90">
        <f t="shared" si="31"/>
        <v>-246910.97118896269</v>
      </c>
      <c r="K35" s="90">
        <f t="shared" si="31"/>
        <v>-246575.54911236305</v>
      </c>
      <c r="L35" s="90">
        <f t="shared" si="31"/>
        <v>-246268.69588394847</v>
      </c>
      <c r="M35" s="90">
        <f t="shared" si="31"/>
        <v>-245990.4167376798</v>
      </c>
      <c r="N35" s="90">
        <f t="shared" si="31"/>
        <v>-245740.72028208026</v>
      </c>
      <c r="O35" s="90">
        <f t="shared" si="31"/>
        <v>-245519.61850613926</v>
      </c>
      <c r="P35" s="90">
        <f t="shared" si="31"/>
        <v>-245327.1267856225</v>
      </c>
      <c r="Q35" s="90">
        <f t="shared" si="31"/>
        <v>-245163.26388979089</v>
      </c>
      <c r="R35" s="90">
        <f t="shared" si="31"/>
        <v>-245028.05198852869</v>
      </c>
      <c r="S35" s="90">
        <f t="shared" si="31"/>
        <v>-244921.51665988291</v>
      </c>
      <c r="T35" s="90">
        <f t="shared" si="31"/>
        <v>-244843.68689801486</v>
      </c>
      <c r="U35" s="90">
        <f t="shared" si="31"/>
        <v>-244794.59512156629</v>
      </c>
      <c r="V35" s="90">
        <f t="shared" si="31"/>
        <v>-244774.27718244083</v>
      </c>
      <c r="W35" s="90">
        <f t="shared" si="31"/>
        <v>-244782.7723750025</v>
      </c>
      <c r="X35" s="90">
        <f t="shared" si="31"/>
        <v>-244820.1234456939</v>
      </c>
      <c r="Y35" s="90">
        <f t="shared" si="31"/>
        <v>-244886.37660307423</v>
      </c>
      <c r="Z35" s="90">
        <f t="shared" si="31"/>
        <v>-244981.58152828051</v>
      </c>
      <c r="AA35" s="90">
        <f t="shared" si="31"/>
        <v>-245105.7913859126</v>
      </c>
      <c r="AB35" s="90">
        <f t="shared" si="31"/>
        <v>-245259.0628353451</v>
      </c>
      <c r="AC35" s="90">
        <f t="shared" si="31"/>
        <v>-245441.45604246666</v>
      </c>
      <c r="AD35" s="90">
        <f t="shared" si="31"/>
        <v>-245653.03469185016</v>
      </c>
      <c r="AE35" s="90">
        <f t="shared" si="31"/>
        <v>-245893.86599935469</v>
      </c>
      <c r="AF35" s="90">
        <f t="shared" si="31"/>
        <v>-246164.02072516218</v>
      </c>
      <c r="AG35" s="90">
        <f t="shared" si="31"/>
        <v>-246463.57318725032</v>
      </c>
      <c r="AH35" s="90">
        <f t="shared" si="31"/>
        <v>-238103.69645178094</v>
      </c>
      <c r="AI35" s="90">
        <f t="shared" si="31"/>
        <v>0</v>
      </c>
      <c r="AJ35" s="90">
        <f t="shared" si="31"/>
        <v>0</v>
      </c>
      <c r="AK35" s="90">
        <f t="shared" ref="AK35:BP35" si="32">-MIN(AK34,-AK46)</f>
        <v>0</v>
      </c>
      <c r="AL35" s="90">
        <f t="shared" si="32"/>
        <v>0</v>
      </c>
      <c r="AM35" s="90">
        <f t="shared" si="32"/>
        <v>0</v>
      </c>
      <c r="AN35" s="90">
        <f t="shared" si="32"/>
        <v>0</v>
      </c>
      <c r="AO35" s="90">
        <f t="shared" si="32"/>
        <v>0</v>
      </c>
      <c r="AP35" s="90">
        <f t="shared" si="32"/>
        <v>0</v>
      </c>
      <c r="AQ35" s="90">
        <f t="shared" si="32"/>
        <v>0</v>
      </c>
      <c r="AR35" s="90">
        <f t="shared" si="32"/>
        <v>0</v>
      </c>
      <c r="AS35" s="90">
        <f t="shared" si="32"/>
        <v>0</v>
      </c>
      <c r="AT35" s="90">
        <f t="shared" si="32"/>
        <v>0</v>
      </c>
      <c r="AU35" s="90">
        <f t="shared" si="32"/>
        <v>0</v>
      </c>
      <c r="AV35" s="90">
        <f t="shared" si="32"/>
        <v>0</v>
      </c>
      <c r="AW35" s="90">
        <f t="shared" si="32"/>
        <v>0</v>
      </c>
      <c r="AX35" s="90">
        <f t="shared" si="32"/>
        <v>0</v>
      </c>
      <c r="AY35" s="90">
        <f t="shared" si="32"/>
        <v>0</v>
      </c>
      <c r="AZ35" s="90">
        <f t="shared" si="32"/>
        <v>0</v>
      </c>
      <c r="BA35" s="90">
        <f t="shared" si="32"/>
        <v>0</v>
      </c>
      <c r="BB35" s="90">
        <f t="shared" si="32"/>
        <v>0</v>
      </c>
      <c r="BC35" s="90">
        <f t="shared" si="32"/>
        <v>0</v>
      </c>
      <c r="BD35" s="90">
        <f t="shared" si="32"/>
        <v>0</v>
      </c>
      <c r="BE35" s="90">
        <f t="shared" si="32"/>
        <v>0</v>
      </c>
      <c r="BF35" s="90">
        <f t="shared" si="32"/>
        <v>0</v>
      </c>
      <c r="BG35" s="90">
        <f t="shared" si="32"/>
        <v>0</v>
      </c>
      <c r="BH35" s="90">
        <f t="shared" si="32"/>
        <v>0</v>
      </c>
      <c r="BI35" s="90">
        <f t="shared" si="32"/>
        <v>0</v>
      </c>
      <c r="BJ35" s="90">
        <f t="shared" si="32"/>
        <v>0</v>
      </c>
      <c r="BK35" s="90">
        <f t="shared" si="32"/>
        <v>0</v>
      </c>
      <c r="BL35" s="90">
        <f t="shared" si="32"/>
        <v>0</v>
      </c>
      <c r="BM35" s="90">
        <f t="shared" si="32"/>
        <v>0</v>
      </c>
      <c r="BN35" s="90">
        <f t="shared" si="32"/>
        <v>0</v>
      </c>
      <c r="BO35" s="90">
        <f t="shared" si="32"/>
        <v>0</v>
      </c>
      <c r="BP35" s="90">
        <f t="shared" si="32"/>
        <v>0</v>
      </c>
      <c r="BQ35" s="90">
        <f t="shared" ref="BQ35:CV35" si="33">-MIN(BQ34,-BQ46)</f>
        <v>0</v>
      </c>
      <c r="BR35" s="90">
        <f t="shared" si="33"/>
        <v>0</v>
      </c>
      <c r="BS35" s="90">
        <f t="shared" si="33"/>
        <v>0</v>
      </c>
      <c r="BT35" s="90">
        <f t="shared" si="33"/>
        <v>0</v>
      </c>
      <c r="BU35" s="90">
        <f t="shared" si="33"/>
        <v>0</v>
      </c>
      <c r="BV35" s="90">
        <f t="shared" si="33"/>
        <v>0</v>
      </c>
      <c r="BW35" s="90">
        <f t="shared" si="33"/>
        <v>0</v>
      </c>
      <c r="BX35" s="90">
        <f t="shared" si="33"/>
        <v>0</v>
      </c>
      <c r="BY35" s="90">
        <f t="shared" si="33"/>
        <v>0</v>
      </c>
      <c r="BZ35" s="90">
        <f t="shared" si="33"/>
        <v>0</v>
      </c>
      <c r="CA35" s="90">
        <f t="shared" si="33"/>
        <v>0</v>
      </c>
      <c r="CB35" s="90">
        <f t="shared" si="33"/>
        <v>0</v>
      </c>
      <c r="CC35" s="90">
        <f t="shared" si="33"/>
        <v>0</v>
      </c>
      <c r="CD35" s="90">
        <f t="shared" si="33"/>
        <v>0</v>
      </c>
      <c r="CE35" s="90">
        <f t="shared" si="33"/>
        <v>0</v>
      </c>
      <c r="CF35" s="90">
        <f t="shared" si="33"/>
        <v>0</v>
      </c>
      <c r="CG35" s="90">
        <f t="shared" si="33"/>
        <v>0</v>
      </c>
      <c r="CH35" s="90">
        <f t="shared" si="33"/>
        <v>0</v>
      </c>
      <c r="CI35" s="90">
        <f t="shared" si="33"/>
        <v>0</v>
      </c>
      <c r="CJ35" s="90">
        <f t="shared" si="33"/>
        <v>0</v>
      </c>
      <c r="CK35" s="90">
        <f t="shared" si="33"/>
        <v>0</v>
      </c>
      <c r="CL35" s="90">
        <f t="shared" si="33"/>
        <v>0</v>
      </c>
      <c r="CM35" s="90">
        <f t="shared" si="33"/>
        <v>0</v>
      </c>
      <c r="CN35" s="90">
        <f t="shared" si="33"/>
        <v>0</v>
      </c>
      <c r="CO35" s="90">
        <f t="shared" si="33"/>
        <v>0</v>
      </c>
      <c r="CP35" s="90">
        <f t="shared" si="33"/>
        <v>0</v>
      </c>
      <c r="CQ35" s="90">
        <f t="shared" si="33"/>
        <v>0</v>
      </c>
      <c r="CR35" s="90">
        <f t="shared" si="33"/>
        <v>0</v>
      </c>
      <c r="CS35" s="90">
        <f t="shared" si="33"/>
        <v>0</v>
      </c>
      <c r="CT35" s="90">
        <f t="shared" si="33"/>
        <v>0</v>
      </c>
      <c r="CU35" s="90">
        <f t="shared" si="33"/>
        <v>0</v>
      </c>
      <c r="CV35" s="90">
        <f t="shared" si="33"/>
        <v>0</v>
      </c>
      <c r="CW35" s="90">
        <f t="shared" ref="CW35:DU35" si="34">-MIN(CW34,-CW46)</f>
        <v>0</v>
      </c>
      <c r="CX35" s="90">
        <f t="shared" si="34"/>
        <v>0</v>
      </c>
      <c r="CY35" s="90">
        <f t="shared" si="34"/>
        <v>0</v>
      </c>
      <c r="CZ35" s="90">
        <f t="shared" si="34"/>
        <v>0</v>
      </c>
      <c r="DA35" s="90">
        <f t="shared" si="34"/>
        <v>0</v>
      </c>
      <c r="DB35" s="90">
        <f t="shared" si="34"/>
        <v>0</v>
      </c>
      <c r="DC35" s="90">
        <f t="shared" si="34"/>
        <v>0</v>
      </c>
      <c r="DD35" s="90">
        <f t="shared" si="34"/>
        <v>0</v>
      </c>
      <c r="DE35" s="90">
        <f t="shared" si="34"/>
        <v>0</v>
      </c>
      <c r="DF35" s="90">
        <f t="shared" si="34"/>
        <v>0</v>
      </c>
      <c r="DG35" s="90">
        <f t="shared" si="34"/>
        <v>0</v>
      </c>
      <c r="DH35" s="90">
        <f t="shared" si="34"/>
        <v>0</v>
      </c>
      <c r="DI35" s="90">
        <f t="shared" si="34"/>
        <v>0</v>
      </c>
      <c r="DJ35" s="90">
        <f t="shared" si="34"/>
        <v>0</v>
      </c>
      <c r="DK35" s="90">
        <f t="shared" si="34"/>
        <v>0</v>
      </c>
      <c r="DL35" s="90">
        <f t="shared" si="34"/>
        <v>0</v>
      </c>
      <c r="DM35" s="90">
        <f t="shared" si="34"/>
        <v>0</v>
      </c>
      <c r="DN35" s="90">
        <f t="shared" si="34"/>
        <v>0</v>
      </c>
      <c r="DO35" s="90">
        <f t="shared" si="34"/>
        <v>0</v>
      </c>
      <c r="DP35" s="90">
        <f t="shared" si="34"/>
        <v>0</v>
      </c>
      <c r="DQ35" s="90">
        <f t="shared" si="34"/>
        <v>0</v>
      </c>
      <c r="DR35" s="90">
        <f t="shared" si="34"/>
        <v>0</v>
      </c>
      <c r="DS35" s="90">
        <f t="shared" si="34"/>
        <v>0</v>
      </c>
      <c r="DT35" s="90">
        <f t="shared" si="34"/>
        <v>0</v>
      </c>
      <c r="DU35" s="88">
        <f t="shared" si="34"/>
        <v>0</v>
      </c>
    </row>
    <row r="36" spans="2:125" x14ac:dyDescent="0.4">
      <c r="B36" s="39" t="s">
        <v>116</v>
      </c>
      <c r="C36" s="55"/>
      <c r="D36" s="62"/>
      <c r="E36" s="59">
        <f t="shared" ref="E36:AJ36" si="35">IF(E46=0,0,E$35*E47/E$46)</f>
        <v>-223000</v>
      </c>
      <c r="F36" s="59">
        <f t="shared" si="35"/>
        <v>-222571.66666666666</v>
      </c>
      <c r="G36" s="59">
        <f t="shared" si="35"/>
        <v>-222168.9391111111</v>
      </c>
      <c r="H36" s="59">
        <f t="shared" si="35"/>
        <v>-221791.80697710739</v>
      </c>
      <c r="I36" s="59">
        <f t="shared" si="35"/>
        <v>-221440.26290941902</v>
      </c>
      <c r="J36" s="59">
        <f t="shared" si="35"/>
        <v>-221114.30255728003</v>
      </c>
      <c r="K36" s="59">
        <f t="shared" si="35"/>
        <v>-220813.92457823557</v>
      </c>
      <c r="L36" s="59">
        <f t="shared" si="35"/>
        <v>-220539.13064234192</v>
      </c>
      <c r="M36" s="59">
        <f t="shared" si="35"/>
        <v>-220289.9254367282</v>
      </c>
      <c r="N36" s="59">
        <f t="shared" si="35"/>
        <v>-220066.31667051965</v>
      </c>
      <c r="O36" s="59">
        <f t="shared" si="35"/>
        <v>-219868.31508012471</v>
      </c>
      <c r="P36" s="59">
        <f t="shared" si="35"/>
        <v>-219695.93443488583</v>
      </c>
      <c r="Q36" s="59">
        <f t="shared" si="35"/>
        <v>-219549.19154309633</v>
      </c>
      <c r="R36" s="59">
        <f t="shared" si="35"/>
        <v>-219428.10625838392</v>
      </c>
      <c r="S36" s="59">
        <f t="shared" si="35"/>
        <v>-219332.70148646232</v>
      </c>
      <c r="T36" s="59">
        <f t="shared" si="35"/>
        <v>-219263.00319225213</v>
      </c>
      <c r="U36" s="59">
        <f t="shared" si="35"/>
        <v>-219219.04040737278</v>
      </c>
      <c r="V36" s="59">
        <f t="shared" si="35"/>
        <v>-219200.8452380067</v>
      </c>
      <c r="W36" s="59">
        <f t="shared" si="35"/>
        <v>-219208.45287313656</v>
      </c>
      <c r="X36" s="59">
        <f t="shared" si="35"/>
        <v>-219241.90159315872</v>
      </c>
      <c r="Y36" s="59">
        <f t="shared" si="35"/>
        <v>-219301.23277887245</v>
      </c>
      <c r="Z36" s="59">
        <f t="shared" si="35"/>
        <v>-219386.49092084821</v>
      </c>
      <c r="AA36" s="59">
        <f t="shared" si="35"/>
        <v>-219497.72362917545</v>
      </c>
      <c r="AB36" s="59">
        <f t="shared" si="35"/>
        <v>-219634.98164359262</v>
      </c>
      <c r="AC36" s="59">
        <f t="shared" si="35"/>
        <v>-219798.31884399999</v>
      </c>
      <c r="AD36" s="59">
        <f t="shared" si="35"/>
        <v>-219987.79226135835</v>
      </c>
      <c r="AE36" s="59">
        <f t="shared" si="35"/>
        <v>-220203.46208897437</v>
      </c>
      <c r="AF36" s="59">
        <f t="shared" si="35"/>
        <v>-220445.39169417508</v>
      </c>
      <c r="AG36" s="59">
        <f t="shared" si="35"/>
        <v>-220713.64763037345</v>
      </c>
      <c r="AH36" s="59">
        <f t="shared" si="35"/>
        <v>-213227.19085234107</v>
      </c>
      <c r="AI36" s="59">
        <f t="shared" si="35"/>
        <v>0</v>
      </c>
      <c r="AJ36" s="59">
        <f t="shared" si="35"/>
        <v>0</v>
      </c>
      <c r="AK36" s="59">
        <f t="shared" ref="AK36:BP36" si="36">IF(AK46=0,0,AK$35*AK47/AK$46)</f>
        <v>0</v>
      </c>
      <c r="AL36" s="59">
        <f t="shared" si="36"/>
        <v>0</v>
      </c>
      <c r="AM36" s="59">
        <f t="shared" si="36"/>
        <v>0</v>
      </c>
      <c r="AN36" s="59">
        <f t="shared" si="36"/>
        <v>0</v>
      </c>
      <c r="AO36" s="59">
        <f t="shared" si="36"/>
        <v>0</v>
      </c>
      <c r="AP36" s="59">
        <f t="shared" si="36"/>
        <v>0</v>
      </c>
      <c r="AQ36" s="59">
        <f t="shared" si="36"/>
        <v>0</v>
      </c>
      <c r="AR36" s="59">
        <f t="shared" si="36"/>
        <v>0</v>
      </c>
      <c r="AS36" s="59">
        <f t="shared" si="36"/>
        <v>0</v>
      </c>
      <c r="AT36" s="59">
        <f t="shared" si="36"/>
        <v>0</v>
      </c>
      <c r="AU36" s="59">
        <f t="shared" si="36"/>
        <v>0</v>
      </c>
      <c r="AV36" s="59">
        <f t="shared" si="36"/>
        <v>0</v>
      </c>
      <c r="AW36" s="59">
        <f t="shared" si="36"/>
        <v>0</v>
      </c>
      <c r="AX36" s="59">
        <f t="shared" si="36"/>
        <v>0</v>
      </c>
      <c r="AY36" s="59">
        <f t="shared" si="36"/>
        <v>0</v>
      </c>
      <c r="AZ36" s="59">
        <f t="shared" si="36"/>
        <v>0</v>
      </c>
      <c r="BA36" s="59">
        <f t="shared" si="36"/>
        <v>0</v>
      </c>
      <c r="BB36" s="59">
        <f t="shared" si="36"/>
        <v>0</v>
      </c>
      <c r="BC36" s="59">
        <f t="shared" si="36"/>
        <v>0</v>
      </c>
      <c r="BD36" s="59">
        <f t="shared" si="36"/>
        <v>0</v>
      </c>
      <c r="BE36" s="59">
        <f t="shared" si="36"/>
        <v>0</v>
      </c>
      <c r="BF36" s="59">
        <f t="shared" si="36"/>
        <v>0</v>
      </c>
      <c r="BG36" s="59">
        <f t="shared" si="36"/>
        <v>0</v>
      </c>
      <c r="BH36" s="59">
        <f t="shared" si="36"/>
        <v>0</v>
      </c>
      <c r="BI36" s="59">
        <f t="shared" si="36"/>
        <v>0</v>
      </c>
      <c r="BJ36" s="59">
        <f t="shared" si="36"/>
        <v>0</v>
      </c>
      <c r="BK36" s="59">
        <f t="shared" si="36"/>
        <v>0</v>
      </c>
      <c r="BL36" s="59">
        <f t="shared" si="36"/>
        <v>0</v>
      </c>
      <c r="BM36" s="59">
        <f t="shared" si="36"/>
        <v>0</v>
      </c>
      <c r="BN36" s="59">
        <f t="shared" si="36"/>
        <v>0</v>
      </c>
      <c r="BO36" s="59">
        <f t="shared" si="36"/>
        <v>0</v>
      </c>
      <c r="BP36" s="59">
        <f t="shared" si="36"/>
        <v>0</v>
      </c>
      <c r="BQ36" s="59">
        <f t="shared" ref="BQ36:CV36" si="37">IF(BQ46=0,0,BQ$35*BQ47/BQ$46)</f>
        <v>0</v>
      </c>
      <c r="BR36" s="59">
        <f t="shared" si="37"/>
        <v>0</v>
      </c>
      <c r="BS36" s="59">
        <f t="shared" si="37"/>
        <v>0</v>
      </c>
      <c r="BT36" s="59">
        <f t="shared" si="37"/>
        <v>0</v>
      </c>
      <c r="BU36" s="59">
        <f t="shared" si="37"/>
        <v>0</v>
      </c>
      <c r="BV36" s="59">
        <f t="shared" si="37"/>
        <v>0</v>
      </c>
      <c r="BW36" s="59">
        <f t="shared" si="37"/>
        <v>0</v>
      </c>
      <c r="BX36" s="59">
        <f t="shared" si="37"/>
        <v>0</v>
      </c>
      <c r="BY36" s="59">
        <f t="shared" si="37"/>
        <v>0</v>
      </c>
      <c r="BZ36" s="59">
        <f t="shared" si="37"/>
        <v>0</v>
      </c>
      <c r="CA36" s="59">
        <f t="shared" si="37"/>
        <v>0</v>
      </c>
      <c r="CB36" s="59">
        <f t="shared" si="37"/>
        <v>0</v>
      </c>
      <c r="CC36" s="59">
        <f t="shared" si="37"/>
        <v>0</v>
      </c>
      <c r="CD36" s="59">
        <f t="shared" si="37"/>
        <v>0</v>
      </c>
      <c r="CE36" s="59">
        <f t="shared" si="37"/>
        <v>0</v>
      </c>
      <c r="CF36" s="59">
        <f t="shared" si="37"/>
        <v>0</v>
      </c>
      <c r="CG36" s="59">
        <f t="shared" si="37"/>
        <v>0</v>
      </c>
      <c r="CH36" s="59">
        <f t="shared" si="37"/>
        <v>0</v>
      </c>
      <c r="CI36" s="59">
        <f t="shared" si="37"/>
        <v>0</v>
      </c>
      <c r="CJ36" s="59">
        <f t="shared" si="37"/>
        <v>0</v>
      </c>
      <c r="CK36" s="59">
        <f t="shared" si="37"/>
        <v>0</v>
      </c>
      <c r="CL36" s="59">
        <f t="shared" si="37"/>
        <v>0</v>
      </c>
      <c r="CM36" s="59">
        <f t="shared" si="37"/>
        <v>0</v>
      </c>
      <c r="CN36" s="59">
        <f t="shared" si="37"/>
        <v>0</v>
      </c>
      <c r="CO36" s="59">
        <f t="shared" si="37"/>
        <v>0</v>
      </c>
      <c r="CP36" s="59">
        <f t="shared" si="37"/>
        <v>0</v>
      </c>
      <c r="CQ36" s="59">
        <f t="shared" si="37"/>
        <v>0</v>
      </c>
      <c r="CR36" s="59">
        <f t="shared" si="37"/>
        <v>0</v>
      </c>
      <c r="CS36" s="59">
        <f t="shared" si="37"/>
        <v>0</v>
      </c>
      <c r="CT36" s="59">
        <f t="shared" si="37"/>
        <v>0</v>
      </c>
      <c r="CU36" s="59">
        <f t="shared" si="37"/>
        <v>0</v>
      </c>
      <c r="CV36" s="59">
        <f t="shared" si="37"/>
        <v>0</v>
      </c>
      <c r="CW36" s="59">
        <f t="shared" ref="CW36:DU36" si="38">IF(CW46=0,0,CW$35*CW47/CW$46)</f>
        <v>0</v>
      </c>
      <c r="CX36" s="59">
        <f t="shared" si="38"/>
        <v>0</v>
      </c>
      <c r="CY36" s="59">
        <f t="shared" si="38"/>
        <v>0</v>
      </c>
      <c r="CZ36" s="59">
        <f t="shared" si="38"/>
        <v>0</v>
      </c>
      <c r="DA36" s="59">
        <f t="shared" si="38"/>
        <v>0</v>
      </c>
      <c r="DB36" s="59">
        <f t="shared" si="38"/>
        <v>0</v>
      </c>
      <c r="DC36" s="59">
        <f t="shared" si="38"/>
        <v>0</v>
      </c>
      <c r="DD36" s="59">
        <f t="shared" si="38"/>
        <v>0</v>
      </c>
      <c r="DE36" s="59">
        <f t="shared" si="38"/>
        <v>0</v>
      </c>
      <c r="DF36" s="59">
        <f t="shared" si="38"/>
        <v>0</v>
      </c>
      <c r="DG36" s="59">
        <f t="shared" si="38"/>
        <v>0</v>
      </c>
      <c r="DH36" s="59">
        <f t="shared" si="38"/>
        <v>0</v>
      </c>
      <c r="DI36" s="59">
        <f t="shared" si="38"/>
        <v>0</v>
      </c>
      <c r="DJ36" s="59">
        <f t="shared" si="38"/>
        <v>0</v>
      </c>
      <c r="DK36" s="59">
        <f t="shared" si="38"/>
        <v>0</v>
      </c>
      <c r="DL36" s="59">
        <f t="shared" si="38"/>
        <v>0</v>
      </c>
      <c r="DM36" s="59">
        <f t="shared" si="38"/>
        <v>0</v>
      </c>
      <c r="DN36" s="59">
        <f t="shared" si="38"/>
        <v>0</v>
      </c>
      <c r="DO36" s="59">
        <f t="shared" si="38"/>
        <v>0</v>
      </c>
      <c r="DP36" s="59">
        <f t="shared" si="38"/>
        <v>0</v>
      </c>
      <c r="DQ36" s="59">
        <f t="shared" si="38"/>
        <v>0</v>
      </c>
      <c r="DR36" s="59">
        <f t="shared" si="38"/>
        <v>0</v>
      </c>
      <c r="DS36" s="59">
        <f t="shared" si="38"/>
        <v>0</v>
      </c>
      <c r="DT36" s="59">
        <f t="shared" si="38"/>
        <v>0</v>
      </c>
      <c r="DU36" s="60">
        <f t="shared" si="38"/>
        <v>0</v>
      </c>
    </row>
    <row r="37" spans="2:125" x14ac:dyDescent="0.4">
      <c r="B37" s="39" t="s">
        <v>117</v>
      </c>
      <c r="C37" s="55"/>
      <c r="D37" s="62"/>
      <c r="E37" s="59">
        <f t="shared" ref="E37:AJ37" si="39">IF(E47=0,0,E$35*E48/E$46)</f>
        <v>-26016.666666666664</v>
      </c>
      <c r="F37" s="59">
        <f t="shared" si="39"/>
        <v>-25966.694444444445</v>
      </c>
      <c r="G37" s="59">
        <f t="shared" si="39"/>
        <v>-25919.709562962962</v>
      </c>
      <c r="H37" s="59">
        <f t="shared" si="39"/>
        <v>-25875.710813995858</v>
      </c>
      <c r="I37" s="59">
        <f t="shared" si="39"/>
        <v>-25834.697339432216</v>
      </c>
      <c r="J37" s="59">
        <f t="shared" si="39"/>
        <v>-25796.668631682667</v>
      </c>
      <c r="K37" s="59">
        <f t="shared" si="39"/>
        <v>-25761.624534127477</v>
      </c>
      <c r="L37" s="59">
        <f t="shared" si="39"/>
        <v>-25729.56524160655</v>
      </c>
      <c r="M37" s="59">
        <f t="shared" si="39"/>
        <v>-25700.491300951613</v>
      </c>
      <c r="N37" s="59">
        <f t="shared" si="39"/>
        <v>-25674.403611560614</v>
      </c>
      <c r="O37" s="59">
        <f t="shared" si="39"/>
        <v>-25651.303426014543</v>
      </c>
      <c r="P37" s="59">
        <f t="shared" si="39"/>
        <v>-25631.19235073667</v>
      </c>
      <c r="Q37" s="59">
        <f t="shared" si="39"/>
        <v>-25614.07234669456</v>
      </c>
      <c r="R37" s="59">
        <f t="shared" si="39"/>
        <v>-25599.94573014478</v>
      </c>
      <c r="S37" s="59">
        <f t="shared" si="39"/>
        <v>-25588.815173420597</v>
      </c>
      <c r="T37" s="59">
        <f t="shared" si="39"/>
        <v>-25580.683705762742</v>
      </c>
      <c r="U37" s="59">
        <f t="shared" si="39"/>
        <v>-25575.554714193491</v>
      </c>
      <c r="V37" s="59">
        <f t="shared" si="39"/>
        <v>-25573.431944434113</v>
      </c>
      <c r="W37" s="59">
        <f t="shared" si="39"/>
        <v>-25574.319501865932</v>
      </c>
      <c r="X37" s="59">
        <f t="shared" si="39"/>
        <v>-25578.221852535185</v>
      </c>
      <c r="Y37" s="59">
        <f t="shared" si="39"/>
        <v>-25585.143824201783</v>
      </c>
      <c r="Z37" s="59">
        <f t="shared" si="39"/>
        <v>-25595.090607432288</v>
      </c>
      <c r="AA37" s="59">
        <f t="shared" si="39"/>
        <v>-25608.067756737131</v>
      </c>
      <c r="AB37" s="59">
        <f t="shared" si="39"/>
        <v>-25624.08119175247</v>
      </c>
      <c r="AC37" s="59">
        <f t="shared" si="39"/>
        <v>-25643.137198466662</v>
      </c>
      <c r="AD37" s="59">
        <f t="shared" si="39"/>
        <v>-25665.242430491806</v>
      </c>
      <c r="AE37" s="59">
        <f t="shared" si="39"/>
        <v>-25690.403910380337</v>
      </c>
      <c r="AF37" s="59">
        <f t="shared" si="39"/>
        <v>-25718.629030987089</v>
      </c>
      <c r="AG37" s="59">
        <f t="shared" si="39"/>
        <v>-25749.9255568769</v>
      </c>
      <c r="AH37" s="59">
        <f t="shared" si="39"/>
        <v>-24876.505599439864</v>
      </c>
      <c r="AI37" s="59">
        <f t="shared" si="39"/>
        <v>0</v>
      </c>
      <c r="AJ37" s="59">
        <f t="shared" si="39"/>
        <v>0</v>
      </c>
      <c r="AK37" s="59">
        <f t="shared" ref="AK37:BP37" si="40">IF(AK47=0,0,AK$35*AK48/AK$46)</f>
        <v>0</v>
      </c>
      <c r="AL37" s="59">
        <f t="shared" si="40"/>
        <v>0</v>
      </c>
      <c r="AM37" s="59">
        <f t="shared" si="40"/>
        <v>0</v>
      </c>
      <c r="AN37" s="59">
        <f t="shared" si="40"/>
        <v>0</v>
      </c>
      <c r="AO37" s="59">
        <f t="shared" si="40"/>
        <v>0</v>
      </c>
      <c r="AP37" s="59">
        <f t="shared" si="40"/>
        <v>0</v>
      </c>
      <c r="AQ37" s="59">
        <f t="shared" si="40"/>
        <v>0</v>
      </c>
      <c r="AR37" s="59">
        <f t="shared" si="40"/>
        <v>0</v>
      </c>
      <c r="AS37" s="59">
        <f t="shared" si="40"/>
        <v>0</v>
      </c>
      <c r="AT37" s="59">
        <f t="shared" si="40"/>
        <v>0</v>
      </c>
      <c r="AU37" s="59">
        <f t="shared" si="40"/>
        <v>0</v>
      </c>
      <c r="AV37" s="59">
        <f t="shared" si="40"/>
        <v>0</v>
      </c>
      <c r="AW37" s="59">
        <f t="shared" si="40"/>
        <v>0</v>
      </c>
      <c r="AX37" s="59">
        <f t="shared" si="40"/>
        <v>0</v>
      </c>
      <c r="AY37" s="59">
        <f t="shared" si="40"/>
        <v>0</v>
      </c>
      <c r="AZ37" s="59">
        <f t="shared" si="40"/>
        <v>0</v>
      </c>
      <c r="BA37" s="59">
        <f t="shared" si="40"/>
        <v>0</v>
      </c>
      <c r="BB37" s="59">
        <f t="shared" si="40"/>
        <v>0</v>
      </c>
      <c r="BC37" s="59">
        <f t="shared" si="40"/>
        <v>0</v>
      </c>
      <c r="BD37" s="59">
        <f t="shared" si="40"/>
        <v>0</v>
      </c>
      <c r="BE37" s="59">
        <f t="shared" si="40"/>
        <v>0</v>
      </c>
      <c r="BF37" s="59">
        <f t="shared" si="40"/>
        <v>0</v>
      </c>
      <c r="BG37" s="59">
        <f t="shared" si="40"/>
        <v>0</v>
      </c>
      <c r="BH37" s="59">
        <f t="shared" si="40"/>
        <v>0</v>
      </c>
      <c r="BI37" s="59">
        <f t="shared" si="40"/>
        <v>0</v>
      </c>
      <c r="BJ37" s="59">
        <f t="shared" si="40"/>
        <v>0</v>
      </c>
      <c r="BK37" s="59">
        <f t="shared" si="40"/>
        <v>0</v>
      </c>
      <c r="BL37" s="59">
        <f t="shared" si="40"/>
        <v>0</v>
      </c>
      <c r="BM37" s="59">
        <f t="shared" si="40"/>
        <v>0</v>
      </c>
      <c r="BN37" s="59">
        <f t="shared" si="40"/>
        <v>0</v>
      </c>
      <c r="BO37" s="59">
        <f t="shared" si="40"/>
        <v>0</v>
      </c>
      <c r="BP37" s="59">
        <f t="shared" si="40"/>
        <v>0</v>
      </c>
      <c r="BQ37" s="59">
        <f t="shared" ref="BQ37:CV37" si="41">IF(BQ47=0,0,BQ$35*BQ48/BQ$46)</f>
        <v>0</v>
      </c>
      <c r="BR37" s="59">
        <f t="shared" si="41"/>
        <v>0</v>
      </c>
      <c r="BS37" s="59">
        <f t="shared" si="41"/>
        <v>0</v>
      </c>
      <c r="BT37" s="59">
        <f t="shared" si="41"/>
        <v>0</v>
      </c>
      <c r="BU37" s="59">
        <f t="shared" si="41"/>
        <v>0</v>
      </c>
      <c r="BV37" s="59">
        <f t="shared" si="41"/>
        <v>0</v>
      </c>
      <c r="BW37" s="59">
        <f t="shared" si="41"/>
        <v>0</v>
      </c>
      <c r="BX37" s="59">
        <f t="shared" si="41"/>
        <v>0</v>
      </c>
      <c r="BY37" s="59">
        <f t="shared" si="41"/>
        <v>0</v>
      </c>
      <c r="BZ37" s="59">
        <f t="shared" si="41"/>
        <v>0</v>
      </c>
      <c r="CA37" s="59">
        <f t="shared" si="41"/>
        <v>0</v>
      </c>
      <c r="CB37" s="59">
        <f t="shared" si="41"/>
        <v>0</v>
      </c>
      <c r="CC37" s="59">
        <f t="shared" si="41"/>
        <v>0</v>
      </c>
      <c r="CD37" s="59">
        <f t="shared" si="41"/>
        <v>0</v>
      </c>
      <c r="CE37" s="59">
        <f t="shared" si="41"/>
        <v>0</v>
      </c>
      <c r="CF37" s="59">
        <f t="shared" si="41"/>
        <v>0</v>
      </c>
      <c r="CG37" s="59">
        <f t="shared" si="41"/>
        <v>0</v>
      </c>
      <c r="CH37" s="59">
        <f t="shared" si="41"/>
        <v>0</v>
      </c>
      <c r="CI37" s="59">
        <f t="shared" si="41"/>
        <v>0</v>
      </c>
      <c r="CJ37" s="59">
        <f t="shared" si="41"/>
        <v>0</v>
      </c>
      <c r="CK37" s="59">
        <f t="shared" si="41"/>
        <v>0</v>
      </c>
      <c r="CL37" s="59">
        <f t="shared" si="41"/>
        <v>0</v>
      </c>
      <c r="CM37" s="59">
        <f t="shared" si="41"/>
        <v>0</v>
      </c>
      <c r="CN37" s="59">
        <f t="shared" si="41"/>
        <v>0</v>
      </c>
      <c r="CO37" s="59">
        <f t="shared" si="41"/>
        <v>0</v>
      </c>
      <c r="CP37" s="59">
        <f t="shared" si="41"/>
        <v>0</v>
      </c>
      <c r="CQ37" s="59">
        <f t="shared" si="41"/>
        <v>0</v>
      </c>
      <c r="CR37" s="59">
        <f t="shared" si="41"/>
        <v>0</v>
      </c>
      <c r="CS37" s="59">
        <f t="shared" si="41"/>
        <v>0</v>
      </c>
      <c r="CT37" s="59">
        <f t="shared" si="41"/>
        <v>0</v>
      </c>
      <c r="CU37" s="59">
        <f t="shared" si="41"/>
        <v>0</v>
      </c>
      <c r="CV37" s="59">
        <f t="shared" si="41"/>
        <v>0</v>
      </c>
      <c r="CW37" s="59">
        <f t="shared" ref="CW37:DU37" si="42">IF(CW47=0,0,CW$35*CW48/CW$46)</f>
        <v>0</v>
      </c>
      <c r="CX37" s="59">
        <f t="shared" si="42"/>
        <v>0</v>
      </c>
      <c r="CY37" s="59">
        <f t="shared" si="42"/>
        <v>0</v>
      </c>
      <c r="CZ37" s="59">
        <f t="shared" si="42"/>
        <v>0</v>
      </c>
      <c r="DA37" s="59">
        <f t="shared" si="42"/>
        <v>0</v>
      </c>
      <c r="DB37" s="59">
        <f t="shared" si="42"/>
        <v>0</v>
      </c>
      <c r="DC37" s="59">
        <f t="shared" si="42"/>
        <v>0</v>
      </c>
      <c r="DD37" s="59">
        <f t="shared" si="42"/>
        <v>0</v>
      </c>
      <c r="DE37" s="59">
        <f t="shared" si="42"/>
        <v>0</v>
      </c>
      <c r="DF37" s="59">
        <f t="shared" si="42"/>
        <v>0</v>
      </c>
      <c r="DG37" s="59">
        <f t="shared" si="42"/>
        <v>0</v>
      </c>
      <c r="DH37" s="59">
        <f t="shared" si="42"/>
        <v>0</v>
      </c>
      <c r="DI37" s="59">
        <f t="shared" si="42"/>
        <v>0</v>
      </c>
      <c r="DJ37" s="59">
        <f t="shared" si="42"/>
        <v>0</v>
      </c>
      <c r="DK37" s="59">
        <f t="shared" si="42"/>
        <v>0</v>
      </c>
      <c r="DL37" s="59">
        <f t="shared" si="42"/>
        <v>0</v>
      </c>
      <c r="DM37" s="59">
        <f t="shared" si="42"/>
        <v>0</v>
      </c>
      <c r="DN37" s="59">
        <f t="shared" si="42"/>
        <v>0</v>
      </c>
      <c r="DO37" s="59">
        <f t="shared" si="42"/>
        <v>0</v>
      </c>
      <c r="DP37" s="59">
        <f t="shared" si="42"/>
        <v>0</v>
      </c>
      <c r="DQ37" s="59">
        <f t="shared" si="42"/>
        <v>0</v>
      </c>
      <c r="DR37" s="59">
        <f t="shared" si="42"/>
        <v>0</v>
      </c>
      <c r="DS37" s="59">
        <f t="shared" si="42"/>
        <v>0</v>
      </c>
      <c r="DT37" s="59">
        <f t="shared" si="42"/>
        <v>0</v>
      </c>
      <c r="DU37" s="60">
        <f t="shared" si="42"/>
        <v>0</v>
      </c>
    </row>
    <row r="38" spans="2:125" s="4" customFormat="1" x14ac:dyDescent="0.4">
      <c r="B38" s="74" t="s">
        <v>118</v>
      </c>
      <c r="C38" s="173"/>
      <c r="D38" s="91"/>
      <c r="E38" s="90">
        <f>E34+E35</f>
        <v>0</v>
      </c>
      <c r="F38" s="90">
        <f t="shared" ref="F38:BQ38" si="43">F34+F35</f>
        <v>0</v>
      </c>
      <c r="G38" s="90">
        <f t="shared" si="43"/>
        <v>0</v>
      </c>
      <c r="H38" s="90">
        <f t="shared" si="43"/>
        <v>0</v>
      </c>
      <c r="I38" s="90">
        <f t="shared" si="43"/>
        <v>0</v>
      </c>
      <c r="J38" s="90">
        <f t="shared" si="43"/>
        <v>0</v>
      </c>
      <c r="K38" s="90">
        <f t="shared" si="43"/>
        <v>0</v>
      </c>
      <c r="L38" s="90">
        <f t="shared" si="43"/>
        <v>0</v>
      </c>
      <c r="M38" s="90">
        <f t="shared" si="43"/>
        <v>0</v>
      </c>
      <c r="N38" s="90">
        <f t="shared" si="43"/>
        <v>0</v>
      </c>
      <c r="O38" s="90">
        <f t="shared" si="43"/>
        <v>0</v>
      </c>
      <c r="P38" s="90">
        <f t="shared" si="43"/>
        <v>0</v>
      </c>
      <c r="Q38" s="90">
        <f t="shared" si="43"/>
        <v>0</v>
      </c>
      <c r="R38" s="90">
        <f t="shared" si="43"/>
        <v>0</v>
      </c>
      <c r="S38" s="90">
        <f t="shared" si="43"/>
        <v>0</v>
      </c>
      <c r="T38" s="90">
        <f t="shared" si="43"/>
        <v>0</v>
      </c>
      <c r="U38" s="90">
        <f t="shared" si="43"/>
        <v>0</v>
      </c>
      <c r="V38" s="90">
        <f t="shared" si="43"/>
        <v>0</v>
      </c>
      <c r="W38" s="90">
        <f t="shared" si="43"/>
        <v>0</v>
      </c>
      <c r="X38" s="90">
        <f t="shared" si="43"/>
        <v>0</v>
      </c>
      <c r="Y38" s="90">
        <f t="shared" si="43"/>
        <v>0</v>
      </c>
      <c r="Z38" s="90">
        <f t="shared" si="43"/>
        <v>0</v>
      </c>
      <c r="AA38" s="90">
        <f t="shared" si="43"/>
        <v>0</v>
      </c>
      <c r="AB38" s="90">
        <f t="shared" si="43"/>
        <v>0</v>
      </c>
      <c r="AC38" s="90">
        <f t="shared" si="43"/>
        <v>0</v>
      </c>
      <c r="AD38" s="90">
        <f t="shared" si="43"/>
        <v>0</v>
      </c>
      <c r="AE38" s="90">
        <f t="shared" si="43"/>
        <v>0</v>
      </c>
      <c r="AF38" s="90">
        <f t="shared" si="43"/>
        <v>0</v>
      </c>
      <c r="AG38" s="90">
        <f t="shared" si="43"/>
        <v>0</v>
      </c>
      <c r="AH38" s="90">
        <f t="shared" si="43"/>
        <v>8688.904823523626</v>
      </c>
      <c r="AI38" s="90">
        <f t="shared" si="43"/>
        <v>247049.81590879621</v>
      </c>
      <c r="AJ38" s="90">
        <f t="shared" si="43"/>
        <v>244554.61276811737</v>
      </c>
      <c r="AK38" s="90">
        <f t="shared" si="43"/>
        <v>242084.6111791594</v>
      </c>
      <c r="AL38" s="90">
        <f t="shared" si="43"/>
        <v>239639.55660624988</v>
      </c>
      <c r="AM38" s="90">
        <f t="shared" si="43"/>
        <v>237219.19708452676</v>
      </c>
      <c r="AN38" s="90">
        <f t="shared" si="43"/>
        <v>234823.28319397307</v>
      </c>
      <c r="AO38" s="90">
        <f t="shared" si="43"/>
        <v>232451.56803371393</v>
      </c>
      <c r="AP38" s="90">
        <f t="shared" si="43"/>
        <v>230103.80719657341</v>
      </c>
      <c r="AQ38" s="90">
        <f t="shared" si="43"/>
        <v>227779.75874388803</v>
      </c>
      <c r="AR38" s="90">
        <f t="shared" si="43"/>
        <v>225479.18318057476</v>
      </c>
      <c r="AS38" s="90">
        <f t="shared" si="43"/>
        <v>223201.84343045097</v>
      </c>
      <c r="AT38" s="90">
        <f t="shared" si="43"/>
        <v>220947.5048118034</v>
      </c>
      <c r="AU38" s="90">
        <f t="shared" si="43"/>
        <v>218715.9350132042</v>
      </c>
      <c r="AV38" s="90">
        <f t="shared" si="43"/>
        <v>216506.90406957085</v>
      </c>
      <c r="AW38" s="90">
        <f t="shared" si="43"/>
        <v>214320.18433846819</v>
      </c>
      <c r="AX38" s="90">
        <f t="shared" si="43"/>
        <v>212155.55047664963</v>
      </c>
      <c r="AY38" s="90">
        <f t="shared" si="43"/>
        <v>210012.77941683549</v>
      </c>
      <c r="AZ38" s="90">
        <f t="shared" si="43"/>
        <v>207891.65034472544</v>
      </c>
      <c r="BA38" s="90">
        <f t="shared" si="43"/>
        <v>205791.9446762437</v>
      </c>
      <c r="BB38" s="90">
        <f t="shared" si="43"/>
        <v>203713.44603501365</v>
      </c>
      <c r="BC38" s="90">
        <f t="shared" si="43"/>
        <v>201655.94023006002</v>
      </c>
      <c r="BD38" s="90">
        <f t="shared" si="43"/>
        <v>199619.21523373641</v>
      </c>
      <c r="BE38" s="90">
        <f t="shared" si="43"/>
        <v>197603.06115987568</v>
      </c>
      <c r="BF38" s="90">
        <f t="shared" si="43"/>
        <v>195607.27024216094</v>
      </c>
      <c r="BG38" s="90">
        <f t="shared" si="43"/>
        <v>193631.63681271512</v>
      </c>
      <c r="BH38" s="90">
        <f t="shared" si="43"/>
        <v>191675.9572809067</v>
      </c>
      <c r="BI38" s="90">
        <f t="shared" si="43"/>
        <v>189740.03011236957</v>
      </c>
      <c r="BJ38" s="90">
        <f t="shared" si="43"/>
        <v>187823.65580823465</v>
      </c>
      <c r="BK38" s="90">
        <f t="shared" si="43"/>
        <v>185926.63688457146</v>
      </c>
      <c r="BL38" s="90">
        <f t="shared" si="43"/>
        <v>184048.77785203728</v>
      </c>
      <c r="BM38" s="90">
        <f t="shared" si="43"/>
        <v>182189.88519573174</v>
      </c>
      <c r="BN38" s="90">
        <f t="shared" si="43"/>
        <v>180349.76735525485</v>
      </c>
      <c r="BO38" s="90">
        <f t="shared" si="43"/>
        <v>178528.23470496677</v>
      </c>
      <c r="BP38" s="90">
        <f t="shared" si="43"/>
        <v>176725.09953444658</v>
      </c>
      <c r="BQ38" s="90">
        <f t="shared" si="43"/>
        <v>174940.17602914869</v>
      </c>
      <c r="BR38" s="90">
        <f t="shared" ref="BR38:DU38" si="44">BR34+BR35</f>
        <v>173173.28025125427</v>
      </c>
      <c r="BS38" s="90">
        <f t="shared" si="44"/>
        <v>171424.23012071659</v>
      </c>
      <c r="BT38" s="90">
        <f t="shared" si="44"/>
        <v>169692.84539649735</v>
      </c>
      <c r="BU38" s="90">
        <f t="shared" si="44"/>
        <v>167978.94765799271</v>
      </c>
      <c r="BV38" s="90">
        <f t="shared" si="44"/>
        <v>166282.36028664699</v>
      </c>
      <c r="BW38" s="90">
        <f t="shared" si="44"/>
        <v>164602.90844775186</v>
      </c>
      <c r="BX38" s="90">
        <f t="shared" si="44"/>
        <v>162940.41907242956</v>
      </c>
      <c r="BY38" s="90">
        <f t="shared" si="44"/>
        <v>161294.72083979801</v>
      </c>
      <c r="BZ38" s="90">
        <f t="shared" si="44"/>
        <v>159665.64415931609</v>
      </c>
      <c r="CA38" s="90">
        <f t="shared" si="44"/>
        <v>158053.02115330697</v>
      </c>
      <c r="CB38" s="90">
        <f t="shared" si="44"/>
        <v>156456.68563965856</v>
      </c>
      <c r="CC38" s="90">
        <f t="shared" si="44"/>
        <v>154876.47311469802</v>
      </c>
      <c r="CD38" s="90">
        <f t="shared" si="44"/>
        <v>153312.22073623954</v>
      </c>
      <c r="CE38" s="90">
        <f t="shared" si="44"/>
        <v>151763.76730680352</v>
      </c>
      <c r="CF38" s="90">
        <f t="shared" si="44"/>
        <v>150230.95325700482</v>
      </c>
      <c r="CG38" s="90">
        <f t="shared" si="44"/>
        <v>148713.62062910909</v>
      </c>
      <c r="CH38" s="90">
        <f t="shared" si="44"/>
        <v>147211.61306075507</v>
      </c>
      <c r="CI38" s="90">
        <f t="shared" si="44"/>
        <v>145724.77576884144</v>
      </c>
      <c r="CJ38" s="90">
        <f t="shared" si="44"/>
        <v>144252.95553357614</v>
      </c>
      <c r="CK38" s="90">
        <f t="shared" si="44"/>
        <v>142796.00068268704</v>
      </c>
      <c r="CL38" s="90">
        <f t="shared" si="44"/>
        <v>141353.7610757919</v>
      </c>
      <c r="CM38" s="90">
        <f t="shared" si="44"/>
        <v>139926.08808892639</v>
      </c>
      <c r="CN38" s="90">
        <f t="shared" si="44"/>
        <v>138512.83459922826</v>
      </c>
      <c r="CO38" s="90">
        <f t="shared" si="44"/>
        <v>137113.85496977603</v>
      </c>
      <c r="CP38" s="90">
        <f t="shared" si="44"/>
        <v>135729.00503458129</v>
      </c>
      <c r="CQ38" s="90">
        <f t="shared" si="44"/>
        <v>134358.14208373203</v>
      </c>
      <c r="CR38" s="90">
        <f t="shared" si="44"/>
        <v>133001.12484868633</v>
      </c>
      <c r="CS38" s="90">
        <f t="shared" si="44"/>
        <v>131657.81348771462</v>
      </c>
      <c r="CT38" s="90">
        <f t="shared" si="44"/>
        <v>130328.0695714887</v>
      </c>
      <c r="CU38" s="90">
        <f t="shared" si="44"/>
        <v>129011.75606881667</v>
      </c>
      <c r="CV38" s="90">
        <f t="shared" si="44"/>
        <v>127708.73733252162</v>
      </c>
      <c r="CW38" s="90">
        <f t="shared" si="44"/>
        <v>126418.87908546314</v>
      </c>
      <c r="CX38" s="90">
        <f t="shared" si="44"/>
        <v>125142.04840669996</v>
      </c>
      <c r="CY38" s="90">
        <f t="shared" si="44"/>
        <v>123878.11371779229</v>
      </c>
      <c r="CZ38" s="90">
        <f t="shared" si="44"/>
        <v>122626.94476924259</v>
      </c>
      <c r="DA38" s="90">
        <f t="shared" si="44"/>
        <v>121388.41262707324</v>
      </c>
      <c r="DB38" s="90">
        <f t="shared" si="44"/>
        <v>120162.3896595398</v>
      </c>
      <c r="DC38" s="90">
        <f t="shared" si="44"/>
        <v>118948.74952397845</v>
      </c>
      <c r="DD38" s="90">
        <f t="shared" si="44"/>
        <v>117747.36715378627</v>
      </c>
      <c r="DE38" s="90">
        <f t="shared" si="44"/>
        <v>116558.11874553304</v>
      </c>
      <c r="DF38" s="90">
        <f t="shared" si="44"/>
        <v>115380.88174620316</v>
      </c>
      <c r="DG38" s="90">
        <f t="shared" si="44"/>
        <v>114215.5348405665</v>
      </c>
      <c r="DH38" s="90">
        <f t="shared" si="44"/>
        <v>113061.95793867677</v>
      </c>
      <c r="DI38" s="90">
        <f t="shared" si="44"/>
        <v>111920.03216349614</v>
      </c>
      <c r="DJ38" s="90">
        <f t="shared" si="44"/>
        <v>110789.63983864483</v>
      </c>
      <c r="DK38" s="90">
        <f t="shared" si="44"/>
        <v>109670.66447627451</v>
      </c>
      <c r="DL38" s="90">
        <f t="shared" si="44"/>
        <v>108562.99076506414</v>
      </c>
      <c r="DM38" s="90">
        <f t="shared" si="44"/>
        <v>107466.50455833701</v>
      </c>
      <c r="DN38" s="90">
        <f t="shared" si="44"/>
        <v>106381.0928622978</v>
      </c>
      <c r="DO38" s="90">
        <f t="shared" si="44"/>
        <v>105306.64382438859</v>
      </c>
      <c r="DP38" s="90">
        <f t="shared" si="44"/>
        <v>104243.04672176226</v>
      </c>
      <c r="DQ38" s="90">
        <f t="shared" si="44"/>
        <v>103190.19194987246</v>
      </c>
      <c r="DR38" s="90">
        <f t="shared" si="44"/>
        <v>102147.97101117876</v>
      </c>
      <c r="DS38" s="90">
        <f t="shared" si="44"/>
        <v>101116.27650396586</v>
      </c>
      <c r="DT38" s="90">
        <f t="shared" si="44"/>
        <v>100095.0021112758</v>
      </c>
      <c r="DU38" s="88">
        <f t="shared" si="44"/>
        <v>600570.01266765466</v>
      </c>
    </row>
    <row r="39" spans="2:125" x14ac:dyDescent="0.4">
      <c r="B39" s="39" t="s">
        <v>119</v>
      </c>
      <c r="C39" s="55"/>
      <c r="D39" s="62"/>
      <c r="E39" s="59">
        <f t="shared" ref="E39:AJ39" si="45">IF(MAX(E67+E36,0)&gt;=MAX(E68+E37,0),
   MIN(E38,MAX(E67+E36,0)),
   MAX(E38-MAX(E68+E37,0),0))</f>
        <v>0</v>
      </c>
      <c r="F39" s="59">
        <f t="shared" si="45"/>
        <v>0</v>
      </c>
      <c r="G39" s="59">
        <f t="shared" si="45"/>
        <v>0</v>
      </c>
      <c r="H39" s="59">
        <f t="shared" si="45"/>
        <v>0</v>
      </c>
      <c r="I39" s="59">
        <f t="shared" si="45"/>
        <v>0</v>
      </c>
      <c r="J39" s="59">
        <f t="shared" si="45"/>
        <v>0</v>
      </c>
      <c r="K39" s="59">
        <f t="shared" si="45"/>
        <v>0</v>
      </c>
      <c r="L39" s="59">
        <f t="shared" si="45"/>
        <v>0</v>
      </c>
      <c r="M39" s="59">
        <f t="shared" si="45"/>
        <v>0</v>
      </c>
      <c r="N39" s="59">
        <f t="shared" si="45"/>
        <v>0</v>
      </c>
      <c r="O39" s="59">
        <f t="shared" si="45"/>
        <v>0</v>
      </c>
      <c r="P39" s="59">
        <f t="shared" si="45"/>
        <v>0</v>
      </c>
      <c r="Q39" s="59">
        <f t="shared" si="45"/>
        <v>0</v>
      </c>
      <c r="R39" s="59">
        <f t="shared" si="45"/>
        <v>0</v>
      </c>
      <c r="S39" s="59">
        <f t="shared" si="45"/>
        <v>0</v>
      </c>
      <c r="T39" s="59">
        <f t="shared" si="45"/>
        <v>0</v>
      </c>
      <c r="U39" s="59">
        <f t="shared" si="45"/>
        <v>0</v>
      </c>
      <c r="V39" s="59">
        <f t="shared" si="45"/>
        <v>0</v>
      </c>
      <c r="W39" s="59">
        <f t="shared" si="45"/>
        <v>0</v>
      </c>
      <c r="X39" s="59">
        <f t="shared" si="45"/>
        <v>0</v>
      </c>
      <c r="Y39" s="59">
        <f t="shared" si="45"/>
        <v>0</v>
      </c>
      <c r="Z39" s="59">
        <f t="shared" si="45"/>
        <v>0</v>
      </c>
      <c r="AA39" s="59">
        <f t="shared" si="45"/>
        <v>0</v>
      </c>
      <c r="AB39" s="59">
        <f t="shared" si="45"/>
        <v>0</v>
      </c>
      <c r="AC39" s="59">
        <f t="shared" si="45"/>
        <v>0</v>
      </c>
      <c r="AD39" s="59">
        <f t="shared" si="45"/>
        <v>0</v>
      </c>
      <c r="AE39" s="59">
        <f t="shared" si="45"/>
        <v>0</v>
      </c>
      <c r="AF39" s="59">
        <f t="shared" si="45"/>
        <v>0</v>
      </c>
      <c r="AG39" s="59">
        <f t="shared" si="45"/>
        <v>0</v>
      </c>
      <c r="AH39" s="59">
        <f t="shared" si="45"/>
        <v>0</v>
      </c>
      <c r="AI39" s="59">
        <f t="shared" si="45"/>
        <v>0</v>
      </c>
      <c r="AJ39" s="59">
        <f t="shared" si="45"/>
        <v>0</v>
      </c>
      <c r="AK39" s="59">
        <f t="shared" ref="AK39:BP39" si="46">IF(MAX(AK67+AK36,0)&gt;=MAX(AK68+AK37,0),
   MIN(AK38,MAX(AK67+AK36,0)),
   MAX(AK38-MAX(AK68+AK37,0),0))</f>
        <v>0</v>
      </c>
      <c r="AL39" s="59">
        <f t="shared" si="46"/>
        <v>0</v>
      </c>
      <c r="AM39" s="59">
        <f t="shared" si="46"/>
        <v>0</v>
      </c>
      <c r="AN39" s="59">
        <f t="shared" si="46"/>
        <v>0</v>
      </c>
      <c r="AO39" s="59">
        <f t="shared" si="46"/>
        <v>0</v>
      </c>
      <c r="AP39" s="59">
        <f t="shared" si="46"/>
        <v>0</v>
      </c>
      <c r="AQ39" s="59">
        <f t="shared" si="46"/>
        <v>0</v>
      </c>
      <c r="AR39" s="59">
        <f t="shared" si="46"/>
        <v>0</v>
      </c>
      <c r="AS39" s="59">
        <f t="shared" si="46"/>
        <v>0</v>
      </c>
      <c r="AT39" s="59">
        <f t="shared" si="46"/>
        <v>0</v>
      </c>
      <c r="AU39" s="59">
        <f t="shared" si="46"/>
        <v>0</v>
      </c>
      <c r="AV39" s="59">
        <f t="shared" si="46"/>
        <v>0</v>
      </c>
      <c r="AW39" s="59">
        <f t="shared" si="46"/>
        <v>0</v>
      </c>
      <c r="AX39" s="59">
        <f t="shared" si="46"/>
        <v>0</v>
      </c>
      <c r="AY39" s="59">
        <f t="shared" si="46"/>
        <v>0</v>
      </c>
      <c r="AZ39" s="59">
        <f t="shared" si="46"/>
        <v>0</v>
      </c>
      <c r="BA39" s="59">
        <f t="shared" si="46"/>
        <v>0</v>
      </c>
      <c r="BB39" s="59">
        <f t="shared" si="46"/>
        <v>0</v>
      </c>
      <c r="BC39" s="59">
        <f t="shared" si="46"/>
        <v>0</v>
      </c>
      <c r="BD39" s="59">
        <f t="shared" si="46"/>
        <v>0</v>
      </c>
      <c r="BE39" s="59">
        <f t="shared" si="46"/>
        <v>0</v>
      </c>
      <c r="BF39" s="59">
        <f t="shared" si="46"/>
        <v>0</v>
      </c>
      <c r="BG39" s="59">
        <f t="shared" si="46"/>
        <v>0</v>
      </c>
      <c r="BH39" s="59">
        <f t="shared" si="46"/>
        <v>0</v>
      </c>
      <c r="BI39" s="59">
        <f t="shared" si="46"/>
        <v>0</v>
      </c>
      <c r="BJ39" s="59">
        <f t="shared" si="46"/>
        <v>0</v>
      </c>
      <c r="BK39" s="59">
        <f t="shared" si="46"/>
        <v>0</v>
      </c>
      <c r="BL39" s="59">
        <f t="shared" si="46"/>
        <v>0</v>
      </c>
      <c r="BM39" s="59">
        <f t="shared" si="46"/>
        <v>0</v>
      </c>
      <c r="BN39" s="59">
        <f t="shared" si="46"/>
        <v>0</v>
      </c>
      <c r="BO39" s="59">
        <f t="shared" si="46"/>
        <v>0</v>
      </c>
      <c r="BP39" s="59">
        <f t="shared" si="46"/>
        <v>0</v>
      </c>
      <c r="BQ39" s="59">
        <f t="shared" ref="BQ39:CV39" si="47">IF(MAX(BQ67+BQ36,0)&gt;=MAX(BQ68+BQ37,0),
   MIN(BQ38,MAX(BQ67+BQ36,0)),
   MAX(BQ38-MAX(BQ68+BQ37,0),0))</f>
        <v>0</v>
      </c>
      <c r="BR39" s="59">
        <f t="shared" si="47"/>
        <v>0</v>
      </c>
      <c r="BS39" s="59">
        <f t="shared" si="47"/>
        <v>0</v>
      </c>
      <c r="BT39" s="59">
        <f t="shared" si="47"/>
        <v>0</v>
      </c>
      <c r="BU39" s="59">
        <f t="shared" si="47"/>
        <v>0</v>
      </c>
      <c r="BV39" s="59">
        <f t="shared" si="47"/>
        <v>0</v>
      </c>
      <c r="BW39" s="59">
        <f t="shared" si="47"/>
        <v>0</v>
      </c>
      <c r="BX39" s="59">
        <f t="shared" si="47"/>
        <v>0</v>
      </c>
      <c r="BY39" s="59">
        <f t="shared" si="47"/>
        <v>0</v>
      </c>
      <c r="BZ39" s="59">
        <f t="shared" si="47"/>
        <v>0</v>
      </c>
      <c r="CA39" s="59">
        <f t="shared" si="47"/>
        <v>0</v>
      </c>
      <c r="CB39" s="59">
        <f t="shared" si="47"/>
        <v>0</v>
      </c>
      <c r="CC39" s="59">
        <f t="shared" si="47"/>
        <v>0</v>
      </c>
      <c r="CD39" s="59">
        <f t="shared" si="47"/>
        <v>0</v>
      </c>
      <c r="CE39" s="59">
        <f t="shared" si="47"/>
        <v>0</v>
      </c>
      <c r="CF39" s="59">
        <f t="shared" si="47"/>
        <v>0</v>
      </c>
      <c r="CG39" s="59">
        <f t="shared" si="47"/>
        <v>0</v>
      </c>
      <c r="CH39" s="59">
        <f t="shared" si="47"/>
        <v>0</v>
      </c>
      <c r="CI39" s="59">
        <f t="shared" si="47"/>
        <v>0</v>
      </c>
      <c r="CJ39" s="59">
        <f t="shared" si="47"/>
        <v>0</v>
      </c>
      <c r="CK39" s="59">
        <f t="shared" si="47"/>
        <v>0</v>
      </c>
      <c r="CL39" s="59">
        <f t="shared" si="47"/>
        <v>0</v>
      </c>
      <c r="CM39" s="59">
        <f t="shared" si="47"/>
        <v>0</v>
      </c>
      <c r="CN39" s="59">
        <f t="shared" si="47"/>
        <v>0</v>
      </c>
      <c r="CO39" s="59">
        <f t="shared" si="47"/>
        <v>0</v>
      </c>
      <c r="CP39" s="59">
        <f t="shared" si="47"/>
        <v>0</v>
      </c>
      <c r="CQ39" s="59">
        <f t="shared" si="47"/>
        <v>0</v>
      </c>
      <c r="CR39" s="59">
        <f t="shared" si="47"/>
        <v>0</v>
      </c>
      <c r="CS39" s="59">
        <f t="shared" si="47"/>
        <v>0</v>
      </c>
      <c r="CT39" s="59">
        <f t="shared" si="47"/>
        <v>0</v>
      </c>
      <c r="CU39" s="59">
        <f t="shared" si="47"/>
        <v>0</v>
      </c>
      <c r="CV39" s="59">
        <f t="shared" si="47"/>
        <v>0</v>
      </c>
      <c r="CW39" s="59">
        <f t="shared" ref="CW39:DU39" si="48">IF(MAX(CW67+CW36,0)&gt;=MAX(CW68+CW37,0),
   MIN(CW38,MAX(CW67+CW36,0)),
   MAX(CW38-MAX(CW68+CW37,0),0))</f>
        <v>0</v>
      </c>
      <c r="CX39" s="59">
        <f t="shared" si="48"/>
        <v>0</v>
      </c>
      <c r="CY39" s="59">
        <f t="shared" si="48"/>
        <v>0</v>
      </c>
      <c r="CZ39" s="59">
        <f t="shared" si="48"/>
        <v>0</v>
      </c>
      <c r="DA39" s="59">
        <f t="shared" si="48"/>
        <v>0</v>
      </c>
      <c r="DB39" s="59">
        <f t="shared" si="48"/>
        <v>0</v>
      </c>
      <c r="DC39" s="59">
        <f t="shared" si="48"/>
        <v>0</v>
      </c>
      <c r="DD39" s="59">
        <f t="shared" si="48"/>
        <v>0</v>
      </c>
      <c r="DE39" s="59">
        <f t="shared" si="48"/>
        <v>0</v>
      </c>
      <c r="DF39" s="59">
        <f t="shared" si="48"/>
        <v>0</v>
      </c>
      <c r="DG39" s="59">
        <f t="shared" si="48"/>
        <v>0</v>
      </c>
      <c r="DH39" s="59">
        <f t="shared" si="48"/>
        <v>0</v>
      </c>
      <c r="DI39" s="59">
        <f t="shared" si="48"/>
        <v>0</v>
      </c>
      <c r="DJ39" s="59">
        <f t="shared" si="48"/>
        <v>0</v>
      </c>
      <c r="DK39" s="59">
        <f t="shared" si="48"/>
        <v>0</v>
      </c>
      <c r="DL39" s="59">
        <f t="shared" si="48"/>
        <v>0</v>
      </c>
      <c r="DM39" s="59">
        <f t="shared" si="48"/>
        <v>0</v>
      </c>
      <c r="DN39" s="59">
        <f t="shared" si="48"/>
        <v>0</v>
      </c>
      <c r="DO39" s="59">
        <f t="shared" si="48"/>
        <v>0</v>
      </c>
      <c r="DP39" s="59">
        <f t="shared" si="48"/>
        <v>0</v>
      </c>
      <c r="DQ39" s="59">
        <f t="shared" si="48"/>
        <v>0</v>
      </c>
      <c r="DR39" s="59">
        <f t="shared" si="48"/>
        <v>0</v>
      </c>
      <c r="DS39" s="59">
        <f t="shared" si="48"/>
        <v>0</v>
      </c>
      <c r="DT39" s="59">
        <f t="shared" si="48"/>
        <v>0</v>
      </c>
      <c r="DU39" s="60">
        <f t="shared" si="48"/>
        <v>0</v>
      </c>
    </row>
    <row r="40" spans="2:125" x14ac:dyDescent="0.4">
      <c r="B40" s="39" t="s">
        <v>120</v>
      </c>
      <c r="C40" s="55"/>
      <c r="D40" s="62"/>
      <c r="E40" s="59">
        <f t="shared" ref="E40:AJ40" si="49">IF(MAX(E68+E37,0)&gt;=MAX(E67+E36,0),
   MIN(E38,MAX(E68+E37,0)),
   MAX(E38-MAX(E67+E36,0),0))</f>
        <v>0</v>
      </c>
      <c r="F40" s="59">
        <f t="shared" si="49"/>
        <v>0</v>
      </c>
      <c r="G40" s="59">
        <f t="shared" si="49"/>
        <v>0</v>
      </c>
      <c r="H40" s="59">
        <f t="shared" si="49"/>
        <v>0</v>
      </c>
      <c r="I40" s="59">
        <f t="shared" si="49"/>
        <v>0</v>
      </c>
      <c r="J40" s="59">
        <f t="shared" si="49"/>
        <v>0</v>
      </c>
      <c r="K40" s="59">
        <f t="shared" si="49"/>
        <v>0</v>
      </c>
      <c r="L40" s="59">
        <f t="shared" si="49"/>
        <v>0</v>
      </c>
      <c r="M40" s="59">
        <f t="shared" si="49"/>
        <v>0</v>
      </c>
      <c r="N40" s="59">
        <f t="shared" si="49"/>
        <v>0</v>
      </c>
      <c r="O40" s="59">
        <f t="shared" si="49"/>
        <v>0</v>
      </c>
      <c r="P40" s="59">
        <f t="shared" si="49"/>
        <v>0</v>
      </c>
      <c r="Q40" s="59">
        <f t="shared" si="49"/>
        <v>0</v>
      </c>
      <c r="R40" s="59">
        <f t="shared" si="49"/>
        <v>0</v>
      </c>
      <c r="S40" s="59">
        <f t="shared" si="49"/>
        <v>0</v>
      </c>
      <c r="T40" s="59">
        <f t="shared" si="49"/>
        <v>0</v>
      </c>
      <c r="U40" s="59">
        <f t="shared" si="49"/>
        <v>0</v>
      </c>
      <c r="V40" s="59">
        <f t="shared" si="49"/>
        <v>0</v>
      </c>
      <c r="W40" s="59">
        <f t="shared" si="49"/>
        <v>0</v>
      </c>
      <c r="X40" s="59">
        <f t="shared" si="49"/>
        <v>0</v>
      </c>
      <c r="Y40" s="59">
        <f t="shared" si="49"/>
        <v>0</v>
      </c>
      <c r="Z40" s="59">
        <f t="shared" si="49"/>
        <v>0</v>
      </c>
      <c r="AA40" s="59">
        <f t="shared" si="49"/>
        <v>0</v>
      </c>
      <c r="AB40" s="59">
        <f t="shared" si="49"/>
        <v>0</v>
      </c>
      <c r="AC40" s="59">
        <f t="shared" si="49"/>
        <v>0</v>
      </c>
      <c r="AD40" s="59">
        <f t="shared" si="49"/>
        <v>0</v>
      </c>
      <c r="AE40" s="59">
        <f t="shared" si="49"/>
        <v>0</v>
      </c>
      <c r="AF40" s="59">
        <f t="shared" si="49"/>
        <v>0</v>
      </c>
      <c r="AG40" s="59">
        <f t="shared" si="49"/>
        <v>0</v>
      </c>
      <c r="AH40" s="59">
        <f t="shared" si="49"/>
        <v>0</v>
      </c>
      <c r="AI40" s="59">
        <f t="shared" si="49"/>
        <v>0</v>
      </c>
      <c r="AJ40" s="59">
        <f t="shared" si="49"/>
        <v>0</v>
      </c>
      <c r="AK40" s="59">
        <f t="shared" ref="AK40:BP40" si="50">IF(MAX(AK68+AK37,0)&gt;=MAX(AK67+AK36,0),
   MIN(AK38,MAX(AK68+AK37,0)),
   MAX(AK38-MAX(AK67+AK36,0),0))</f>
        <v>0</v>
      </c>
      <c r="AL40" s="59">
        <f t="shared" si="50"/>
        <v>0</v>
      </c>
      <c r="AM40" s="59">
        <f t="shared" si="50"/>
        <v>0</v>
      </c>
      <c r="AN40" s="59">
        <f t="shared" si="50"/>
        <v>0</v>
      </c>
      <c r="AO40" s="59">
        <f t="shared" si="50"/>
        <v>0</v>
      </c>
      <c r="AP40" s="59">
        <f t="shared" si="50"/>
        <v>0</v>
      </c>
      <c r="AQ40" s="59">
        <f t="shared" si="50"/>
        <v>0</v>
      </c>
      <c r="AR40" s="59">
        <f t="shared" si="50"/>
        <v>0</v>
      </c>
      <c r="AS40" s="59">
        <f t="shared" si="50"/>
        <v>0</v>
      </c>
      <c r="AT40" s="59">
        <f t="shared" si="50"/>
        <v>0</v>
      </c>
      <c r="AU40" s="59">
        <f t="shared" si="50"/>
        <v>0</v>
      </c>
      <c r="AV40" s="59">
        <f t="shared" si="50"/>
        <v>0</v>
      </c>
      <c r="AW40" s="59">
        <f t="shared" si="50"/>
        <v>0</v>
      </c>
      <c r="AX40" s="59">
        <f t="shared" si="50"/>
        <v>0</v>
      </c>
      <c r="AY40" s="59">
        <f t="shared" si="50"/>
        <v>0</v>
      </c>
      <c r="AZ40" s="59">
        <f t="shared" si="50"/>
        <v>0</v>
      </c>
      <c r="BA40" s="59">
        <f t="shared" si="50"/>
        <v>0</v>
      </c>
      <c r="BB40" s="59">
        <f t="shared" si="50"/>
        <v>0</v>
      </c>
      <c r="BC40" s="59">
        <f t="shared" si="50"/>
        <v>0</v>
      </c>
      <c r="BD40" s="59">
        <f t="shared" si="50"/>
        <v>0</v>
      </c>
      <c r="BE40" s="59">
        <f t="shared" si="50"/>
        <v>0</v>
      </c>
      <c r="BF40" s="59">
        <f t="shared" si="50"/>
        <v>0</v>
      </c>
      <c r="BG40" s="59">
        <f t="shared" si="50"/>
        <v>0</v>
      </c>
      <c r="BH40" s="59">
        <f t="shared" si="50"/>
        <v>0</v>
      </c>
      <c r="BI40" s="59">
        <f t="shared" si="50"/>
        <v>0</v>
      </c>
      <c r="BJ40" s="59">
        <f t="shared" si="50"/>
        <v>0</v>
      </c>
      <c r="BK40" s="59">
        <f t="shared" si="50"/>
        <v>0</v>
      </c>
      <c r="BL40" s="59">
        <f t="shared" si="50"/>
        <v>0</v>
      </c>
      <c r="BM40" s="59">
        <f t="shared" si="50"/>
        <v>0</v>
      </c>
      <c r="BN40" s="59">
        <f t="shared" si="50"/>
        <v>0</v>
      </c>
      <c r="BO40" s="59">
        <f t="shared" si="50"/>
        <v>0</v>
      </c>
      <c r="BP40" s="59">
        <f t="shared" si="50"/>
        <v>0</v>
      </c>
      <c r="BQ40" s="59">
        <f t="shared" ref="BQ40:CV40" si="51">IF(MAX(BQ68+BQ37,0)&gt;=MAX(BQ67+BQ36,0),
   MIN(BQ38,MAX(BQ68+BQ37,0)),
   MAX(BQ38-MAX(BQ67+BQ36,0),0))</f>
        <v>0</v>
      </c>
      <c r="BR40" s="59">
        <f t="shared" si="51"/>
        <v>0</v>
      </c>
      <c r="BS40" s="59">
        <f t="shared" si="51"/>
        <v>0</v>
      </c>
      <c r="BT40" s="59">
        <f t="shared" si="51"/>
        <v>0</v>
      </c>
      <c r="BU40" s="59">
        <f t="shared" si="51"/>
        <v>0</v>
      </c>
      <c r="BV40" s="59">
        <f t="shared" si="51"/>
        <v>0</v>
      </c>
      <c r="BW40" s="59">
        <f t="shared" si="51"/>
        <v>0</v>
      </c>
      <c r="BX40" s="59">
        <f t="shared" si="51"/>
        <v>0</v>
      </c>
      <c r="BY40" s="59">
        <f t="shared" si="51"/>
        <v>0</v>
      </c>
      <c r="BZ40" s="59">
        <f t="shared" si="51"/>
        <v>0</v>
      </c>
      <c r="CA40" s="59">
        <f t="shared" si="51"/>
        <v>0</v>
      </c>
      <c r="CB40" s="59">
        <f t="shared" si="51"/>
        <v>0</v>
      </c>
      <c r="CC40" s="59">
        <f t="shared" si="51"/>
        <v>0</v>
      </c>
      <c r="CD40" s="59">
        <f t="shared" si="51"/>
        <v>0</v>
      </c>
      <c r="CE40" s="59">
        <f t="shared" si="51"/>
        <v>0</v>
      </c>
      <c r="CF40" s="59">
        <f t="shared" si="51"/>
        <v>0</v>
      </c>
      <c r="CG40" s="59">
        <f t="shared" si="51"/>
        <v>0</v>
      </c>
      <c r="CH40" s="59">
        <f t="shared" si="51"/>
        <v>0</v>
      </c>
      <c r="CI40" s="59">
        <f t="shared" si="51"/>
        <v>0</v>
      </c>
      <c r="CJ40" s="59">
        <f t="shared" si="51"/>
        <v>0</v>
      </c>
      <c r="CK40" s="59">
        <f t="shared" si="51"/>
        <v>0</v>
      </c>
      <c r="CL40" s="59">
        <f t="shared" si="51"/>
        <v>0</v>
      </c>
      <c r="CM40" s="59">
        <f t="shared" si="51"/>
        <v>0</v>
      </c>
      <c r="CN40" s="59">
        <f t="shared" si="51"/>
        <v>0</v>
      </c>
      <c r="CO40" s="59">
        <f t="shared" si="51"/>
        <v>0</v>
      </c>
      <c r="CP40" s="59">
        <f t="shared" si="51"/>
        <v>0</v>
      </c>
      <c r="CQ40" s="59">
        <f t="shared" si="51"/>
        <v>0</v>
      </c>
      <c r="CR40" s="59">
        <f t="shared" si="51"/>
        <v>0</v>
      </c>
      <c r="CS40" s="59">
        <f t="shared" si="51"/>
        <v>0</v>
      </c>
      <c r="CT40" s="59">
        <f t="shared" si="51"/>
        <v>0</v>
      </c>
      <c r="CU40" s="59">
        <f t="shared" si="51"/>
        <v>0</v>
      </c>
      <c r="CV40" s="59">
        <f t="shared" si="51"/>
        <v>0</v>
      </c>
      <c r="CW40" s="59">
        <f t="shared" ref="CW40:DU40" si="52">IF(MAX(CW68+CW37,0)&gt;=MAX(CW67+CW36,0),
   MIN(CW38,MAX(CW68+CW37,0)),
   MAX(CW38-MAX(CW67+CW36,0),0))</f>
        <v>0</v>
      </c>
      <c r="CX40" s="59">
        <f t="shared" si="52"/>
        <v>0</v>
      </c>
      <c r="CY40" s="59">
        <f t="shared" si="52"/>
        <v>0</v>
      </c>
      <c r="CZ40" s="59">
        <f t="shared" si="52"/>
        <v>0</v>
      </c>
      <c r="DA40" s="59">
        <f t="shared" si="52"/>
        <v>0</v>
      </c>
      <c r="DB40" s="59">
        <f t="shared" si="52"/>
        <v>0</v>
      </c>
      <c r="DC40" s="59">
        <f t="shared" si="52"/>
        <v>0</v>
      </c>
      <c r="DD40" s="59">
        <f t="shared" si="52"/>
        <v>0</v>
      </c>
      <c r="DE40" s="59">
        <f t="shared" si="52"/>
        <v>0</v>
      </c>
      <c r="DF40" s="59">
        <f t="shared" si="52"/>
        <v>0</v>
      </c>
      <c r="DG40" s="59">
        <f t="shared" si="52"/>
        <v>0</v>
      </c>
      <c r="DH40" s="59">
        <f t="shared" si="52"/>
        <v>0</v>
      </c>
      <c r="DI40" s="59">
        <f t="shared" si="52"/>
        <v>0</v>
      </c>
      <c r="DJ40" s="59">
        <f t="shared" si="52"/>
        <v>0</v>
      </c>
      <c r="DK40" s="59">
        <f t="shared" si="52"/>
        <v>0</v>
      </c>
      <c r="DL40" s="59">
        <f t="shared" si="52"/>
        <v>0</v>
      </c>
      <c r="DM40" s="59">
        <f t="shared" si="52"/>
        <v>0</v>
      </c>
      <c r="DN40" s="59">
        <f t="shared" si="52"/>
        <v>0</v>
      </c>
      <c r="DO40" s="59">
        <f t="shared" si="52"/>
        <v>0</v>
      </c>
      <c r="DP40" s="59">
        <f t="shared" si="52"/>
        <v>0</v>
      </c>
      <c r="DQ40" s="59">
        <f t="shared" si="52"/>
        <v>0</v>
      </c>
      <c r="DR40" s="59">
        <f t="shared" si="52"/>
        <v>0</v>
      </c>
      <c r="DS40" s="59">
        <f t="shared" si="52"/>
        <v>0</v>
      </c>
      <c r="DT40" s="59">
        <f t="shared" si="52"/>
        <v>0</v>
      </c>
      <c r="DU40" s="60">
        <f t="shared" si="52"/>
        <v>0</v>
      </c>
    </row>
    <row r="41" spans="2:125" x14ac:dyDescent="0.4">
      <c r="B41" s="74"/>
      <c r="C41" s="55"/>
      <c r="D41" s="62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60"/>
    </row>
    <row r="42" spans="2:125" x14ac:dyDescent="0.4">
      <c r="B42" s="74" t="s">
        <v>95</v>
      </c>
      <c r="C42" s="55"/>
      <c r="D42" s="62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60"/>
    </row>
    <row r="43" spans="2:125" s="4" customFormat="1" x14ac:dyDescent="0.4">
      <c r="B43" s="81"/>
      <c r="C43" s="75" t="s">
        <v>109</v>
      </c>
      <c r="D43" s="89"/>
      <c r="E43" s="90">
        <f>SUM(E44:E45)</f>
        <v>-85983.333333333328</v>
      </c>
      <c r="F43" s="90">
        <f t="shared" ref="F43:BQ43" si="53">SUM(F44:F45)</f>
        <v>-83078.138888888905</v>
      </c>
      <c r="G43" s="90">
        <f t="shared" si="53"/>
        <v>-80178.524675925917</v>
      </c>
      <c r="H43" s="90">
        <f t="shared" si="53"/>
        <v>-77284.157108061743</v>
      </c>
      <c r="I43" s="90">
        <f t="shared" si="53"/>
        <v>-74394.702733832193</v>
      </c>
      <c r="J43" s="90">
        <f t="shared" si="53"/>
        <v>-71509.828197595591</v>
      </c>
      <c r="K43" s="90">
        <f t="shared" si="53"/>
        <v>-68629.200200391031</v>
      </c>
      <c r="L43" s="90">
        <f t="shared" si="53"/>
        <v>-65752.485460746801</v>
      </c>
      <c r="M43" s="90">
        <f t="shared" si="53"/>
        <v>-62879.350675434056</v>
      </c>
      <c r="N43" s="90">
        <f t="shared" si="53"/>
        <v>-60009.462480161128</v>
      </c>
      <c r="O43" s="90">
        <f t="shared" si="53"/>
        <v>-57142.487410203525</v>
      </c>
      <c r="P43" s="90">
        <f t="shared" si="53"/>
        <v>-54278.091860965229</v>
      </c>
      <c r="Q43" s="90">
        <f t="shared" si="53"/>
        <v>-51415.942048466299</v>
      </c>
      <c r="R43" s="90">
        <f t="shared" si="53"/>
        <v>-48555.703969752081</v>
      </c>
      <c r="S43" s="90">
        <f t="shared" si="53"/>
        <v>-45697.043363219243</v>
      </c>
      <c r="T43" s="90">
        <f t="shared" si="53"/>
        <v>-42839.625668853943</v>
      </c>
      <c r="U43" s="90">
        <f t="shared" si="53"/>
        <v>-39983.115988377103</v>
      </c>
      <c r="V43" s="90">
        <f t="shared" si="53"/>
        <v>-37127.179045292163</v>
      </c>
      <c r="W43" s="90">
        <f t="shared" si="53"/>
        <v>-34271.479144830359</v>
      </c>
      <c r="X43" s="90">
        <f t="shared" si="53"/>
        <v>-31415.680133788661</v>
      </c>
      <c r="Y43" s="90">
        <f t="shared" si="53"/>
        <v>-28559.44536025557</v>
      </c>
      <c r="Z43" s="90">
        <f t="shared" si="53"/>
        <v>-25702.437633219703</v>
      </c>
      <c r="AA43" s="90">
        <f t="shared" si="53"/>
        <v>-22844.319182056432</v>
      </c>
      <c r="AB43" s="90">
        <f t="shared" si="53"/>
        <v>-19984.75161588745</v>
      </c>
      <c r="AC43" s="90">
        <f t="shared" si="53"/>
        <v>-17123.395882808425</v>
      </c>
      <c r="AD43" s="90">
        <f t="shared" si="53"/>
        <v>-14259.912228979647</v>
      </c>
      <c r="AE43" s="90">
        <f t="shared" si="53"/>
        <v>-11393.960157574729</v>
      </c>
      <c r="AF43" s="90">
        <f t="shared" si="53"/>
        <v>-8525.1983875822571</v>
      </c>
      <c r="AG43" s="90">
        <f t="shared" si="53"/>
        <v>-5653.2848124553648</v>
      </c>
      <c r="AH43" s="90">
        <f t="shared" si="53"/>
        <v>-2777.8764586041111</v>
      </c>
      <c r="AI43" s="90">
        <f t="shared" si="53"/>
        <v>0</v>
      </c>
      <c r="AJ43" s="90">
        <f t="shared" si="53"/>
        <v>0</v>
      </c>
      <c r="AK43" s="90">
        <f t="shared" si="53"/>
        <v>0</v>
      </c>
      <c r="AL43" s="90">
        <f t="shared" si="53"/>
        <v>0</v>
      </c>
      <c r="AM43" s="90">
        <f t="shared" si="53"/>
        <v>0</v>
      </c>
      <c r="AN43" s="90">
        <f t="shared" si="53"/>
        <v>0</v>
      </c>
      <c r="AO43" s="90">
        <f t="shared" si="53"/>
        <v>0</v>
      </c>
      <c r="AP43" s="90">
        <f t="shared" si="53"/>
        <v>0</v>
      </c>
      <c r="AQ43" s="90">
        <f t="shared" si="53"/>
        <v>0</v>
      </c>
      <c r="AR43" s="90">
        <f t="shared" si="53"/>
        <v>0</v>
      </c>
      <c r="AS43" s="90">
        <f t="shared" si="53"/>
        <v>0</v>
      </c>
      <c r="AT43" s="90">
        <f t="shared" si="53"/>
        <v>0</v>
      </c>
      <c r="AU43" s="90">
        <f t="shared" si="53"/>
        <v>0</v>
      </c>
      <c r="AV43" s="90">
        <f t="shared" si="53"/>
        <v>0</v>
      </c>
      <c r="AW43" s="90">
        <f t="shared" si="53"/>
        <v>0</v>
      </c>
      <c r="AX43" s="90">
        <f t="shared" si="53"/>
        <v>0</v>
      </c>
      <c r="AY43" s="90">
        <f t="shared" si="53"/>
        <v>0</v>
      </c>
      <c r="AZ43" s="90">
        <f t="shared" si="53"/>
        <v>0</v>
      </c>
      <c r="BA43" s="90">
        <f t="shared" si="53"/>
        <v>0</v>
      </c>
      <c r="BB43" s="90">
        <f t="shared" si="53"/>
        <v>0</v>
      </c>
      <c r="BC43" s="90">
        <f t="shared" si="53"/>
        <v>0</v>
      </c>
      <c r="BD43" s="90">
        <f t="shared" si="53"/>
        <v>0</v>
      </c>
      <c r="BE43" s="90">
        <f t="shared" si="53"/>
        <v>0</v>
      </c>
      <c r="BF43" s="90">
        <f t="shared" si="53"/>
        <v>0</v>
      </c>
      <c r="BG43" s="90">
        <f t="shared" si="53"/>
        <v>0</v>
      </c>
      <c r="BH43" s="90">
        <f t="shared" si="53"/>
        <v>0</v>
      </c>
      <c r="BI43" s="90">
        <f t="shared" si="53"/>
        <v>0</v>
      </c>
      <c r="BJ43" s="90">
        <f t="shared" si="53"/>
        <v>0</v>
      </c>
      <c r="BK43" s="90">
        <f t="shared" si="53"/>
        <v>0</v>
      </c>
      <c r="BL43" s="90">
        <f t="shared" si="53"/>
        <v>0</v>
      </c>
      <c r="BM43" s="90">
        <f t="shared" si="53"/>
        <v>0</v>
      </c>
      <c r="BN43" s="90">
        <f t="shared" si="53"/>
        <v>0</v>
      </c>
      <c r="BO43" s="90">
        <f t="shared" si="53"/>
        <v>0</v>
      </c>
      <c r="BP43" s="90">
        <f t="shared" si="53"/>
        <v>0</v>
      </c>
      <c r="BQ43" s="90">
        <f t="shared" si="53"/>
        <v>0</v>
      </c>
      <c r="BR43" s="90">
        <f t="shared" ref="BR43:DU43" si="54">SUM(BR44:BR45)</f>
        <v>0</v>
      </c>
      <c r="BS43" s="90">
        <f t="shared" si="54"/>
        <v>0</v>
      </c>
      <c r="BT43" s="90">
        <f t="shared" si="54"/>
        <v>0</v>
      </c>
      <c r="BU43" s="90">
        <f t="shared" si="54"/>
        <v>0</v>
      </c>
      <c r="BV43" s="90">
        <f t="shared" si="54"/>
        <v>0</v>
      </c>
      <c r="BW43" s="90">
        <f t="shared" si="54"/>
        <v>0</v>
      </c>
      <c r="BX43" s="90">
        <f t="shared" si="54"/>
        <v>0</v>
      </c>
      <c r="BY43" s="90">
        <f t="shared" si="54"/>
        <v>0</v>
      </c>
      <c r="BZ43" s="90">
        <f t="shared" si="54"/>
        <v>0</v>
      </c>
      <c r="CA43" s="90">
        <f t="shared" si="54"/>
        <v>0</v>
      </c>
      <c r="CB43" s="90">
        <f t="shared" si="54"/>
        <v>0</v>
      </c>
      <c r="CC43" s="90">
        <f t="shared" si="54"/>
        <v>0</v>
      </c>
      <c r="CD43" s="90">
        <f t="shared" si="54"/>
        <v>0</v>
      </c>
      <c r="CE43" s="90">
        <f t="shared" si="54"/>
        <v>0</v>
      </c>
      <c r="CF43" s="90">
        <f t="shared" si="54"/>
        <v>0</v>
      </c>
      <c r="CG43" s="90">
        <f t="shared" si="54"/>
        <v>0</v>
      </c>
      <c r="CH43" s="90">
        <f t="shared" si="54"/>
        <v>0</v>
      </c>
      <c r="CI43" s="90">
        <f t="shared" si="54"/>
        <v>0</v>
      </c>
      <c r="CJ43" s="90">
        <f t="shared" si="54"/>
        <v>0</v>
      </c>
      <c r="CK43" s="90">
        <f t="shared" si="54"/>
        <v>0</v>
      </c>
      <c r="CL43" s="90">
        <f t="shared" si="54"/>
        <v>0</v>
      </c>
      <c r="CM43" s="90">
        <f t="shared" si="54"/>
        <v>0</v>
      </c>
      <c r="CN43" s="90">
        <f t="shared" si="54"/>
        <v>0</v>
      </c>
      <c r="CO43" s="90">
        <f t="shared" si="54"/>
        <v>0</v>
      </c>
      <c r="CP43" s="90">
        <f t="shared" si="54"/>
        <v>0</v>
      </c>
      <c r="CQ43" s="90">
        <f t="shared" si="54"/>
        <v>0</v>
      </c>
      <c r="CR43" s="90">
        <f t="shared" si="54"/>
        <v>0</v>
      </c>
      <c r="CS43" s="90">
        <f t="shared" si="54"/>
        <v>0</v>
      </c>
      <c r="CT43" s="90">
        <f t="shared" si="54"/>
        <v>0</v>
      </c>
      <c r="CU43" s="90">
        <f t="shared" si="54"/>
        <v>0</v>
      </c>
      <c r="CV43" s="90">
        <f t="shared" si="54"/>
        <v>0</v>
      </c>
      <c r="CW43" s="90">
        <f t="shared" si="54"/>
        <v>0</v>
      </c>
      <c r="CX43" s="90">
        <f t="shared" si="54"/>
        <v>0</v>
      </c>
      <c r="CY43" s="90">
        <f t="shared" si="54"/>
        <v>0</v>
      </c>
      <c r="CZ43" s="90">
        <f t="shared" si="54"/>
        <v>0</v>
      </c>
      <c r="DA43" s="90">
        <f t="shared" si="54"/>
        <v>0</v>
      </c>
      <c r="DB43" s="90">
        <f t="shared" si="54"/>
        <v>0</v>
      </c>
      <c r="DC43" s="90">
        <f t="shared" si="54"/>
        <v>0</v>
      </c>
      <c r="DD43" s="90">
        <f t="shared" si="54"/>
        <v>0</v>
      </c>
      <c r="DE43" s="90">
        <f t="shared" si="54"/>
        <v>0</v>
      </c>
      <c r="DF43" s="90">
        <f t="shared" si="54"/>
        <v>0</v>
      </c>
      <c r="DG43" s="90">
        <f t="shared" si="54"/>
        <v>0</v>
      </c>
      <c r="DH43" s="90">
        <f t="shared" si="54"/>
        <v>0</v>
      </c>
      <c r="DI43" s="90">
        <f t="shared" si="54"/>
        <v>0</v>
      </c>
      <c r="DJ43" s="90">
        <f t="shared" si="54"/>
        <v>0</v>
      </c>
      <c r="DK43" s="90">
        <f t="shared" si="54"/>
        <v>0</v>
      </c>
      <c r="DL43" s="90">
        <f t="shared" si="54"/>
        <v>0</v>
      </c>
      <c r="DM43" s="90">
        <f t="shared" si="54"/>
        <v>0</v>
      </c>
      <c r="DN43" s="90">
        <f t="shared" si="54"/>
        <v>0</v>
      </c>
      <c r="DO43" s="90">
        <f t="shared" si="54"/>
        <v>0</v>
      </c>
      <c r="DP43" s="90">
        <f t="shared" si="54"/>
        <v>0</v>
      </c>
      <c r="DQ43" s="90">
        <f t="shared" si="54"/>
        <v>0</v>
      </c>
      <c r="DR43" s="90">
        <f t="shared" si="54"/>
        <v>0</v>
      </c>
      <c r="DS43" s="90">
        <f t="shared" si="54"/>
        <v>0</v>
      </c>
      <c r="DT43" s="90">
        <f t="shared" si="54"/>
        <v>0</v>
      </c>
      <c r="DU43" s="88">
        <f t="shared" si="54"/>
        <v>0</v>
      </c>
    </row>
    <row r="44" spans="2:125" x14ac:dyDescent="0.4">
      <c r="B44" s="39"/>
      <c r="C44" s="55" t="s">
        <v>60</v>
      </c>
      <c r="D44" s="80"/>
      <c r="E44" s="59">
        <f>-D67*(Assumptions!$K$22/12)</f>
        <v>-77000</v>
      </c>
      <c r="F44" s="59">
        <f>-E67*(Assumptions!$K$22/12)</f>
        <v>-74398.333333333343</v>
      </c>
      <c r="G44" s="59">
        <f>-F67*(Assumptions!$K$22/12)</f>
        <v>-71801.663888888885</v>
      </c>
      <c r="H44" s="59">
        <f>-G67*(Assumptions!$K$22/12)</f>
        <v>-69209.692932592603</v>
      </c>
      <c r="I44" s="59">
        <f>-H67*(Assumptions!$K$22/12)</f>
        <v>-66622.121851193006</v>
      </c>
      <c r="J44" s="59">
        <f>-I67*(Assumptions!$K$22/12)</f>
        <v>-64038.652117249789</v>
      </c>
      <c r="K44" s="59">
        <f>-J67*(Assumptions!$K$22/12)</f>
        <v>-61458.985254081519</v>
      </c>
      <c r="L44" s="59">
        <f>-K67*(Assumptions!$K$22/12)</f>
        <v>-58882.822800668771</v>
      </c>
      <c r="M44" s="59">
        <f>-L67*(Assumptions!$K$22/12)</f>
        <v>-56309.86627650811</v>
      </c>
      <c r="N44" s="59">
        <f>-M67*(Assumptions!$K$22/12)</f>
        <v>-53739.817146412948</v>
      </c>
      <c r="O44" s="59">
        <f>-N67*(Assumptions!$K$22/12)</f>
        <v>-51172.376785256885</v>
      </c>
      <c r="P44" s="59">
        <f>-O67*(Assumptions!$K$22/12)</f>
        <v>-48607.246442655429</v>
      </c>
      <c r="Q44" s="59">
        <f>-P67*(Assumptions!$K$22/12)</f>
        <v>-46044.127207581761</v>
      </c>
      <c r="R44" s="59">
        <f>-Q67*(Assumptions!$K$22/12)</f>
        <v>-43482.719972912309</v>
      </c>
      <c r="S44" s="59">
        <f>-R67*(Assumptions!$K$22/12)</f>
        <v>-40922.725399897827</v>
      </c>
      <c r="T44" s="59">
        <f>-S67*(Assumptions!$K$22/12)</f>
        <v>-38363.843882555768</v>
      </c>
      <c r="U44" s="59">
        <f>-T67*(Assumptions!$K$22/12)</f>
        <v>-35805.775511979497</v>
      </c>
      <c r="V44" s="59">
        <f>-U67*(Assumptions!$K$22/12)</f>
        <v>-33248.220040560147</v>
      </c>
      <c r="W44" s="59">
        <f>-V67*(Assumptions!$K$22/12)</f>
        <v>-30690.876846116735</v>
      </c>
      <c r="X44" s="59">
        <f>-W67*(Assumptions!$K$22/12)</f>
        <v>-28133.444895930144</v>
      </c>
      <c r="Y44" s="59">
        <f>-X67*(Assumptions!$K$22/12)</f>
        <v>-25575.622710676627</v>
      </c>
      <c r="Z44" s="59">
        <f>-Y67*(Assumptions!$K$22/12)</f>
        <v>-23017.10832825645</v>
      </c>
      <c r="AA44" s="59">
        <f>-Z67*(Assumptions!$K$22/12)</f>
        <v>-20457.599267513222</v>
      </c>
      <c r="AB44" s="59">
        <f>-AA67*(Assumptions!$K$22/12)</f>
        <v>-17896.792491839507</v>
      </c>
      <c r="AC44" s="59">
        <f>-AB67*(Assumptions!$K$22/12)</f>
        <v>-15334.384372664261</v>
      </c>
      <c r="AD44" s="59">
        <f>-AC67*(Assumptions!$K$22/12)</f>
        <v>-12770.070652817594</v>
      </c>
      <c r="AE44" s="59">
        <f>-AD67*(Assumptions!$K$22/12)</f>
        <v>-10203.546409768414</v>
      </c>
      <c r="AF44" s="59">
        <f>-AE67*(Assumptions!$K$22/12)</f>
        <v>-7634.5060187303789</v>
      </c>
      <c r="AG44" s="59">
        <f>-AF67*(Assumptions!$K$22/12)</f>
        <v>-5062.6431156316694</v>
      </c>
      <c r="AH44" s="59">
        <f>-AG67*(Assumptions!$K$22/12)</f>
        <v>-2487.6505599439793</v>
      </c>
      <c r="AI44" s="59">
        <f>-AH67*(Assumptions!$K$22/12)</f>
        <v>0</v>
      </c>
      <c r="AJ44" s="59">
        <f>-AI67*(Assumptions!$K$22/12)</f>
        <v>0</v>
      </c>
      <c r="AK44" s="59">
        <f>-AJ67*(Assumptions!$K$22/12)</f>
        <v>0</v>
      </c>
      <c r="AL44" s="59">
        <f>-AK67*(Assumptions!$K$22/12)</f>
        <v>0</v>
      </c>
      <c r="AM44" s="59">
        <f>-AL67*(Assumptions!$K$22/12)</f>
        <v>0</v>
      </c>
      <c r="AN44" s="59">
        <f>-AM67*(Assumptions!$K$22/12)</f>
        <v>0</v>
      </c>
      <c r="AO44" s="59">
        <f>-AN67*(Assumptions!$K$22/12)</f>
        <v>0</v>
      </c>
      <c r="AP44" s="59">
        <f>-AO67*(Assumptions!$K$22/12)</f>
        <v>0</v>
      </c>
      <c r="AQ44" s="59">
        <f>-AP67*(Assumptions!$K$22/12)</f>
        <v>0</v>
      </c>
      <c r="AR44" s="59">
        <f>-AQ67*(Assumptions!$K$22/12)</f>
        <v>0</v>
      </c>
      <c r="AS44" s="59">
        <f>-AR67*(Assumptions!$K$22/12)</f>
        <v>0</v>
      </c>
      <c r="AT44" s="59">
        <f>-AS67*(Assumptions!$K$22/12)</f>
        <v>0</v>
      </c>
      <c r="AU44" s="59">
        <f>-AT67*(Assumptions!$K$22/12)</f>
        <v>0</v>
      </c>
      <c r="AV44" s="59">
        <f>-AU67*(Assumptions!$K$22/12)</f>
        <v>0</v>
      </c>
      <c r="AW44" s="59">
        <f>-AV67*(Assumptions!$K$22/12)</f>
        <v>0</v>
      </c>
      <c r="AX44" s="59">
        <f>-AW67*(Assumptions!$K$22/12)</f>
        <v>0</v>
      </c>
      <c r="AY44" s="59">
        <f>-AX67*(Assumptions!$K$22/12)</f>
        <v>0</v>
      </c>
      <c r="AZ44" s="59">
        <f>-AY67*(Assumptions!$K$22/12)</f>
        <v>0</v>
      </c>
      <c r="BA44" s="59">
        <f>-AZ67*(Assumptions!$K$22/12)</f>
        <v>0</v>
      </c>
      <c r="BB44" s="59">
        <f>-BA67*(Assumptions!$K$22/12)</f>
        <v>0</v>
      </c>
      <c r="BC44" s="59">
        <f>-BB67*(Assumptions!$K$22/12)</f>
        <v>0</v>
      </c>
      <c r="BD44" s="59">
        <f>-BC67*(Assumptions!$K$22/12)</f>
        <v>0</v>
      </c>
      <c r="BE44" s="59">
        <f>-BD67*(Assumptions!$K$22/12)</f>
        <v>0</v>
      </c>
      <c r="BF44" s="59">
        <f>-BE67*(Assumptions!$K$22/12)</f>
        <v>0</v>
      </c>
      <c r="BG44" s="59">
        <f>-BF67*(Assumptions!$K$22/12)</f>
        <v>0</v>
      </c>
      <c r="BH44" s="59">
        <f>-BG67*(Assumptions!$K$22/12)</f>
        <v>0</v>
      </c>
      <c r="BI44" s="59">
        <f>-BH67*(Assumptions!$K$22/12)</f>
        <v>0</v>
      </c>
      <c r="BJ44" s="59">
        <f>-BI67*(Assumptions!$K$22/12)</f>
        <v>0</v>
      </c>
      <c r="BK44" s="59">
        <f>-BJ67*(Assumptions!$K$22/12)</f>
        <v>0</v>
      </c>
      <c r="BL44" s="59">
        <f>-BK67*(Assumptions!$K$22/12)</f>
        <v>0</v>
      </c>
      <c r="BM44" s="59">
        <f>-BL67*(Assumptions!$K$22/12)</f>
        <v>0</v>
      </c>
      <c r="BN44" s="59">
        <f>-BM67*(Assumptions!$K$22/12)</f>
        <v>0</v>
      </c>
      <c r="BO44" s="59">
        <f>-BN67*(Assumptions!$K$22/12)</f>
        <v>0</v>
      </c>
      <c r="BP44" s="59">
        <f>-BO67*(Assumptions!$K$22/12)</f>
        <v>0</v>
      </c>
      <c r="BQ44" s="59">
        <f>-BP67*(Assumptions!$K$22/12)</f>
        <v>0</v>
      </c>
      <c r="BR44" s="59">
        <f>-BQ67*(Assumptions!$K$22/12)</f>
        <v>0</v>
      </c>
      <c r="BS44" s="59">
        <f>-BR67*(Assumptions!$K$22/12)</f>
        <v>0</v>
      </c>
      <c r="BT44" s="59">
        <f>-BS67*(Assumptions!$K$22/12)</f>
        <v>0</v>
      </c>
      <c r="BU44" s="59">
        <f>-BT67*(Assumptions!$K$22/12)</f>
        <v>0</v>
      </c>
      <c r="BV44" s="59">
        <f>-BU67*(Assumptions!$K$22/12)</f>
        <v>0</v>
      </c>
      <c r="BW44" s="59">
        <f>-BV67*(Assumptions!$K$22/12)</f>
        <v>0</v>
      </c>
      <c r="BX44" s="59">
        <f>-BW67*(Assumptions!$K$22/12)</f>
        <v>0</v>
      </c>
      <c r="BY44" s="59">
        <f>-BX67*(Assumptions!$K$22/12)</f>
        <v>0</v>
      </c>
      <c r="BZ44" s="59">
        <f>-BY67*(Assumptions!$K$22/12)</f>
        <v>0</v>
      </c>
      <c r="CA44" s="59">
        <f>-BZ67*(Assumptions!$K$22/12)</f>
        <v>0</v>
      </c>
      <c r="CB44" s="59">
        <f>-CA67*(Assumptions!$K$22/12)</f>
        <v>0</v>
      </c>
      <c r="CC44" s="59">
        <f>-CB67*(Assumptions!$K$22/12)</f>
        <v>0</v>
      </c>
      <c r="CD44" s="59">
        <f>-CC67*(Assumptions!$K$22/12)</f>
        <v>0</v>
      </c>
      <c r="CE44" s="59">
        <f>-CD67*(Assumptions!$K$22/12)</f>
        <v>0</v>
      </c>
      <c r="CF44" s="59">
        <f>-CE67*(Assumptions!$K$22/12)</f>
        <v>0</v>
      </c>
      <c r="CG44" s="59">
        <f>-CF67*(Assumptions!$K$22/12)</f>
        <v>0</v>
      </c>
      <c r="CH44" s="59">
        <f>-CG67*(Assumptions!$K$22/12)</f>
        <v>0</v>
      </c>
      <c r="CI44" s="59">
        <f>-CH67*(Assumptions!$K$22/12)</f>
        <v>0</v>
      </c>
      <c r="CJ44" s="59">
        <f>-CI67*(Assumptions!$K$22/12)</f>
        <v>0</v>
      </c>
      <c r="CK44" s="59">
        <f>-CJ67*(Assumptions!$K$22/12)</f>
        <v>0</v>
      </c>
      <c r="CL44" s="59">
        <f>-CK67*(Assumptions!$K$22/12)</f>
        <v>0</v>
      </c>
      <c r="CM44" s="59">
        <f>-CL67*(Assumptions!$K$22/12)</f>
        <v>0</v>
      </c>
      <c r="CN44" s="59">
        <f>-CM67*(Assumptions!$K$22/12)</f>
        <v>0</v>
      </c>
      <c r="CO44" s="59">
        <f>-CN67*(Assumptions!$K$22/12)</f>
        <v>0</v>
      </c>
      <c r="CP44" s="59">
        <f>-CO67*(Assumptions!$K$22/12)</f>
        <v>0</v>
      </c>
      <c r="CQ44" s="59">
        <f>-CP67*(Assumptions!$K$22/12)</f>
        <v>0</v>
      </c>
      <c r="CR44" s="59">
        <f>-CQ67*(Assumptions!$K$22/12)</f>
        <v>0</v>
      </c>
      <c r="CS44" s="59">
        <f>-CR67*(Assumptions!$K$22/12)</f>
        <v>0</v>
      </c>
      <c r="CT44" s="59">
        <f>-CS67*(Assumptions!$K$22/12)</f>
        <v>0</v>
      </c>
      <c r="CU44" s="59">
        <f>-CT67*(Assumptions!$K$22/12)</f>
        <v>0</v>
      </c>
      <c r="CV44" s="59">
        <f>-CU67*(Assumptions!$K$22/12)</f>
        <v>0</v>
      </c>
      <c r="CW44" s="59">
        <f>-CV67*(Assumptions!$K$22/12)</f>
        <v>0</v>
      </c>
      <c r="CX44" s="59">
        <f>-CW67*(Assumptions!$K$22/12)</f>
        <v>0</v>
      </c>
      <c r="CY44" s="59">
        <f>-CX67*(Assumptions!$K$22/12)</f>
        <v>0</v>
      </c>
      <c r="CZ44" s="59">
        <f>-CY67*(Assumptions!$K$22/12)</f>
        <v>0</v>
      </c>
      <c r="DA44" s="59">
        <f>-CZ67*(Assumptions!$K$22/12)</f>
        <v>0</v>
      </c>
      <c r="DB44" s="59">
        <f>-DA67*(Assumptions!$K$22/12)</f>
        <v>0</v>
      </c>
      <c r="DC44" s="59">
        <f>-DB67*(Assumptions!$K$22/12)</f>
        <v>0</v>
      </c>
      <c r="DD44" s="59">
        <f>-DC67*(Assumptions!$K$22/12)</f>
        <v>0</v>
      </c>
      <c r="DE44" s="59">
        <f>-DD67*(Assumptions!$K$22/12)</f>
        <v>0</v>
      </c>
      <c r="DF44" s="59">
        <f>-DE67*(Assumptions!$K$22/12)</f>
        <v>0</v>
      </c>
      <c r="DG44" s="59">
        <f>-DF67*(Assumptions!$K$22/12)</f>
        <v>0</v>
      </c>
      <c r="DH44" s="59">
        <f>-DG67*(Assumptions!$K$22/12)</f>
        <v>0</v>
      </c>
      <c r="DI44" s="59">
        <f>-DH67*(Assumptions!$K$22/12)</f>
        <v>0</v>
      </c>
      <c r="DJ44" s="59">
        <f>-DI67*(Assumptions!$K$22/12)</f>
        <v>0</v>
      </c>
      <c r="DK44" s="59">
        <f>-DJ67*(Assumptions!$K$22/12)</f>
        <v>0</v>
      </c>
      <c r="DL44" s="59">
        <f>-DK67*(Assumptions!$K$22/12)</f>
        <v>0</v>
      </c>
      <c r="DM44" s="59">
        <f>-DL67*(Assumptions!$K$22/12)</f>
        <v>0</v>
      </c>
      <c r="DN44" s="59">
        <f>-DM67*(Assumptions!$K$22/12)</f>
        <v>0</v>
      </c>
      <c r="DO44" s="59">
        <f>-DN67*(Assumptions!$K$22/12)</f>
        <v>0</v>
      </c>
      <c r="DP44" s="59">
        <f>-DO67*(Assumptions!$K$22/12)</f>
        <v>0</v>
      </c>
      <c r="DQ44" s="59">
        <f>-DP67*(Assumptions!$K$22/12)</f>
        <v>0</v>
      </c>
      <c r="DR44" s="59">
        <f>-DQ67*(Assumptions!$K$22/12)</f>
        <v>0</v>
      </c>
      <c r="DS44" s="59">
        <f>-DR67*(Assumptions!$K$22/12)</f>
        <v>0</v>
      </c>
      <c r="DT44" s="59">
        <f>-DS67*(Assumptions!$K$22/12)</f>
        <v>0</v>
      </c>
      <c r="DU44" s="60">
        <f>-DT67*(Assumptions!$K$22/12)</f>
        <v>0</v>
      </c>
    </row>
    <row r="45" spans="2:125" x14ac:dyDescent="0.4">
      <c r="B45" s="39"/>
      <c r="C45" s="55" t="s">
        <v>61</v>
      </c>
      <c r="D45" s="80"/>
      <c r="E45" s="59">
        <f>-D68*(Assumptions!$L$22/12)</f>
        <v>-8983.3333333333339</v>
      </c>
      <c r="F45" s="59">
        <f>-E68*(Assumptions!$L$22/12)</f>
        <v>-8679.8055555555566</v>
      </c>
      <c r="G45" s="59">
        <f>-F68*(Assumptions!$L$22/12)</f>
        <v>-8376.8607870370379</v>
      </c>
      <c r="H45" s="59">
        <f>-G68*(Assumptions!$L$22/12)</f>
        <v>-8074.4641754691356</v>
      </c>
      <c r="I45" s="59">
        <f>-H68*(Assumptions!$L$22/12)</f>
        <v>-7772.5808826391831</v>
      </c>
      <c r="J45" s="59">
        <f>-I68*(Assumptions!$L$22/12)</f>
        <v>-7471.1760803458073</v>
      </c>
      <c r="K45" s="59">
        <f>-J68*(Assumptions!$L$22/12)</f>
        <v>-7170.2149463095102</v>
      </c>
      <c r="L45" s="59">
        <f>-K68*(Assumptions!$L$22/12)</f>
        <v>-6869.6626600780237</v>
      </c>
      <c r="M45" s="59">
        <f>-L68*(Assumptions!$L$22/12)</f>
        <v>-6569.4843989259471</v>
      </c>
      <c r="N45" s="59">
        <f>-M68*(Assumptions!$L$22/12)</f>
        <v>-6269.6453337481789</v>
      </c>
      <c r="O45" s="59">
        <f>-N68*(Assumptions!$L$22/12)</f>
        <v>-5970.1106249466375</v>
      </c>
      <c r="P45" s="59">
        <f>-O68*(Assumptions!$L$22/12)</f>
        <v>-5670.8454183098011</v>
      </c>
      <c r="Q45" s="59">
        <f>-P68*(Assumptions!$L$22/12)</f>
        <v>-5371.8148408845409</v>
      </c>
      <c r="R45" s="59">
        <f>-Q68*(Assumptions!$L$22/12)</f>
        <v>-5072.983996839771</v>
      </c>
      <c r="S45" s="59">
        <f>-R68*(Assumptions!$L$22/12)</f>
        <v>-4774.3179633214149</v>
      </c>
      <c r="T45" s="59">
        <f>-S68*(Assumptions!$L$22/12)</f>
        <v>-4475.7817862981747</v>
      </c>
      <c r="U45" s="59">
        <f>-T68*(Assumptions!$L$22/12)</f>
        <v>-4177.3404763976096</v>
      </c>
      <c r="V45" s="59">
        <f>-U68*(Assumptions!$L$22/12)</f>
        <v>-3878.9590047320189</v>
      </c>
      <c r="W45" s="59">
        <f>-V68*(Assumptions!$L$22/12)</f>
        <v>-3580.6022987136207</v>
      </c>
      <c r="X45" s="59">
        <f>-W68*(Assumptions!$L$22/12)</f>
        <v>-3282.2352378585178</v>
      </c>
      <c r="Y45" s="59">
        <f>-X68*(Assumptions!$L$22/12)</f>
        <v>-2983.8226495789409</v>
      </c>
      <c r="Z45" s="59">
        <f>-Y68*(Assumptions!$L$22/12)</f>
        <v>-2685.3293049632534</v>
      </c>
      <c r="AA45" s="59">
        <f>-Z68*(Assumptions!$L$22/12)</f>
        <v>-2386.7199145432101</v>
      </c>
      <c r="AB45" s="59">
        <f>-AA68*(Assumptions!$L$22/12)</f>
        <v>-2087.9591240479431</v>
      </c>
      <c r="AC45" s="59">
        <f>-AB68*(Assumptions!$L$22/12)</f>
        <v>-1789.0115101441645</v>
      </c>
      <c r="AD45" s="59">
        <f>-AC68*(Assumptions!$L$22/12)</f>
        <v>-1489.8415761620533</v>
      </c>
      <c r="AE45" s="59">
        <f>-AD68*(Assumptions!$L$22/12)</f>
        <v>-1190.4137478063155</v>
      </c>
      <c r="AF45" s="59">
        <f>-AE68*(Assumptions!$L$22/12)</f>
        <v>-890.69236885187831</v>
      </c>
      <c r="AG45" s="59">
        <f>-AF68*(Assumptions!$L$22/12)</f>
        <v>-590.64169682369561</v>
      </c>
      <c r="AH45" s="59">
        <f>-AG68*(Assumptions!$L$22/12)</f>
        <v>-290.22589866013175</v>
      </c>
      <c r="AI45" s="59">
        <f>-AH68*(Assumptions!$L$22/12)</f>
        <v>0</v>
      </c>
      <c r="AJ45" s="59">
        <f>-AI68*(Assumptions!$L$22/12)</f>
        <v>0</v>
      </c>
      <c r="AK45" s="59">
        <f>-AJ68*(Assumptions!$L$22/12)</f>
        <v>0</v>
      </c>
      <c r="AL45" s="59">
        <f>-AK68*(Assumptions!$L$22/12)</f>
        <v>0</v>
      </c>
      <c r="AM45" s="59">
        <f>-AL68*(Assumptions!$L$22/12)</f>
        <v>0</v>
      </c>
      <c r="AN45" s="59">
        <f>-AM68*(Assumptions!$L$22/12)</f>
        <v>0</v>
      </c>
      <c r="AO45" s="59">
        <f>-AN68*(Assumptions!$L$22/12)</f>
        <v>0</v>
      </c>
      <c r="AP45" s="59">
        <f>-AO68*(Assumptions!$L$22/12)</f>
        <v>0</v>
      </c>
      <c r="AQ45" s="59">
        <f>-AP68*(Assumptions!$L$22/12)</f>
        <v>0</v>
      </c>
      <c r="AR45" s="59">
        <f>-AQ68*(Assumptions!$L$22/12)</f>
        <v>0</v>
      </c>
      <c r="AS45" s="59">
        <f>-AR68*(Assumptions!$L$22/12)</f>
        <v>0</v>
      </c>
      <c r="AT45" s="59">
        <f>-AS68*(Assumptions!$L$22/12)</f>
        <v>0</v>
      </c>
      <c r="AU45" s="59">
        <f>-AT68*(Assumptions!$L$22/12)</f>
        <v>0</v>
      </c>
      <c r="AV45" s="59">
        <f>-AU68*(Assumptions!$L$22/12)</f>
        <v>0</v>
      </c>
      <c r="AW45" s="59">
        <f>-AV68*(Assumptions!$L$22/12)</f>
        <v>0</v>
      </c>
      <c r="AX45" s="59">
        <f>-AW68*(Assumptions!$L$22/12)</f>
        <v>0</v>
      </c>
      <c r="AY45" s="59">
        <f>-AX68*(Assumptions!$L$22/12)</f>
        <v>0</v>
      </c>
      <c r="AZ45" s="59">
        <f>-AY68*(Assumptions!$L$22/12)</f>
        <v>0</v>
      </c>
      <c r="BA45" s="59">
        <f>-AZ68*(Assumptions!$L$22/12)</f>
        <v>0</v>
      </c>
      <c r="BB45" s="59">
        <f>-BA68*(Assumptions!$L$22/12)</f>
        <v>0</v>
      </c>
      <c r="BC45" s="59">
        <f>-BB68*(Assumptions!$L$22/12)</f>
        <v>0</v>
      </c>
      <c r="BD45" s="59">
        <f>-BC68*(Assumptions!$L$22/12)</f>
        <v>0</v>
      </c>
      <c r="BE45" s="59">
        <f>-BD68*(Assumptions!$L$22/12)</f>
        <v>0</v>
      </c>
      <c r="BF45" s="59">
        <f>-BE68*(Assumptions!$L$22/12)</f>
        <v>0</v>
      </c>
      <c r="BG45" s="59">
        <f>-BF68*(Assumptions!$L$22/12)</f>
        <v>0</v>
      </c>
      <c r="BH45" s="59">
        <f>-BG68*(Assumptions!$L$22/12)</f>
        <v>0</v>
      </c>
      <c r="BI45" s="59">
        <f>-BH68*(Assumptions!$L$22/12)</f>
        <v>0</v>
      </c>
      <c r="BJ45" s="59">
        <f>-BI68*(Assumptions!$L$22/12)</f>
        <v>0</v>
      </c>
      <c r="BK45" s="59">
        <f>-BJ68*(Assumptions!$L$22/12)</f>
        <v>0</v>
      </c>
      <c r="BL45" s="59">
        <f>-BK68*(Assumptions!$L$22/12)</f>
        <v>0</v>
      </c>
      <c r="BM45" s="59">
        <f>-BL68*(Assumptions!$L$22/12)</f>
        <v>0</v>
      </c>
      <c r="BN45" s="59">
        <f>-BM68*(Assumptions!$L$22/12)</f>
        <v>0</v>
      </c>
      <c r="BO45" s="59">
        <f>-BN68*(Assumptions!$L$22/12)</f>
        <v>0</v>
      </c>
      <c r="BP45" s="59">
        <f>-BO68*(Assumptions!$L$22/12)</f>
        <v>0</v>
      </c>
      <c r="BQ45" s="59">
        <f>-BP68*(Assumptions!$L$22/12)</f>
        <v>0</v>
      </c>
      <c r="BR45" s="59">
        <f>-BQ68*(Assumptions!$L$22/12)</f>
        <v>0</v>
      </c>
      <c r="BS45" s="59">
        <f>-BR68*(Assumptions!$L$22/12)</f>
        <v>0</v>
      </c>
      <c r="BT45" s="59">
        <f>-BS68*(Assumptions!$L$22/12)</f>
        <v>0</v>
      </c>
      <c r="BU45" s="59">
        <f>-BT68*(Assumptions!$L$22/12)</f>
        <v>0</v>
      </c>
      <c r="BV45" s="59">
        <f>-BU68*(Assumptions!$L$22/12)</f>
        <v>0</v>
      </c>
      <c r="BW45" s="59">
        <f>-BV68*(Assumptions!$L$22/12)</f>
        <v>0</v>
      </c>
      <c r="BX45" s="59">
        <f>-BW68*(Assumptions!$L$22/12)</f>
        <v>0</v>
      </c>
      <c r="BY45" s="59">
        <f>-BX68*(Assumptions!$L$22/12)</f>
        <v>0</v>
      </c>
      <c r="BZ45" s="59">
        <f>-BY68*(Assumptions!$L$22/12)</f>
        <v>0</v>
      </c>
      <c r="CA45" s="59">
        <f>-BZ68*(Assumptions!$L$22/12)</f>
        <v>0</v>
      </c>
      <c r="CB45" s="59">
        <f>-CA68*(Assumptions!$L$22/12)</f>
        <v>0</v>
      </c>
      <c r="CC45" s="59">
        <f>-CB68*(Assumptions!$L$22/12)</f>
        <v>0</v>
      </c>
      <c r="CD45" s="59">
        <f>-CC68*(Assumptions!$L$22/12)</f>
        <v>0</v>
      </c>
      <c r="CE45" s="59">
        <f>-CD68*(Assumptions!$L$22/12)</f>
        <v>0</v>
      </c>
      <c r="CF45" s="59">
        <f>-CE68*(Assumptions!$L$22/12)</f>
        <v>0</v>
      </c>
      <c r="CG45" s="59">
        <f>-CF68*(Assumptions!$L$22/12)</f>
        <v>0</v>
      </c>
      <c r="CH45" s="59">
        <f>-CG68*(Assumptions!$L$22/12)</f>
        <v>0</v>
      </c>
      <c r="CI45" s="59">
        <f>-CH68*(Assumptions!$L$22/12)</f>
        <v>0</v>
      </c>
      <c r="CJ45" s="59">
        <f>-CI68*(Assumptions!$L$22/12)</f>
        <v>0</v>
      </c>
      <c r="CK45" s="59">
        <f>-CJ68*(Assumptions!$L$22/12)</f>
        <v>0</v>
      </c>
      <c r="CL45" s="59">
        <f>-CK68*(Assumptions!$L$22/12)</f>
        <v>0</v>
      </c>
      <c r="CM45" s="59">
        <f>-CL68*(Assumptions!$L$22/12)</f>
        <v>0</v>
      </c>
      <c r="CN45" s="59">
        <f>-CM68*(Assumptions!$L$22/12)</f>
        <v>0</v>
      </c>
      <c r="CO45" s="59">
        <f>-CN68*(Assumptions!$L$22/12)</f>
        <v>0</v>
      </c>
      <c r="CP45" s="59">
        <f>-CO68*(Assumptions!$L$22/12)</f>
        <v>0</v>
      </c>
      <c r="CQ45" s="59">
        <f>-CP68*(Assumptions!$L$22/12)</f>
        <v>0</v>
      </c>
      <c r="CR45" s="59">
        <f>-CQ68*(Assumptions!$L$22/12)</f>
        <v>0</v>
      </c>
      <c r="CS45" s="59">
        <f>-CR68*(Assumptions!$L$22/12)</f>
        <v>0</v>
      </c>
      <c r="CT45" s="59">
        <f>-CS68*(Assumptions!$L$22/12)</f>
        <v>0</v>
      </c>
      <c r="CU45" s="59">
        <f>-CT68*(Assumptions!$L$22/12)</f>
        <v>0</v>
      </c>
      <c r="CV45" s="59">
        <f>-CU68*(Assumptions!$L$22/12)</f>
        <v>0</v>
      </c>
      <c r="CW45" s="59">
        <f>-CV68*(Assumptions!$L$22/12)</f>
        <v>0</v>
      </c>
      <c r="CX45" s="59">
        <f>-CW68*(Assumptions!$L$22/12)</f>
        <v>0</v>
      </c>
      <c r="CY45" s="59">
        <f>-CX68*(Assumptions!$L$22/12)</f>
        <v>0</v>
      </c>
      <c r="CZ45" s="59">
        <f>-CY68*(Assumptions!$L$22/12)</f>
        <v>0</v>
      </c>
      <c r="DA45" s="59">
        <f>-CZ68*(Assumptions!$L$22/12)</f>
        <v>0</v>
      </c>
      <c r="DB45" s="59">
        <f>-DA68*(Assumptions!$L$22/12)</f>
        <v>0</v>
      </c>
      <c r="DC45" s="59">
        <f>-DB68*(Assumptions!$L$22/12)</f>
        <v>0</v>
      </c>
      <c r="DD45" s="59">
        <f>-DC68*(Assumptions!$L$22/12)</f>
        <v>0</v>
      </c>
      <c r="DE45" s="59">
        <f>-DD68*(Assumptions!$L$22/12)</f>
        <v>0</v>
      </c>
      <c r="DF45" s="59">
        <f>-DE68*(Assumptions!$L$22/12)</f>
        <v>0</v>
      </c>
      <c r="DG45" s="59">
        <f>-DF68*(Assumptions!$L$22/12)</f>
        <v>0</v>
      </c>
      <c r="DH45" s="59">
        <f>-DG68*(Assumptions!$L$22/12)</f>
        <v>0</v>
      </c>
      <c r="DI45" s="59">
        <f>-DH68*(Assumptions!$L$22/12)</f>
        <v>0</v>
      </c>
      <c r="DJ45" s="59">
        <f>-DI68*(Assumptions!$L$22/12)</f>
        <v>0</v>
      </c>
      <c r="DK45" s="59">
        <f>-DJ68*(Assumptions!$L$22/12)</f>
        <v>0</v>
      </c>
      <c r="DL45" s="59">
        <f>-DK68*(Assumptions!$L$22/12)</f>
        <v>0</v>
      </c>
      <c r="DM45" s="59">
        <f>-DL68*(Assumptions!$L$22/12)</f>
        <v>0</v>
      </c>
      <c r="DN45" s="59">
        <f>-DM68*(Assumptions!$L$22/12)</f>
        <v>0</v>
      </c>
      <c r="DO45" s="59">
        <f>-DN68*(Assumptions!$L$22/12)</f>
        <v>0</v>
      </c>
      <c r="DP45" s="59">
        <f>-DO68*(Assumptions!$L$22/12)</f>
        <v>0</v>
      </c>
      <c r="DQ45" s="59">
        <f>-DP68*(Assumptions!$L$22/12)</f>
        <v>0</v>
      </c>
      <c r="DR45" s="59">
        <f>-DQ68*(Assumptions!$L$22/12)</f>
        <v>0</v>
      </c>
      <c r="DS45" s="59">
        <f>-DR68*(Assumptions!$L$22/12)</f>
        <v>0</v>
      </c>
      <c r="DT45" s="59">
        <f>-DS68*(Assumptions!$L$22/12)</f>
        <v>0</v>
      </c>
      <c r="DU45" s="60">
        <f>-DT68*(Assumptions!$L$22/12)</f>
        <v>0</v>
      </c>
    </row>
    <row r="46" spans="2:125" s="4" customFormat="1" x14ac:dyDescent="0.4">
      <c r="B46" s="74"/>
      <c r="C46" s="4" t="s">
        <v>113</v>
      </c>
      <c r="D46" s="91"/>
      <c r="E46" s="90">
        <f>SUM(E47:E48)</f>
        <v>-249016.66666666666</v>
      </c>
      <c r="F46" s="90">
        <f t="shared" ref="F46:BQ46" si="55">SUM(F47:F48)</f>
        <v>-248538.36111111109</v>
      </c>
      <c r="G46" s="90">
        <f t="shared" si="55"/>
        <v>-248088.64867407407</v>
      </c>
      <c r="H46" s="90">
        <f t="shared" si="55"/>
        <v>-247667.51779110328</v>
      </c>
      <c r="I46" s="90">
        <f t="shared" si="55"/>
        <v>-247274.96024885125</v>
      </c>
      <c r="J46" s="90">
        <f t="shared" si="55"/>
        <v>-246910.97118896272</v>
      </c>
      <c r="K46" s="90">
        <f t="shared" si="55"/>
        <v>-246575.54911236305</v>
      </c>
      <c r="L46" s="90">
        <f t="shared" si="55"/>
        <v>-246268.69588394847</v>
      </c>
      <c r="M46" s="90">
        <f t="shared" si="55"/>
        <v>-245990.4167376798</v>
      </c>
      <c r="N46" s="90">
        <f t="shared" si="55"/>
        <v>-245740.72028208029</v>
      </c>
      <c r="O46" s="90">
        <f t="shared" si="55"/>
        <v>-245519.61850613926</v>
      </c>
      <c r="P46" s="90">
        <f t="shared" si="55"/>
        <v>-245327.1267856225</v>
      </c>
      <c r="Q46" s="90">
        <f t="shared" si="55"/>
        <v>-245163.26388979089</v>
      </c>
      <c r="R46" s="90">
        <f t="shared" si="55"/>
        <v>-245028.05198852869</v>
      </c>
      <c r="S46" s="90">
        <f t="shared" si="55"/>
        <v>-244921.51665988291</v>
      </c>
      <c r="T46" s="90">
        <f t="shared" si="55"/>
        <v>-244843.68689801486</v>
      </c>
      <c r="U46" s="90">
        <f t="shared" si="55"/>
        <v>-244794.59512156629</v>
      </c>
      <c r="V46" s="90">
        <f t="shared" si="55"/>
        <v>-244774.27718244083</v>
      </c>
      <c r="W46" s="90">
        <f t="shared" si="55"/>
        <v>-244782.77237500253</v>
      </c>
      <c r="X46" s="90">
        <f t="shared" si="55"/>
        <v>-244820.1234456939</v>
      </c>
      <c r="Y46" s="90">
        <f t="shared" si="55"/>
        <v>-244886.37660307423</v>
      </c>
      <c r="Z46" s="90">
        <f t="shared" si="55"/>
        <v>-244981.58152828051</v>
      </c>
      <c r="AA46" s="90">
        <f t="shared" si="55"/>
        <v>-245105.7913859126</v>
      </c>
      <c r="AB46" s="90">
        <f t="shared" si="55"/>
        <v>-245259.0628353451</v>
      </c>
      <c r="AC46" s="90">
        <f t="shared" si="55"/>
        <v>-245441.45604246666</v>
      </c>
      <c r="AD46" s="90">
        <f t="shared" si="55"/>
        <v>-245653.03469185016</v>
      </c>
      <c r="AE46" s="90">
        <f t="shared" si="55"/>
        <v>-245893.86599935469</v>
      </c>
      <c r="AF46" s="90">
        <f t="shared" si="55"/>
        <v>-246164.02072516218</v>
      </c>
      <c r="AG46" s="90">
        <f t="shared" si="55"/>
        <v>-246463.57318725032</v>
      </c>
      <c r="AH46" s="90">
        <f t="shared" si="55"/>
        <v>-238103.69645178094</v>
      </c>
      <c r="AI46" s="90">
        <f t="shared" si="55"/>
        <v>0</v>
      </c>
      <c r="AJ46" s="90">
        <f t="shared" si="55"/>
        <v>0</v>
      </c>
      <c r="AK46" s="90">
        <f t="shared" si="55"/>
        <v>0</v>
      </c>
      <c r="AL46" s="90">
        <f t="shared" si="55"/>
        <v>0</v>
      </c>
      <c r="AM46" s="90">
        <f t="shared" si="55"/>
        <v>0</v>
      </c>
      <c r="AN46" s="90">
        <f t="shared" si="55"/>
        <v>0</v>
      </c>
      <c r="AO46" s="90">
        <f t="shared" si="55"/>
        <v>0</v>
      </c>
      <c r="AP46" s="90">
        <f t="shared" si="55"/>
        <v>0</v>
      </c>
      <c r="AQ46" s="90">
        <f t="shared" si="55"/>
        <v>0</v>
      </c>
      <c r="AR46" s="90">
        <f t="shared" si="55"/>
        <v>0</v>
      </c>
      <c r="AS46" s="90">
        <f t="shared" si="55"/>
        <v>0</v>
      </c>
      <c r="AT46" s="90">
        <f t="shared" si="55"/>
        <v>0</v>
      </c>
      <c r="AU46" s="90">
        <f t="shared" si="55"/>
        <v>0</v>
      </c>
      <c r="AV46" s="90">
        <f t="shared" si="55"/>
        <v>0</v>
      </c>
      <c r="AW46" s="90">
        <f t="shared" si="55"/>
        <v>0</v>
      </c>
      <c r="AX46" s="90">
        <f t="shared" si="55"/>
        <v>0</v>
      </c>
      <c r="AY46" s="90">
        <f t="shared" si="55"/>
        <v>0</v>
      </c>
      <c r="AZ46" s="90">
        <f t="shared" si="55"/>
        <v>0</v>
      </c>
      <c r="BA46" s="90">
        <f t="shared" si="55"/>
        <v>0</v>
      </c>
      <c r="BB46" s="90">
        <f t="shared" si="55"/>
        <v>0</v>
      </c>
      <c r="BC46" s="90">
        <f t="shared" si="55"/>
        <v>0</v>
      </c>
      <c r="BD46" s="90">
        <f t="shared" si="55"/>
        <v>0</v>
      </c>
      <c r="BE46" s="90">
        <f t="shared" si="55"/>
        <v>0</v>
      </c>
      <c r="BF46" s="90">
        <f t="shared" si="55"/>
        <v>0</v>
      </c>
      <c r="BG46" s="90">
        <f t="shared" si="55"/>
        <v>0</v>
      </c>
      <c r="BH46" s="90">
        <f t="shared" si="55"/>
        <v>0</v>
      </c>
      <c r="BI46" s="90">
        <f t="shared" si="55"/>
        <v>0</v>
      </c>
      <c r="BJ46" s="90">
        <f t="shared" si="55"/>
        <v>0</v>
      </c>
      <c r="BK46" s="90">
        <f t="shared" si="55"/>
        <v>0</v>
      </c>
      <c r="BL46" s="90">
        <f t="shared" si="55"/>
        <v>0</v>
      </c>
      <c r="BM46" s="90">
        <f t="shared" si="55"/>
        <v>0</v>
      </c>
      <c r="BN46" s="90">
        <f t="shared" si="55"/>
        <v>0</v>
      </c>
      <c r="BO46" s="90">
        <f t="shared" si="55"/>
        <v>0</v>
      </c>
      <c r="BP46" s="90">
        <f t="shared" si="55"/>
        <v>0</v>
      </c>
      <c r="BQ46" s="90">
        <f t="shared" si="55"/>
        <v>0</v>
      </c>
      <c r="BR46" s="90">
        <f t="shared" ref="BR46:DU46" si="56">SUM(BR47:BR48)</f>
        <v>0</v>
      </c>
      <c r="BS46" s="90">
        <f t="shared" si="56"/>
        <v>0</v>
      </c>
      <c r="BT46" s="90">
        <f t="shared" si="56"/>
        <v>0</v>
      </c>
      <c r="BU46" s="90">
        <f t="shared" si="56"/>
        <v>0</v>
      </c>
      <c r="BV46" s="90">
        <f t="shared" si="56"/>
        <v>0</v>
      </c>
      <c r="BW46" s="90">
        <f t="shared" si="56"/>
        <v>0</v>
      </c>
      <c r="BX46" s="90">
        <f t="shared" si="56"/>
        <v>0</v>
      </c>
      <c r="BY46" s="90">
        <f t="shared" si="56"/>
        <v>0</v>
      </c>
      <c r="BZ46" s="90">
        <f t="shared" si="56"/>
        <v>0</v>
      </c>
      <c r="CA46" s="90">
        <f t="shared" si="56"/>
        <v>0</v>
      </c>
      <c r="CB46" s="90">
        <f t="shared" si="56"/>
        <v>0</v>
      </c>
      <c r="CC46" s="90">
        <f t="shared" si="56"/>
        <v>0</v>
      </c>
      <c r="CD46" s="90">
        <f t="shared" si="56"/>
        <v>0</v>
      </c>
      <c r="CE46" s="90">
        <f t="shared" si="56"/>
        <v>0</v>
      </c>
      <c r="CF46" s="90">
        <f t="shared" si="56"/>
        <v>0</v>
      </c>
      <c r="CG46" s="90">
        <f t="shared" si="56"/>
        <v>0</v>
      </c>
      <c r="CH46" s="90">
        <f t="shared" si="56"/>
        <v>0</v>
      </c>
      <c r="CI46" s="90">
        <f t="shared" si="56"/>
        <v>0</v>
      </c>
      <c r="CJ46" s="90">
        <f t="shared" si="56"/>
        <v>0</v>
      </c>
      <c r="CK46" s="90">
        <f t="shared" si="56"/>
        <v>0</v>
      </c>
      <c r="CL46" s="90">
        <f t="shared" si="56"/>
        <v>0</v>
      </c>
      <c r="CM46" s="90">
        <f t="shared" si="56"/>
        <v>0</v>
      </c>
      <c r="CN46" s="90">
        <f t="shared" si="56"/>
        <v>0</v>
      </c>
      <c r="CO46" s="90">
        <f t="shared" si="56"/>
        <v>0</v>
      </c>
      <c r="CP46" s="90">
        <f t="shared" si="56"/>
        <v>0</v>
      </c>
      <c r="CQ46" s="90">
        <f t="shared" si="56"/>
        <v>0</v>
      </c>
      <c r="CR46" s="90">
        <f t="shared" si="56"/>
        <v>0</v>
      </c>
      <c r="CS46" s="90">
        <f t="shared" si="56"/>
        <v>0</v>
      </c>
      <c r="CT46" s="90">
        <f t="shared" si="56"/>
        <v>0</v>
      </c>
      <c r="CU46" s="90">
        <f t="shared" si="56"/>
        <v>0</v>
      </c>
      <c r="CV46" s="90">
        <f t="shared" si="56"/>
        <v>0</v>
      </c>
      <c r="CW46" s="90">
        <f t="shared" si="56"/>
        <v>0</v>
      </c>
      <c r="CX46" s="90">
        <f t="shared" si="56"/>
        <v>0</v>
      </c>
      <c r="CY46" s="90">
        <f t="shared" si="56"/>
        <v>0</v>
      </c>
      <c r="CZ46" s="90">
        <f t="shared" si="56"/>
        <v>0</v>
      </c>
      <c r="DA46" s="90">
        <f t="shared" si="56"/>
        <v>0</v>
      </c>
      <c r="DB46" s="90">
        <f t="shared" si="56"/>
        <v>0</v>
      </c>
      <c r="DC46" s="90">
        <f t="shared" si="56"/>
        <v>0</v>
      </c>
      <c r="DD46" s="90">
        <f t="shared" si="56"/>
        <v>0</v>
      </c>
      <c r="DE46" s="90">
        <f t="shared" si="56"/>
        <v>0</v>
      </c>
      <c r="DF46" s="90">
        <f t="shared" si="56"/>
        <v>0</v>
      </c>
      <c r="DG46" s="90">
        <f t="shared" si="56"/>
        <v>0</v>
      </c>
      <c r="DH46" s="90">
        <f t="shared" si="56"/>
        <v>0</v>
      </c>
      <c r="DI46" s="90">
        <f t="shared" si="56"/>
        <v>0</v>
      </c>
      <c r="DJ46" s="90">
        <f t="shared" si="56"/>
        <v>0</v>
      </c>
      <c r="DK46" s="90">
        <f t="shared" si="56"/>
        <v>0</v>
      </c>
      <c r="DL46" s="90">
        <f t="shared" si="56"/>
        <v>0</v>
      </c>
      <c r="DM46" s="90">
        <f t="shared" si="56"/>
        <v>0</v>
      </c>
      <c r="DN46" s="90">
        <f t="shared" si="56"/>
        <v>0</v>
      </c>
      <c r="DO46" s="90">
        <f t="shared" si="56"/>
        <v>0</v>
      </c>
      <c r="DP46" s="90">
        <f t="shared" si="56"/>
        <v>0</v>
      </c>
      <c r="DQ46" s="90">
        <f t="shared" si="56"/>
        <v>0</v>
      </c>
      <c r="DR46" s="90">
        <f t="shared" si="56"/>
        <v>0</v>
      </c>
      <c r="DS46" s="90">
        <f t="shared" si="56"/>
        <v>0</v>
      </c>
      <c r="DT46" s="90">
        <f t="shared" si="56"/>
        <v>0</v>
      </c>
      <c r="DU46" s="88">
        <f t="shared" si="56"/>
        <v>0</v>
      </c>
    </row>
    <row r="47" spans="2:125" x14ac:dyDescent="0.4">
      <c r="B47" s="39"/>
      <c r="C47" s="55" t="s">
        <v>60</v>
      </c>
      <c r="D47" s="62"/>
      <c r="E47" s="59">
        <f>MAX(-D67,-E26*Assumptions!$K$33-'50% Equity Scenario'!E44)</f>
        <v>-223000</v>
      </c>
      <c r="F47" s="59">
        <f>MAX(-E67,-F26*Assumptions!$K$33-'50% Equity Scenario'!F44)</f>
        <v>-222571.66666666666</v>
      </c>
      <c r="G47" s="59">
        <f>MAX(-F67,-G26*Assumptions!$K$33-'50% Equity Scenario'!G44)</f>
        <v>-222168.9391111111</v>
      </c>
      <c r="H47" s="59">
        <f>MAX(-G67,-H26*Assumptions!$K$33-'50% Equity Scenario'!H44)</f>
        <v>-221791.80697710742</v>
      </c>
      <c r="I47" s="59">
        <f>MAX(-H67,-I26*Assumptions!$K$33-'50% Equity Scenario'!I44)</f>
        <v>-221440.26290941902</v>
      </c>
      <c r="J47" s="59">
        <f>MAX(-I67,-J26*Assumptions!$K$33-'50% Equity Scenario'!J44)</f>
        <v>-221114.30255728005</v>
      </c>
      <c r="K47" s="59">
        <f>MAX(-J67,-K26*Assumptions!$K$33-'50% Equity Scenario'!K44)</f>
        <v>-220813.92457823557</v>
      </c>
      <c r="L47" s="59">
        <f>MAX(-K67,-L26*Assumptions!$K$33-'50% Equity Scenario'!L44)</f>
        <v>-220539.13064234192</v>
      </c>
      <c r="M47" s="59">
        <f>MAX(-L67,-M26*Assumptions!$K$33-'50% Equity Scenario'!M44)</f>
        <v>-220289.9254367282</v>
      </c>
      <c r="N47" s="59">
        <f>MAX(-M67,-N26*Assumptions!$K$33-'50% Equity Scenario'!N44)</f>
        <v>-220066.31667051968</v>
      </c>
      <c r="O47" s="59">
        <f>MAX(-N67,-O26*Assumptions!$K$33-'50% Equity Scenario'!O44)</f>
        <v>-219868.31508012471</v>
      </c>
      <c r="P47" s="59">
        <f>MAX(-O67,-P26*Assumptions!$K$33-'50% Equity Scenario'!P44)</f>
        <v>-219695.93443488583</v>
      </c>
      <c r="Q47" s="59">
        <f>MAX(-P67,-Q26*Assumptions!$K$33-'50% Equity Scenario'!Q44)</f>
        <v>-219549.19154309633</v>
      </c>
      <c r="R47" s="59">
        <f>MAX(-Q67,-R26*Assumptions!$K$33-'50% Equity Scenario'!R44)</f>
        <v>-219428.10625838392</v>
      </c>
      <c r="S47" s="59">
        <f>MAX(-R67,-S26*Assumptions!$K$33-'50% Equity Scenario'!S44)</f>
        <v>-219332.70148646232</v>
      </c>
      <c r="T47" s="59">
        <f>MAX(-S67,-T26*Assumptions!$K$33-'50% Equity Scenario'!T44)</f>
        <v>-219263.00319225213</v>
      </c>
      <c r="U47" s="59">
        <f>MAX(-T67,-U26*Assumptions!$K$33-'50% Equity Scenario'!U44)</f>
        <v>-219219.04040737281</v>
      </c>
      <c r="V47" s="59">
        <f>MAX(-U67,-V26*Assumptions!$K$33-'50% Equity Scenario'!V44)</f>
        <v>-219200.8452380067</v>
      </c>
      <c r="W47" s="59">
        <f>MAX(-V67,-W26*Assumptions!$K$33-'50% Equity Scenario'!W44)</f>
        <v>-219208.45287313659</v>
      </c>
      <c r="X47" s="59">
        <f>MAX(-W67,-X26*Assumptions!$K$33-'50% Equity Scenario'!X44)</f>
        <v>-219241.90159315872</v>
      </c>
      <c r="Y47" s="59">
        <f>MAX(-X67,-Y26*Assumptions!$K$33-'50% Equity Scenario'!Y44)</f>
        <v>-219301.23277887245</v>
      </c>
      <c r="Z47" s="59">
        <f>MAX(-Y67,-Z26*Assumptions!$K$33-'50% Equity Scenario'!Z44)</f>
        <v>-219386.49092084821</v>
      </c>
      <c r="AA47" s="59">
        <f>MAX(-Z67,-AA26*Assumptions!$K$33-'50% Equity Scenario'!AA44)</f>
        <v>-219497.72362917545</v>
      </c>
      <c r="AB47" s="59">
        <f>MAX(-AA67,-AB26*Assumptions!$K$33-'50% Equity Scenario'!AB44)</f>
        <v>-219634.98164359262</v>
      </c>
      <c r="AC47" s="59">
        <f>MAX(-AB67,-AC26*Assumptions!$K$33-'50% Equity Scenario'!AC44)</f>
        <v>-219798.31884399999</v>
      </c>
      <c r="AD47" s="59">
        <f>MAX(-AC67,-AD26*Assumptions!$K$33-'50% Equity Scenario'!AD44)</f>
        <v>-219987.79226135835</v>
      </c>
      <c r="AE47" s="59">
        <f>MAX(-AD67,-AE26*Assumptions!$K$33-'50% Equity Scenario'!AE44)</f>
        <v>-220203.46208897437</v>
      </c>
      <c r="AF47" s="59">
        <f>MAX(-AE67,-AF26*Assumptions!$K$33-'50% Equity Scenario'!AF44)</f>
        <v>-220445.39169417508</v>
      </c>
      <c r="AG47" s="59">
        <f>MAX(-AF67,-AG26*Assumptions!$K$33-'50% Equity Scenario'!AG44)</f>
        <v>-220713.64763037342</v>
      </c>
      <c r="AH47" s="59">
        <f>MAX(-AG67,-AH26*Assumptions!$K$33-'50% Equity Scenario'!AH44)</f>
        <v>-213227.19085234107</v>
      </c>
      <c r="AI47" s="59">
        <f>MAX(-AH67,-AI26*Assumptions!$K$33-'50% Equity Scenario'!AI44)</f>
        <v>0</v>
      </c>
      <c r="AJ47" s="59">
        <f>MAX(-AI67,-AJ26*Assumptions!$K$33-'50% Equity Scenario'!AJ44)</f>
        <v>0</v>
      </c>
      <c r="AK47" s="59">
        <f>MAX(-AJ67,-AK26*Assumptions!$K$33-'50% Equity Scenario'!AK44)</f>
        <v>0</v>
      </c>
      <c r="AL47" s="59">
        <f>MAX(-AK67,-AL26*Assumptions!$K$33-'50% Equity Scenario'!AL44)</f>
        <v>0</v>
      </c>
      <c r="AM47" s="59">
        <f>MAX(-AL67,-AM26*Assumptions!$K$33-'50% Equity Scenario'!AM44)</f>
        <v>0</v>
      </c>
      <c r="AN47" s="59">
        <f>MAX(-AM67,-AN26*Assumptions!$K$33-'50% Equity Scenario'!AN44)</f>
        <v>0</v>
      </c>
      <c r="AO47" s="59">
        <f>MAX(-AN67,-AO26*Assumptions!$K$33-'50% Equity Scenario'!AO44)</f>
        <v>0</v>
      </c>
      <c r="AP47" s="59">
        <f>MAX(-AO67,-AP26*Assumptions!$K$33-'50% Equity Scenario'!AP44)</f>
        <v>0</v>
      </c>
      <c r="AQ47" s="59">
        <f>MAX(-AP67,-AQ26*Assumptions!$K$33-'50% Equity Scenario'!AQ44)</f>
        <v>0</v>
      </c>
      <c r="AR47" s="59">
        <f>MAX(-AQ67,-AR26*Assumptions!$K$33-'50% Equity Scenario'!AR44)</f>
        <v>0</v>
      </c>
      <c r="AS47" s="59">
        <f>MAX(-AR67,-AS26*Assumptions!$K$33-'50% Equity Scenario'!AS44)</f>
        <v>0</v>
      </c>
      <c r="AT47" s="59">
        <f>MAX(-AS67,-AT26*Assumptions!$K$33-'50% Equity Scenario'!AT44)</f>
        <v>0</v>
      </c>
      <c r="AU47" s="59">
        <f>MAX(-AT67,-AU26*Assumptions!$K$33-'50% Equity Scenario'!AU44)</f>
        <v>0</v>
      </c>
      <c r="AV47" s="59">
        <f>MAX(-AU67,-AV26*Assumptions!$K$33-'50% Equity Scenario'!AV44)</f>
        <v>0</v>
      </c>
      <c r="AW47" s="59">
        <f>MAX(-AV67,-AW26*Assumptions!$K$33-'50% Equity Scenario'!AW44)</f>
        <v>0</v>
      </c>
      <c r="AX47" s="59">
        <f>MAX(-AW67,-AX26*Assumptions!$K$33-'50% Equity Scenario'!AX44)</f>
        <v>0</v>
      </c>
      <c r="AY47" s="59">
        <f>MAX(-AX67,-AY26*Assumptions!$K$33-'50% Equity Scenario'!AY44)</f>
        <v>0</v>
      </c>
      <c r="AZ47" s="59">
        <f>MAX(-AY67,-AZ26*Assumptions!$K$33-'50% Equity Scenario'!AZ44)</f>
        <v>0</v>
      </c>
      <c r="BA47" s="59">
        <f>MAX(-AZ67,-BA26*Assumptions!$K$33-'50% Equity Scenario'!BA44)</f>
        <v>0</v>
      </c>
      <c r="BB47" s="59">
        <f>MAX(-BA67,-BB26*Assumptions!$K$33-'50% Equity Scenario'!BB44)</f>
        <v>0</v>
      </c>
      <c r="BC47" s="59">
        <f>MAX(-BB67,-BC26*Assumptions!$K$33-'50% Equity Scenario'!BC44)</f>
        <v>0</v>
      </c>
      <c r="BD47" s="59">
        <f>MAX(-BC67,-BD26*Assumptions!$K$33-'50% Equity Scenario'!BD44)</f>
        <v>0</v>
      </c>
      <c r="BE47" s="59">
        <f>MAX(-BD67,-BE26*Assumptions!$K$33-'50% Equity Scenario'!BE44)</f>
        <v>0</v>
      </c>
      <c r="BF47" s="59">
        <f>MAX(-BE67,-BF26*Assumptions!$K$33-'50% Equity Scenario'!BF44)</f>
        <v>0</v>
      </c>
      <c r="BG47" s="59">
        <f>MAX(-BF67,-BG26*Assumptions!$K$33-'50% Equity Scenario'!BG44)</f>
        <v>0</v>
      </c>
      <c r="BH47" s="59">
        <f>MAX(-BG67,-BH26*Assumptions!$K$33-'50% Equity Scenario'!BH44)</f>
        <v>0</v>
      </c>
      <c r="BI47" s="59">
        <f>MAX(-BH67,-BI26*Assumptions!$K$33-'50% Equity Scenario'!BI44)</f>
        <v>0</v>
      </c>
      <c r="BJ47" s="59">
        <f>MAX(-BI67,-BJ26*Assumptions!$K$33-'50% Equity Scenario'!BJ44)</f>
        <v>0</v>
      </c>
      <c r="BK47" s="59">
        <f>MAX(-BJ67,-BK26*Assumptions!$K$33-'50% Equity Scenario'!BK44)</f>
        <v>0</v>
      </c>
      <c r="BL47" s="59">
        <f>MAX(-BK67,-BL26*Assumptions!$K$33-'50% Equity Scenario'!BL44)</f>
        <v>0</v>
      </c>
      <c r="BM47" s="59">
        <f>MAX(-BL67,-BM26*Assumptions!$K$33-'50% Equity Scenario'!BM44)</f>
        <v>0</v>
      </c>
      <c r="BN47" s="59">
        <f>MAX(-BM67,-BN26*Assumptions!$K$33-'50% Equity Scenario'!BN44)</f>
        <v>0</v>
      </c>
      <c r="BO47" s="59">
        <f>MAX(-BN67,-BO26*Assumptions!$K$33-'50% Equity Scenario'!BO44)</f>
        <v>0</v>
      </c>
      <c r="BP47" s="59">
        <f>MAX(-BO67,-BP26*Assumptions!$K$33-'50% Equity Scenario'!BP44)</f>
        <v>0</v>
      </c>
      <c r="BQ47" s="59">
        <f>MAX(-BP67,-BQ26*Assumptions!$K$33-'50% Equity Scenario'!BQ44)</f>
        <v>0</v>
      </c>
      <c r="BR47" s="59">
        <f>MAX(-BQ67,-BR26*Assumptions!$K$33-'50% Equity Scenario'!BR44)</f>
        <v>0</v>
      </c>
      <c r="BS47" s="59">
        <f>MAX(-BR67,-BS26*Assumptions!$K$33-'50% Equity Scenario'!BS44)</f>
        <v>0</v>
      </c>
      <c r="BT47" s="59">
        <f>MAX(-BS67,-BT26*Assumptions!$K$33-'50% Equity Scenario'!BT44)</f>
        <v>0</v>
      </c>
      <c r="BU47" s="59">
        <f>MAX(-BT67,-BU26*Assumptions!$K$33-'50% Equity Scenario'!BU44)</f>
        <v>0</v>
      </c>
      <c r="BV47" s="59">
        <f>MAX(-BU67,-BV26*Assumptions!$K$33-'50% Equity Scenario'!BV44)</f>
        <v>0</v>
      </c>
      <c r="BW47" s="59">
        <f>MAX(-BV67,-BW26*Assumptions!$K$33-'50% Equity Scenario'!BW44)</f>
        <v>0</v>
      </c>
      <c r="BX47" s="59">
        <f>MAX(-BW67,-BX26*Assumptions!$K$33-'50% Equity Scenario'!BX44)</f>
        <v>0</v>
      </c>
      <c r="BY47" s="59">
        <f>MAX(-BX67,-BY26*Assumptions!$K$33-'50% Equity Scenario'!BY44)</f>
        <v>0</v>
      </c>
      <c r="BZ47" s="59">
        <f>MAX(-BY67,-BZ26*Assumptions!$K$33-'50% Equity Scenario'!BZ44)</f>
        <v>0</v>
      </c>
      <c r="CA47" s="59">
        <f>MAX(-BZ67,-CA26*Assumptions!$K$33-'50% Equity Scenario'!CA44)</f>
        <v>0</v>
      </c>
      <c r="CB47" s="59">
        <f>MAX(-CA67,-CB26*Assumptions!$K$33-'50% Equity Scenario'!CB44)</f>
        <v>0</v>
      </c>
      <c r="CC47" s="59">
        <f>MAX(-CB67,-CC26*Assumptions!$K$33-'50% Equity Scenario'!CC44)</f>
        <v>0</v>
      </c>
      <c r="CD47" s="59">
        <f>MAX(-CC67,-CD26*Assumptions!$K$33-'50% Equity Scenario'!CD44)</f>
        <v>0</v>
      </c>
      <c r="CE47" s="59">
        <f>MAX(-CD67,-CE26*Assumptions!$K$33-'50% Equity Scenario'!CE44)</f>
        <v>0</v>
      </c>
      <c r="CF47" s="59">
        <f>MAX(-CE67,-CF26*Assumptions!$K$33-'50% Equity Scenario'!CF44)</f>
        <v>0</v>
      </c>
      <c r="CG47" s="59">
        <f>MAX(-CF67,-CG26*Assumptions!$K$33-'50% Equity Scenario'!CG44)</f>
        <v>0</v>
      </c>
      <c r="CH47" s="59">
        <f>MAX(-CG67,-CH26*Assumptions!$K$33-'50% Equity Scenario'!CH44)</f>
        <v>0</v>
      </c>
      <c r="CI47" s="59">
        <f>MAX(-CH67,-CI26*Assumptions!$K$33-'50% Equity Scenario'!CI44)</f>
        <v>0</v>
      </c>
      <c r="CJ47" s="59">
        <f>MAX(-CI67,-CJ26*Assumptions!$K$33-'50% Equity Scenario'!CJ44)</f>
        <v>0</v>
      </c>
      <c r="CK47" s="59">
        <f>MAX(-CJ67,-CK26*Assumptions!$K$33-'50% Equity Scenario'!CK44)</f>
        <v>0</v>
      </c>
      <c r="CL47" s="59">
        <f>MAX(-CK67,-CL26*Assumptions!$K$33-'50% Equity Scenario'!CL44)</f>
        <v>0</v>
      </c>
      <c r="CM47" s="59">
        <f>MAX(-CL67,-CM26*Assumptions!$K$33-'50% Equity Scenario'!CM44)</f>
        <v>0</v>
      </c>
      <c r="CN47" s="59">
        <f>MAX(-CM67,-CN26*Assumptions!$K$33-'50% Equity Scenario'!CN44)</f>
        <v>0</v>
      </c>
      <c r="CO47" s="59">
        <f>MAX(-CN67,-CO26*Assumptions!$K$33-'50% Equity Scenario'!CO44)</f>
        <v>0</v>
      </c>
      <c r="CP47" s="59">
        <f>MAX(-CO67,-CP26*Assumptions!$K$33-'50% Equity Scenario'!CP44)</f>
        <v>0</v>
      </c>
      <c r="CQ47" s="59">
        <f>MAX(-CP67,-CQ26*Assumptions!$K$33-'50% Equity Scenario'!CQ44)</f>
        <v>0</v>
      </c>
      <c r="CR47" s="59">
        <f>MAX(-CQ67,-CR26*Assumptions!$K$33-'50% Equity Scenario'!CR44)</f>
        <v>0</v>
      </c>
      <c r="CS47" s="59">
        <f>MAX(-CR67,-CS26*Assumptions!$K$33-'50% Equity Scenario'!CS44)</f>
        <v>0</v>
      </c>
      <c r="CT47" s="59">
        <f>MAX(-CS67,-CT26*Assumptions!$K$33-'50% Equity Scenario'!CT44)</f>
        <v>0</v>
      </c>
      <c r="CU47" s="59">
        <f>MAX(-CT67,-CU26*Assumptions!$K$33-'50% Equity Scenario'!CU44)</f>
        <v>0</v>
      </c>
      <c r="CV47" s="59">
        <f>MAX(-CU67,-CV26*Assumptions!$K$33-'50% Equity Scenario'!CV44)</f>
        <v>0</v>
      </c>
      <c r="CW47" s="59">
        <f>MAX(-CV67,-CW26*Assumptions!$K$33-'50% Equity Scenario'!CW44)</f>
        <v>0</v>
      </c>
      <c r="CX47" s="59">
        <f>MAX(-CW67,-CX26*Assumptions!$K$33-'50% Equity Scenario'!CX44)</f>
        <v>0</v>
      </c>
      <c r="CY47" s="59">
        <f>MAX(-CX67,-CY26*Assumptions!$K$33-'50% Equity Scenario'!CY44)</f>
        <v>0</v>
      </c>
      <c r="CZ47" s="59">
        <f>MAX(-CY67,-CZ26*Assumptions!$K$33-'50% Equity Scenario'!CZ44)</f>
        <v>0</v>
      </c>
      <c r="DA47" s="59">
        <f>MAX(-CZ67,-DA26*Assumptions!$K$33-'50% Equity Scenario'!DA44)</f>
        <v>0</v>
      </c>
      <c r="DB47" s="59">
        <f>MAX(-DA67,-DB26*Assumptions!$K$33-'50% Equity Scenario'!DB44)</f>
        <v>0</v>
      </c>
      <c r="DC47" s="59">
        <f>MAX(-DB67,-DC26*Assumptions!$K$33-'50% Equity Scenario'!DC44)</f>
        <v>0</v>
      </c>
      <c r="DD47" s="59">
        <f>MAX(-DC67,-DD26*Assumptions!$K$33-'50% Equity Scenario'!DD44)</f>
        <v>0</v>
      </c>
      <c r="DE47" s="59">
        <f>MAX(-DD67,-DE26*Assumptions!$K$33-'50% Equity Scenario'!DE44)</f>
        <v>0</v>
      </c>
      <c r="DF47" s="59">
        <f>MAX(-DE67,-DF26*Assumptions!$K$33-'50% Equity Scenario'!DF44)</f>
        <v>0</v>
      </c>
      <c r="DG47" s="59">
        <f>MAX(-DF67,-DG26*Assumptions!$K$33-'50% Equity Scenario'!DG44)</f>
        <v>0</v>
      </c>
      <c r="DH47" s="59">
        <f>MAX(-DG67,-DH26*Assumptions!$K$33-'50% Equity Scenario'!DH44)</f>
        <v>0</v>
      </c>
      <c r="DI47" s="59">
        <f>MAX(-DH67,-DI26*Assumptions!$K$33-'50% Equity Scenario'!DI44)</f>
        <v>0</v>
      </c>
      <c r="DJ47" s="59">
        <f>MAX(-DI67,-DJ26*Assumptions!$K$33-'50% Equity Scenario'!DJ44)</f>
        <v>0</v>
      </c>
      <c r="DK47" s="59">
        <f>MAX(-DJ67,-DK26*Assumptions!$K$33-'50% Equity Scenario'!DK44)</f>
        <v>0</v>
      </c>
      <c r="DL47" s="59">
        <f>MAX(-DK67,-DL26*Assumptions!$K$33-'50% Equity Scenario'!DL44)</f>
        <v>0</v>
      </c>
      <c r="DM47" s="59">
        <f>MAX(-DL67,-DM26*Assumptions!$K$33-'50% Equity Scenario'!DM44)</f>
        <v>0</v>
      </c>
      <c r="DN47" s="59">
        <f>MAX(-DM67,-DN26*Assumptions!$K$33-'50% Equity Scenario'!DN44)</f>
        <v>0</v>
      </c>
      <c r="DO47" s="59">
        <f>MAX(-DN67,-DO26*Assumptions!$K$33-'50% Equity Scenario'!DO44)</f>
        <v>0</v>
      </c>
      <c r="DP47" s="59">
        <f>MAX(-DO67,-DP26*Assumptions!$K$33-'50% Equity Scenario'!DP44)</f>
        <v>0</v>
      </c>
      <c r="DQ47" s="59">
        <f>MAX(-DP67,-DQ26*Assumptions!$K$33-'50% Equity Scenario'!DQ44)</f>
        <v>0</v>
      </c>
      <c r="DR47" s="59">
        <f>MAX(-DQ67,-DR26*Assumptions!$K$33-'50% Equity Scenario'!DR44)</f>
        <v>0</v>
      </c>
      <c r="DS47" s="59">
        <f>MAX(-DR67,-DS26*Assumptions!$K$33-'50% Equity Scenario'!DS44)</f>
        <v>0</v>
      </c>
      <c r="DT47" s="59">
        <f>MAX(-DS67,-DT26*Assumptions!$K$33-'50% Equity Scenario'!DT44)</f>
        <v>0</v>
      </c>
      <c r="DU47" s="60">
        <f>MAX(-DT67,-DU26*Assumptions!$K$33-'50% Equity Scenario'!DU44)</f>
        <v>0</v>
      </c>
    </row>
    <row r="48" spans="2:125" x14ac:dyDescent="0.4">
      <c r="B48" s="39"/>
      <c r="C48" s="55" t="s">
        <v>61</v>
      </c>
      <c r="D48" s="62"/>
      <c r="E48" s="59">
        <f>MAX(-D68,-E27*Assumptions!$L$33-'50% Equity Scenario'!E45)</f>
        <v>-26016.666666666664</v>
      </c>
      <c r="F48" s="59">
        <f>MAX(-E68,-F27*Assumptions!$L$33-'50% Equity Scenario'!F45)</f>
        <v>-25966.694444444445</v>
      </c>
      <c r="G48" s="59">
        <f>MAX(-F68,-G27*Assumptions!$L$33-'50% Equity Scenario'!G45)</f>
        <v>-25919.709562962962</v>
      </c>
      <c r="H48" s="59">
        <f>MAX(-G68,-H27*Assumptions!$L$33-'50% Equity Scenario'!H45)</f>
        <v>-25875.710813995862</v>
      </c>
      <c r="I48" s="59">
        <f>MAX(-H68,-I27*Assumptions!$L$33-'50% Equity Scenario'!I45)</f>
        <v>-25834.697339432216</v>
      </c>
      <c r="J48" s="59">
        <f>MAX(-I68,-J27*Assumptions!$L$33-'50% Equity Scenario'!J45)</f>
        <v>-25796.668631682667</v>
      </c>
      <c r="K48" s="59">
        <f>MAX(-J68,-K27*Assumptions!$L$33-'50% Equity Scenario'!K45)</f>
        <v>-25761.624534127477</v>
      </c>
      <c r="L48" s="59">
        <f>MAX(-K68,-L27*Assumptions!$L$33-'50% Equity Scenario'!L45)</f>
        <v>-25729.56524160655</v>
      </c>
      <c r="M48" s="59">
        <f>MAX(-L68,-M27*Assumptions!$L$33-'50% Equity Scenario'!M45)</f>
        <v>-25700.491300951613</v>
      </c>
      <c r="N48" s="59">
        <f>MAX(-M68,-N27*Assumptions!$L$33-'50% Equity Scenario'!N45)</f>
        <v>-25674.403611560618</v>
      </c>
      <c r="O48" s="59">
        <f>MAX(-N68,-O27*Assumptions!$L$33-'50% Equity Scenario'!O45)</f>
        <v>-25651.303426014543</v>
      </c>
      <c r="P48" s="59">
        <f>MAX(-O68,-P27*Assumptions!$L$33-'50% Equity Scenario'!P45)</f>
        <v>-25631.19235073667</v>
      </c>
      <c r="Q48" s="59">
        <f>MAX(-P68,-Q27*Assumptions!$L$33-'50% Equity Scenario'!Q45)</f>
        <v>-25614.07234669456</v>
      </c>
      <c r="R48" s="59">
        <f>MAX(-Q68,-R27*Assumptions!$L$33-'50% Equity Scenario'!R45)</f>
        <v>-25599.94573014478</v>
      </c>
      <c r="S48" s="59">
        <f>MAX(-R68,-S27*Assumptions!$L$33-'50% Equity Scenario'!S45)</f>
        <v>-25588.815173420597</v>
      </c>
      <c r="T48" s="59">
        <f>MAX(-S68,-T27*Assumptions!$L$33-'50% Equity Scenario'!T45)</f>
        <v>-25580.683705762742</v>
      </c>
      <c r="U48" s="59">
        <f>MAX(-T68,-U27*Assumptions!$L$33-'50% Equity Scenario'!U45)</f>
        <v>-25575.554714193491</v>
      </c>
      <c r="V48" s="59">
        <f>MAX(-U68,-V27*Assumptions!$L$33-'50% Equity Scenario'!V45)</f>
        <v>-25573.431944434113</v>
      </c>
      <c r="W48" s="59">
        <f>MAX(-V68,-W27*Assumptions!$L$33-'50% Equity Scenario'!W45)</f>
        <v>-25574.319501865935</v>
      </c>
      <c r="X48" s="59">
        <f>MAX(-W68,-X27*Assumptions!$L$33-'50% Equity Scenario'!X45)</f>
        <v>-25578.221852535185</v>
      </c>
      <c r="Y48" s="59">
        <f>MAX(-X68,-Y27*Assumptions!$L$33-'50% Equity Scenario'!Y45)</f>
        <v>-25585.143824201783</v>
      </c>
      <c r="Z48" s="59">
        <f>MAX(-Y68,-Z27*Assumptions!$L$33-'50% Equity Scenario'!Z45)</f>
        <v>-25595.090607432288</v>
      </c>
      <c r="AA48" s="59">
        <f>MAX(-Z68,-AA27*Assumptions!$L$33-'50% Equity Scenario'!AA45)</f>
        <v>-25608.067756737135</v>
      </c>
      <c r="AB48" s="59">
        <f>MAX(-AA68,-AB27*Assumptions!$L$33-'50% Equity Scenario'!AB45)</f>
        <v>-25624.08119175247</v>
      </c>
      <c r="AC48" s="59">
        <f>MAX(-AB68,-AC27*Assumptions!$L$33-'50% Equity Scenario'!AC45)</f>
        <v>-25643.137198466662</v>
      </c>
      <c r="AD48" s="59">
        <f>MAX(-AC68,-AD27*Assumptions!$L$33-'50% Equity Scenario'!AD45)</f>
        <v>-25665.242430491806</v>
      </c>
      <c r="AE48" s="59">
        <f>MAX(-AD68,-AE27*Assumptions!$L$33-'50% Equity Scenario'!AE45)</f>
        <v>-25690.403910380337</v>
      </c>
      <c r="AF48" s="59">
        <f>MAX(-AE68,-AF27*Assumptions!$L$33-'50% Equity Scenario'!AF45)</f>
        <v>-25718.629030987089</v>
      </c>
      <c r="AG48" s="59">
        <f>MAX(-AF68,-AG27*Assumptions!$L$33-'50% Equity Scenario'!AG45)</f>
        <v>-25749.9255568769</v>
      </c>
      <c r="AH48" s="59">
        <f>MAX(-AG68,-AH27*Assumptions!$L$33-'50% Equity Scenario'!AH45)</f>
        <v>-24876.505599439864</v>
      </c>
      <c r="AI48" s="59">
        <f>MAX(-AH68,-AI27*Assumptions!$L$33-'50% Equity Scenario'!AI45)</f>
        <v>0</v>
      </c>
      <c r="AJ48" s="59">
        <f>MAX(-AI68,-AJ27*Assumptions!$L$33-'50% Equity Scenario'!AJ45)</f>
        <v>0</v>
      </c>
      <c r="AK48" s="59">
        <f>MAX(-AJ68,-AK27*Assumptions!$L$33-'50% Equity Scenario'!AK45)</f>
        <v>0</v>
      </c>
      <c r="AL48" s="59">
        <f>MAX(-AK68,-AL27*Assumptions!$L$33-'50% Equity Scenario'!AL45)</f>
        <v>0</v>
      </c>
      <c r="AM48" s="59">
        <f>MAX(-AL68,-AM27*Assumptions!$L$33-'50% Equity Scenario'!AM45)</f>
        <v>0</v>
      </c>
      <c r="AN48" s="59">
        <f>MAX(-AM68,-AN27*Assumptions!$L$33-'50% Equity Scenario'!AN45)</f>
        <v>0</v>
      </c>
      <c r="AO48" s="59">
        <f>MAX(-AN68,-AO27*Assumptions!$L$33-'50% Equity Scenario'!AO45)</f>
        <v>0</v>
      </c>
      <c r="AP48" s="59">
        <f>MAX(-AO68,-AP27*Assumptions!$L$33-'50% Equity Scenario'!AP45)</f>
        <v>0</v>
      </c>
      <c r="AQ48" s="59">
        <f>MAX(-AP68,-AQ27*Assumptions!$L$33-'50% Equity Scenario'!AQ45)</f>
        <v>0</v>
      </c>
      <c r="AR48" s="59">
        <f>MAX(-AQ68,-AR27*Assumptions!$L$33-'50% Equity Scenario'!AR45)</f>
        <v>0</v>
      </c>
      <c r="AS48" s="59">
        <f>MAX(-AR68,-AS27*Assumptions!$L$33-'50% Equity Scenario'!AS45)</f>
        <v>0</v>
      </c>
      <c r="AT48" s="59">
        <f>MAX(-AS68,-AT27*Assumptions!$L$33-'50% Equity Scenario'!AT45)</f>
        <v>0</v>
      </c>
      <c r="AU48" s="59">
        <f>MAX(-AT68,-AU27*Assumptions!$L$33-'50% Equity Scenario'!AU45)</f>
        <v>0</v>
      </c>
      <c r="AV48" s="59">
        <f>MAX(-AU68,-AV27*Assumptions!$L$33-'50% Equity Scenario'!AV45)</f>
        <v>0</v>
      </c>
      <c r="AW48" s="59">
        <f>MAX(-AV68,-AW27*Assumptions!$L$33-'50% Equity Scenario'!AW45)</f>
        <v>0</v>
      </c>
      <c r="AX48" s="59">
        <f>MAX(-AW68,-AX27*Assumptions!$L$33-'50% Equity Scenario'!AX45)</f>
        <v>0</v>
      </c>
      <c r="AY48" s="59">
        <f>MAX(-AX68,-AY27*Assumptions!$L$33-'50% Equity Scenario'!AY45)</f>
        <v>0</v>
      </c>
      <c r="AZ48" s="59">
        <f>MAX(-AY68,-AZ27*Assumptions!$L$33-'50% Equity Scenario'!AZ45)</f>
        <v>0</v>
      </c>
      <c r="BA48" s="59">
        <f>MAX(-AZ68,-BA27*Assumptions!$L$33-'50% Equity Scenario'!BA45)</f>
        <v>0</v>
      </c>
      <c r="BB48" s="59">
        <f>MAX(-BA68,-BB27*Assumptions!$L$33-'50% Equity Scenario'!BB45)</f>
        <v>0</v>
      </c>
      <c r="BC48" s="59">
        <f>MAX(-BB68,-BC27*Assumptions!$L$33-'50% Equity Scenario'!BC45)</f>
        <v>0</v>
      </c>
      <c r="BD48" s="59">
        <f>MAX(-BC68,-BD27*Assumptions!$L$33-'50% Equity Scenario'!BD45)</f>
        <v>0</v>
      </c>
      <c r="BE48" s="59">
        <f>MAX(-BD68,-BE27*Assumptions!$L$33-'50% Equity Scenario'!BE45)</f>
        <v>0</v>
      </c>
      <c r="BF48" s="59">
        <f>MAX(-BE68,-BF27*Assumptions!$L$33-'50% Equity Scenario'!BF45)</f>
        <v>0</v>
      </c>
      <c r="BG48" s="59">
        <f>MAX(-BF68,-BG27*Assumptions!$L$33-'50% Equity Scenario'!BG45)</f>
        <v>0</v>
      </c>
      <c r="BH48" s="59">
        <f>MAX(-BG68,-BH27*Assumptions!$L$33-'50% Equity Scenario'!BH45)</f>
        <v>0</v>
      </c>
      <c r="BI48" s="59">
        <f>MAX(-BH68,-BI27*Assumptions!$L$33-'50% Equity Scenario'!BI45)</f>
        <v>0</v>
      </c>
      <c r="BJ48" s="59">
        <f>MAX(-BI68,-BJ27*Assumptions!$L$33-'50% Equity Scenario'!BJ45)</f>
        <v>0</v>
      </c>
      <c r="BK48" s="59">
        <f>MAX(-BJ68,-BK27*Assumptions!$L$33-'50% Equity Scenario'!BK45)</f>
        <v>0</v>
      </c>
      <c r="BL48" s="59">
        <f>MAX(-BK68,-BL27*Assumptions!$L$33-'50% Equity Scenario'!BL45)</f>
        <v>0</v>
      </c>
      <c r="BM48" s="59">
        <f>MAX(-BL68,-BM27*Assumptions!$L$33-'50% Equity Scenario'!BM45)</f>
        <v>0</v>
      </c>
      <c r="BN48" s="59">
        <f>MAX(-BM68,-BN27*Assumptions!$L$33-'50% Equity Scenario'!BN45)</f>
        <v>0</v>
      </c>
      <c r="BO48" s="59">
        <f>MAX(-BN68,-BO27*Assumptions!$L$33-'50% Equity Scenario'!BO45)</f>
        <v>0</v>
      </c>
      <c r="BP48" s="59">
        <f>MAX(-BO68,-BP27*Assumptions!$L$33-'50% Equity Scenario'!BP45)</f>
        <v>0</v>
      </c>
      <c r="BQ48" s="59">
        <f>MAX(-BP68,-BQ27*Assumptions!$L$33-'50% Equity Scenario'!BQ45)</f>
        <v>0</v>
      </c>
      <c r="BR48" s="59">
        <f>MAX(-BQ68,-BR27*Assumptions!$L$33-'50% Equity Scenario'!BR45)</f>
        <v>0</v>
      </c>
      <c r="BS48" s="59">
        <f>MAX(-BR68,-BS27*Assumptions!$L$33-'50% Equity Scenario'!BS45)</f>
        <v>0</v>
      </c>
      <c r="BT48" s="59">
        <f>MAX(-BS68,-BT27*Assumptions!$L$33-'50% Equity Scenario'!BT45)</f>
        <v>0</v>
      </c>
      <c r="BU48" s="59">
        <f>MAX(-BT68,-BU27*Assumptions!$L$33-'50% Equity Scenario'!BU45)</f>
        <v>0</v>
      </c>
      <c r="BV48" s="59">
        <f>MAX(-BU68,-BV27*Assumptions!$L$33-'50% Equity Scenario'!BV45)</f>
        <v>0</v>
      </c>
      <c r="BW48" s="59">
        <f>MAX(-BV68,-BW27*Assumptions!$L$33-'50% Equity Scenario'!BW45)</f>
        <v>0</v>
      </c>
      <c r="BX48" s="59">
        <f>MAX(-BW68,-BX27*Assumptions!$L$33-'50% Equity Scenario'!BX45)</f>
        <v>0</v>
      </c>
      <c r="BY48" s="59">
        <f>MAX(-BX68,-BY27*Assumptions!$L$33-'50% Equity Scenario'!BY45)</f>
        <v>0</v>
      </c>
      <c r="BZ48" s="59">
        <f>MAX(-BY68,-BZ27*Assumptions!$L$33-'50% Equity Scenario'!BZ45)</f>
        <v>0</v>
      </c>
      <c r="CA48" s="59">
        <f>MAX(-BZ68,-CA27*Assumptions!$L$33-'50% Equity Scenario'!CA45)</f>
        <v>0</v>
      </c>
      <c r="CB48" s="59">
        <f>MAX(-CA68,-CB27*Assumptions!$L$33-'50% Equity Scenario'!CB45)</f>
        <v>0</v>
      </c>
      <c r="CC48" s="59">
        <f>MAX(-CB68,-CC27*Assumptions!$L$33-'50% Equity Scenario'!CC45)</f>
        <v>0</v>
      </c>
      <c r="CD48" s="59">
        <f>MAX(-CC68,-CD27*Assumptions!$L$33-'50% Equity Scenario'!CD45)</f>
        <v>0</v>
      </c>
      <c r="CE48" s="59">
        <f>MAX(-CD68,-CE27*Assumptions!$L$33-'50% Equity Scenario'!CE45)</f>
        <v>0</v>
      </c>
      <c r="CF48" s="59">
        <f>MAX(-CE68,-CF27*Assumptions!$L$33-'50% Equity Scenario'!CF45)</f>
        <v>0</v>
      </c>
      <c r="CG48" s="59">
        <f>MAX(-CF68,-CG27*Assumptions!$L$33-'50% Equity Scenario'!CG45)</f>
        <v>0</v>
      </c>
      <c r="CH48" s="59">
        <f>MAX(-CG68,-CH27*Assumptions!$L$33-'50% Equity Scenario'!CH45)</f>
        <v>0</v>
      </c>
      <c r="CI48" s="59">
        <f>MAX(-CH68,-CI27*Assumptions!$L$33-'50% Equity Scenario'!CI45)</f>
        <v>0</v>
      </c>
      <c r="CJ48" s="59">
        <f>MAX(-CI68,-CJ27*Assumptions!$L$33-'50% Equity Scenario'!CJ45)</f>
        <v>0</v>
      </c>
      <c r="CK48" s="59">
        <f>MAX(-CJ68,-CK27*Assumptions!$L$33-'50% Equity Scenario'!CK45)</f>
        <v>0</v>
      </c>
      <c r="CL48" s="59">
        <f>MAX(-CK68,-CL27*Assumptions!$L$33-'50% Equity Scenario'!CL45)</f>
        <v>0</v>
      </c>
      <c r="CM48" s="59">
        <f>MAX(-CL68,-CM27*Assumptions!$L$33-'50% Equity Scenario'!CM45)</f>
        <v>0</v>
      </c>
      <c r="CN48" s="59">
        <f>MAX(-CM68,-CN27*Assumptions!$L$33-'50% Equity Scenario'!CN45)</f>
        <v>0</v>
      </c>
      <c r="CO48" s="59">
        <f>MAX(-CN68,-CO27*Assumptions!$L$33-'50% Equity Scenario'!CO45)</f>
        <v>0</v>
      </c>
      <c r="CP48" s="59">
        <f>MAX(-CO68,-CP27*Assumptions!$L$33-'50% Equity Scenario'!CP45)</f>
        <v>0</v>
      </c>
      <c r="CQ48" s="59">
        <f>MAX(-CP68,-CQ27*Assumptions!$L$33-'50% Equity Scenario'!CQ45)</f>
        <v>0</v>
      </c>
      <c r="CR48" s="59">
        <f>MAX(-CQ68,-CR27*Assumptions!$L$33-'50% Equity Scenario'!CR45)</f>
        <v>0</v>
      </c>
      <c r="CS48" s="59">
        <f>MAX(-CR68,-CS27*Assumptions!$L$33-'50% Equity Scenario'!CS45)</f>
        <v>0</v>
      </c>
      <c r="CT48" s="59">
        <f>MAX(-CS68,-CT27*Assumptions!$L$33-'50% Equity Scenario'!CT45)</f>
        <v>0</v>
      </c>
      <c r="CU48" s="59">
        <f>MAX(-CT68,-CU27*Assumptions!$L$33-'50% Equity Scenario'!CU45)</f>
        <v>0</v>
      </c>
      <c r="CV48" s="59">
        <f>MAX(-CU68,-CV27*Assumptions!$L$33-'50% Equity Scenario'!CV45)</f>
        <v>0</v>
      </c>
      <c r="CW48" s="59">
        <f>MAX(-CV68,-CW27*Assumptions!$L$33-'50% Equity Scenario'!CW45)</f>
        <v>0</v>
      </c>
      <c r="CX48" s="59">
        <f>MAX(-CW68,-CX27*Assumptions!$L$33-'50% Equity Scenario'!CX45)</f>
        <v>0</v>
      </c>
      <c r="CY48" s="59">
        <f>MAX(-CX68,-CY27*Assumptions!$L$33-'50% Equity Scenario'!CY45)</f>
        <v>0</v>
      </c>
      <c r="CZ48" s="59">
        <f>MAX(-CY68,-CZ27*Assumptions!$L$33-'50% Equity Scenario'!CZ45)</f>
        <v>0</v>
      </c>
      <c r="DA48" s="59">
        <f>MAX(-CZ68,-DA27*Assumptions!$L$33-'50% Equity Scenario'!DA45)</f>
        <v>0</v>
      </c>
      <c r="DB48" s="59">
        <f>MAX(-DA68,-DB27*Assumptions!$L$33-'50% Equity Scenario'!DB45)</f>
        <v>0</v>
      </c>
      <c r="DC48" s="59">
        <f>MAX(-DB68,-DC27*Assumptions!$L$33-'50% Equity Scenario'!DC45)</f>
        <v>0</v>
      </c>
      <c r="DD48" s="59">
        <f>MAX(-DC68,-DD27*Assumptions!$L$33-'50% Equity Scenario'!DD45)</f>
        <v>0</v>
      </c>
      <c r="DE48" s="59">
        <f>MAX(-DD68,-DE27*Assumptions!$L$33-'50% Equity Scenario'!DE45)</f>
        <v>0</v>
      </c>
      <c r="DF48" s="59">
        <f>MAX(-DE68,-DF27*Assumptions!$L$33-'50% Equity Scenario'!DF45)</f>
        <v>0</v>
      </c>
      <c r="DG48" s="59">
        <f>MAX(-DF68,-DG27*Assumptions!$L$33-'50% Equity Scenario'!DG45)</f>
        <v>0</v>
      </c>
      <c r="DH48" s="59">
        <f>MAX(-DG68,-DH27*Assumptions!$L$33-'50% Equity Scenario'!DH45)</f>
        <v>0</v>
      </c>
      <c r="DI48" s="59">
        <f>MAX(-DH68,-DI27*Assumptions!$L$33-'50% Equity Scenario'!DI45)</f>
        <v>0</v>
      </c>
      <c r="DJ48" s="59">
        <f>MAX(-DI68,-DJ27*Assumptions!$L$33-'50% Equity Scenario'!DJ45)</f>
        <v>0</v>
      </c>
      <c r="DK48" s="59">
        <f>MAX(-DJ68,-DK27*Assumptions!$L$33-'50% Equity Scenario'!DK45)</f>
        <v>0</v>
      </c>
      <c r="DL48" s="59">
        <f>MAX(-DK68,-DL27*Assumptions!$L$33-'50% Equity Scenario'!DL45)</f>
        <v>0</v>
      </c>
      <c r="DM48" s="59">
        <f>MAX(-DL68,-DM27*Assumptions!$L$33-'50% Equity Scenario'!DM45)</f>
        <v>0</v>
      </c>
      <c r="DN48" s="59">
        <f>MAX(-DM68,-DN27*Assumptions!$L$33-'50% Equity Scenario'!DN45)</f>
        <v>0</v>
      </c>
      <c r="DO48" s="59">
        <f>MAX(-DN68,-DO27*Assumptions!$L$33-'50% Equity Scenario'!DO45)</f>
        <v>0</v>
      </c>
      <c r="DP48" s="59">
        <f>MAX(-DO68,-DP27*Assumptions!$L$33-'50% Equity Scenario'!DP45)</f>
        <v>0</v>
      </c>
      <c r="DQ48" s="59">
        <f>MAX(-DP68,-DQ27*Assumptions!$L$33-'50% Equity Scenario'!DQ45)</f>
        <v>0</v>
      </c>
      <c r="DR48" s="59">
        <f>MAX(-DQ68,-DR27*Assumptions!$L$33-'50% Equity Scenario'!DR45)</f>
        <v>0</v>
      </c>
      <c r="DS48" s="59">
        <f>MAX(-DR68,-DS27*Assumptions!$L$33-'50% Equity Scenario'!DS45)</f>
        <v>0</v>
      </c>
      <c r="DT48" s="59">
        <f>MAX(-DS68,-DT27*Assumptions!$L$33-'50% Equity Scenario'!DT45)</f>
        <v>0</v>
      </c>
      <c r="DU48" s="60">
        <f>MAX(-DT68,-DU27*Assumptions!$L$33-'50% Equity Scenario'!DU45)</f>
        <v>0</v>
      </c>
    </row>
    <row r="49" spans="1:125" x14ac:dyDescent="0.4">
      <c r="B49" s="39"/>
      <c r="D49" s="62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60"/>
    </row>
    <row r="50" spans="1:125" s="4" customFormat="1" x14ac:dyDescent="0.4">
      <c r="A50" s="4" t="s">
        <v>36</v>
      </c>
      <c r="B50" s="94"/>
      <c r="C50" s="100" t="s">
        <v>96</v>
      </c>
      <c r="D50" s="104"/>
      <c r="E50" s="20">
        <f>SUM(E51:E52)</f>
        <v>335000</v>
      </c>
      <c r="F50" s="20">
        <f t="shared" ref="F50:BQ50" si="57">SUM(F51:F52)</f>
        <v>331616.5</v>
      </c>
      <c r="G50" s="20">
        <f t="shared" si="57"/>
        <v>328267.17335</v>
      </c>
      <c r="H50" s="20">
        <f t="shared" si="57"/>
        <v>324951.67489916499</v>
      </c>
      <c r="I50" s="20">
        <f t="shared" si="57"/>
        <v>321669.66298268345</v>
      </c>
      <c r="J50" s="20">
        <f t="shared" si="57"/>
        <v>318420.7993865583</v>
      </c>
      <c r="K50" s="20">
        <f t="shared" si="57"/>
        <v>315204.74931275408</v>
      </c>
      <c r="L50" s="20">
        <f t="shared" si="57"/>
        <v>312021.18134469527</v>
      </c>
      <c r="M50" s="20">
        <f t="shared" si="57"/>
        <v>308869.76741311385</v>
      </c>
      <c r="N50" s="20">
        <f t="shared" si="57"/>
        <v>305750.1827622414</v>
      </c>
      <c r="O50" s="20">
        <f t="shared" si="57"/>
        <v>302662.10591634281</v>
      </c>
      <c r="P50" s="20">
        <f t="shared" si="57"/>
        <v>299605.21864658775</v>
      </c>
      <c r="Q50" s="20">
        <f t="shared" si="57"/>
        <v>296579.20593825722</v>
      </c>
      <c r="R50" s="20">
        <f t="shared" si="57"/>
        <v>293583.75595828076</v>
      </c>
      <c r="S50" s="20">
        <f t="shared" si="57"/>
        <v>290618.56002310215</v>
      </c>
      <c r="T50" s="20">
        <f t="shared" si="57"/>
        <v>287683.31256686879</v>
      </c>
      <c r="U50" s="20">
        <f t="shared" si="57"/>
        <v>284777.7111099434</v>
      </c>
      <c r="V50" s="20">
        <f t="shared" si="57"/>
        <v>281901.456227733</v>
      </c>
      <c r="W50" s="20">
        <f t="shared" si="57"/>
        <v>279054.25151983288</v>
      </c>
      <c r="X50" s="20">
        <f t="shared" si="57"/>
        <v>276235.8035794826</v>
      </c>
      <c r="Y50" s="20">
        <f t="shared" si="57"/>
        <v>273445.8219633298</v>
      </c>
      <c r="Z50" s="20">
        <f t="shared" si="57"/>
        <v>270684.01916150021</v>
      </c>
      <c r="AA50" s="20">
        <f t="shared" si="57"/>
        <v>267950.11056796904</v>
      </c>
      <c r="AB50" s="20">
        <f t="shared" si="57"/>
        <v>265243.81445123255</v>
      </c>
      <c r="AC50" s="20">
        <f t="shared" si="57"/>
        <v>262564.85192527511</v>
      </c>
      <c r="AD50" s="20">
        <f t="shared" si="57"/>
        <v>259912.94692082983</v>
      </c>
      <c r="AE50" s="20">
        <f t="shared" si="57"/>
        <v>257287.82615692943</v>
      </c>
      <c r="AF50" s="20">
        <f t="shared" si="57"/>
        <v>254689.21911274444</v>
      </c>
      <c r="AG50" s="20">
        <f t="shared" si="57"/>
        <v>252116.85799970571</v>
      </c>
      <c r="AH50" s="20">
        <f t="shared" si="57"/>
        <v>249570.47773390869</v>
      </c>
      <c r="AI50" s="20">
        <f t="shared" si="57"/>
        <v>247049.81590879621</v>
      </c>
      <c r="AJ50" s="20">
        <f t="shared" si="57"/>
        <v>244554.61276811737</v>
      </c>
      <c r="AK50" s="20">
        <f t="shared" si="57"/>
        <v>242084.6111791594</v>
      </c>
      <c r="AL50" s="20">
        <f t="shared" si="57"/>
        <v>239639.55660624988</v>
      </c>
      <c r="AM50" s="20">
        <f t="shared" si="57"/>
        <v>237219.19708452676</v>
      </c>
      <c r="AN50" s="20">
        <f t="shared" si="57"/>
        <v>234823.28319397307</v>
      </c>
      <c r="AO50" s="20">
        <f t="shared" si="57"/>
        <v>232451.56803371393</v>
      </c>
      <c r="AP50" s="20">
        <f t="shared" si="57"/>
        <v>230103.80719657341</v>
      </c>
      <c r="AQ50" s="20">
        <f t="shared" si="57"/>
        <v>227779.75874388803</v>
      </c>
      <c r="AR50" s="20">
        <f t="shared" si="57"/>
        <v>225479.18318057476</v>
      </c>
      <c r="AS50" s="20">
        <f t="shared" si="57"/>
        <v>223201.84343045097</v>
      </c>
      <c r="AT50" s="20">
        <f t="shared" si="57"/>
        <v>220947.5048118034</v>
      </c>
      <c r="AU50" s="20">
        <f t="shared" si="57"/>
        <v>218715.9350132042</v>
      </c>
      <c r="AV50" s="20">
        <f t="shared" si="57"/>
        <v>216506.90406957085</v>
      </c>
      <c r="AW50" s="20">
        <f t="shared" si="57"/>
        <v>214320.18433846819</v>
      </c>
      <c r="AX50" s="20">
        <f t="shared" si="57"/>
        <v>212155.55047664963</v>
      </c>
      <c r="AY50" s="20">
        <f t="shared" si="57"/>
        <v>210012.77941683549</v>
      </c>
      <c r="AZ50" s="20">
        <f t="shared" si="57"/>
        <v>207891.65034472544</v>
      </c>
      <c r="BA50" s="20">
        <f t="shared" si="57"/>
        <v>205791.9446762437</v>
      </c>
      <c r="BB50" s="20">
        <f t="shared" si="57"/>
        <v>203713.44603501365</v>
      </c>
      <c r="BC50" s="20">
        <f t="shared" si="57"/>
        <v>201655.94023006002</v>
      </c>
      <c r="BD50" s="20">
        <f t="shared" si="57"/>
        <v>199619.21523373641</v>
      </c>
      <c r="BE50" s="20">
        <f t="shared" si="57"/>
        <v>197603.06115987568</v>
      </c>
      <c r="BF50" s="20">
        <f t="shared" si="57"/>
        <v>195607.27024216094</v>
      </c>
      <c r="BG50" s="20">
        <f t="shared" si="57"/>
        <v>193631.63681271512</v>
      </c>
      <c r="BH50" s="20">
        <f t="shared" si="57"/>
        <v>191675.9572809067</v>
      </c>
      <c r="BI50" s="20">
        <f t="shared" si="57"/>
        <v>189740.03011236957</v>
      </c>
      <c r="BJ50" s="20">
        <f t="shared" si="57"/>
        <v>187823.65580823465</v>
      </c>
      <c r="BK50" s="20">
        <f t="shared" si="57"/>
        <v>185926.63688457146</v>
      </c>
      <c r="BL50" s="20">
        <f t="shared" si="57"/>
        <v>184048.77785203728</v>
      </c>
      <c r="BM50" s="20">
        <f t="shared" si="57"/>
        <v>182189.88519573174</v>
      </c>
      <c r="BN50" s="20">
        <f t="shared" si="57"/>
        <v>180349.76735525485</v>
      </c>
      <c r="BO50" s="20">
        <f t="shared" si="57"/>
        <v>178528.23470496677</v>
      </c>
      <c r="BP50" s="20">
        <f t="shared" si="57"/>
        <v>176725.09953444658</v>
      </c>
      <c r="BQ50" s="20">
        <f t="shared" si="57"/>
        <v>174940.17602914869</v>
      </c>
      <c r="BR50" s="20">
        <f t="shared" ref="BR50:DU50" si="58">SUM(BR51:BR52)</f>
        <v>173173.28025125427</v>
      </c>
      <c r="BS50" s="20">
        <f t="shared" si="58"/>
        <v>171424.23012071659</v>
      </c>
      <c r="BT50" s="20">
        <f t="shared" si="58"/>
        <v>169692.84539649735</v>
      </c>
      <c r="BU50" s="20">
        <f t="shared" si="58"/>
        <v>167978.94765799271</v>
      </c>
      <c r="BV50" s="20">
        <f t="shared" si="58"/>
        <v>166282.36028664699</v>
      </c>
      <c r="BW50" s="20">
        <f t="shared" si="58"/>
        <v>164602.90844775186</v>
      </c>
      <c r="BX50" s="20">
        <f t="shared" si="58"/>
        <v>162940.41907242956</v>
      </c>
      <c r="BY50" s="20">
        <f t="shared" si="58"/>
        <v>161294.72083979801</v>
      </c>
      <c r="BZ50" s="20">
        <f t="shared" si="58"/>
        <v>159665.64415931609</v>
      </c>
      <c r="CA50" s="20">
        <f t="shared" si="58"/>
        <v>158053.02115330697</v>
      </c>
      <c r="CB50" s="20">
        <f t="shared" si="58"/>
        <v>156456.68563965856</v>
      </c>
      <c r="CC50" s="20">
        <f t="shared" si="58"/>
        <v>154876.47311469802</v>
      </c>
      <c r="CD50" s="20">
        <f t="shared" si="58"/>
        <v>153312.22073623954</v>
      </c>
      <c r="CE50" s="20">
        <f t="shared" si="58"/>
        <v>151763.76730680352</v>
      </c>
      <c r="CF50" s="20">
        <f t="shared" si="58"/>
        <v>150230.95325700482</v>
      </c>
      <c r="CG50" s="20">
        <f t="shared" si="58"/>
        <v>148713.62062910909</v>
      </c>
      <c r="CH50" s="20">
        <f t="shared" si="58"/>
        <v>147211.61306075507</v>
      </c>
      <c r="CI50" s="20">
        <f t="shared" si="58"/>
        <v>145724.77576884144</v>
      </c>
      <c r="CJ50" s="20">
        <f t="shared" si="58"/>
        <v>144252.95553357614</v>
      </c>
      <c r="CK50" s="20">
        <f t="shared" si="58"/>
        <v>142796.00068268704</v>
      </c>
      <c r="CL50" s="20">
        <f t="shared" si="58"/>
        <v>141353.7610757919</v>
      </c>
      <c r="CM50" s="20">
        <f t="shared" si="58"/>
        <v>139926.08808892639</v>
      </c>
      <c r="CN50" s="20">
        <f t="shared" si="58"/>
        <v>138512.83459922826</v>
      </c>
      <c r="CO50" s="20">
        <f t="shared" si="58"/>
        <v>137113.85496977603</v>
      </c>
      <c r="CP50" s="20">
        <f t="shared" si="58"/>
        <v>135729.00503458129</v>
      </c>
      <c r="CQ50" s="20">
        <f t="shared" si="58"/>
        <v>134358.14208373203</v>
      </c>
      <c r="CR50" s="20">
        <f t="shared" si="58"/>
        <v>133001.12484868633</v>
      </c>
      <c r="CS50" s="20">
        <f t="shared" si="58"/>
        <v>131657.81348771462</v>
      </c>
      <c r="CT50" s="20">
        <f t="shared" si="58"/>
        <v>130328.0695714887</v>
      </c>
      <c r="CU50" s="20">
        <f t="shared" si="58"/>
        <v>129011.75606881667</v>
      </c>
      <c r="CV50" s="20">
        <f t="shared" si="58"/>
        <v>127708.73733252162</v>
      </c>
      <c r="CW50" s="20">
        <f t="shared" si="58"/>
        <v>126418.87908546314</v>
      </c>
      <c r="CX50" s="20">
        <f t="shared" si="58"/>
        <v>125142.04840669996</v>
      </c>
      <c r="CY50" s="20">
        <f t="shared" si="58"/>
        <v>123878.11371779229</v>
      </c>
      <c r="CZ50" s="20">
        <f t="shared" si="58"/>
        <v>122626.94476924259</v>
      </c>
      <c r="DA50" s="20">
        <f t="shared" si="58"/>
        <v>121388.41262707324</v>
      </c>
      <c r="DB50" s="20">
        <f t="shared" si="58"/>
        <v>120162.3896595398</v>
      </c>
      <c r="DC50" s="20">
        <f t="shared" si="58"/>
        <v>118948.74952397845</v>
      </c>
      <c r="DD50" s="20">
        <f t="shared" si="58"/>
        <v>117747.36715378627</v>
      </c>
      <c r="DE50" s="20">
        <f t="shared" si="58"/>
        <v>116558.11874553304</v>
      </c>
      <c r="DF50" s="20">
        <f t="shared" si="58"/>
        <v>115380.88174620316</v>
      </c>
      <c r="DG50" s="20">
        <f t="shared" si="58"/>
        <v>114215.5348405665</v>
      </c>
      <c r="DH50" s="20">
        <f t="shared" si="58"/>
        <v>113061.95793867677</v>
      </c>
      <c r="DI50" s="20">
        <f t="shared" si="58"/>
        <v>111920.03216349614</v>
      </c>
      <c r="DJ50" s="20">
        <f t="shared" si="58"/>
        <v>110789.63983864483</v>
      </c>
      <c r="DK50" s="20">
        <f t="shared" si="58"/>
        <v>109670.66447627451</v>
      </c>
      <c r="DL50" s="20">
        <f t="shared" si="58"/>
        <v>108562.99076506414</v>
      </c>
      <c r="DM50" s="20">
        <f t="shared" si="58"/>
        <v>107466.50455833701</v>
      </c>
      <c r="DN50" s="20">
        <f t="shared" si="58"/>
        <v>106381.0928622978</v>
      </c>
      <c r="DO50" s="20">
        <f t="shared" si="58"/>
        <v>105306.64382438859</v>
      </c>
      <c r="DP50" s="20">
        <f t="shared" si="58"/>
        <v>104243.04672176226</v>
      </c>
      <c r="DQ50" s="20">
        <f t="shared" si="58"/>
        <v>103190.19194987246</v>
      </c>
      <c r="DR50" s="20">
        <f t="shared" si="58"/>
        <v>102147.97101117876</v>
      </c>
      <c r="DS50" s="20">
        <f t="shared" si="58"/>
        <v>101116.27650396586</v>
      </c>
      <c r="DT50" s="20">
        <f t="shared" si="58"/>
        <v>100095.0021112758</v>
      </c>
      <c r="DU50" s="95">
        <f t="shared" si="58"/>
        <v>600570.01266765466</v>
      </c>
    </row>
    <row r="51" spans="1:125" x14ac:dyDescent="0.4">
      <c r="B51" s="39"/>
      <c r="C51" s="55" t="s">
        <v>60</v>
      </c>
      <c r="D51" s="62"/>
      <c r="E51" s="59">
        <f>E26*Assumptions!$K$32</f>
        <v>300000</v>
      </c>
      <c r="F51" s="59">
        <f>F26*Assumptions!$K$32</f>
        <v>296970</v>
      </c>
      <c r="G51" s="59">
        <f>G26*Assumptions!$K$32</f>
        <v>293970.603</v>
      </c>
      <c r="H51" s="59">
        <f>H26*Assumptions!$K$32</f>
        <v>291001.49990970001</v>
      </c>
      <c r="I51" s="59">
        <f>I26*Assumptions!$K$32</f>
        <v>288062.38476061204</v>
      </c>
      <c r="J51" s="59">
        <f>J26*Assumptions!$K$32</f>
        <v>285152.95467452984</v>
      </c>
      <c r="K51" s="59">
        <f>K26*Assumptions!$K$32</f>
        <v>282272.90983231709</v>
      </c>
      <c r="L51" s="59">
        <f>L26*Assumptions!$K$32</f>
        <v>279421.95344301069</v>
      </c>
      <c r="M51" s="59">
        <f>M26*Assumptions!$K$32</f>
        <v>276599.79171323631</v>
      </c>
      <c r="N51" s="59">
        <f>N26*Assumptions!$K$32</f>
        <v>273806.13381693262</v>
      </c>
      <c r="O51" s="59">
        <f>O26*Assumptions!$K$32</f>
        <v>271040.69186538161</v>
      </c>
      <c r="P51" s="59">
        <f>P26*Assumptions!$K$32</f>
        <v>268303.18087754125</v>
      </c>
      <c r="Q51" s="59">
        <f>Q26*Assumptions!$K$32</f>
        <v>265593.3187506781</v>
      </c>
      <c r="R51" s="59">
        <f>R26*Assumptions!$K$32</f>
        <v>262910.82623129623</v>
      </c>
      <c r="S51" s="59">
        <f>S26*Assumptions!$K$32</f>
        <v>260255.42688636013</v>
      </c>
      <c r="T51" s="59">
        <f>T26*Assumptions!$K$32</f>
        <v>257626.84707480788</v>
      </c>
      <c r="U51" s="59">
        <f>U26*Assumptions!$K$32</f>
        <v>255024.81591935232</v>
      </c>
      <c r="V51" s="59">
        <f>V26*Assumptions!$K$32</f>
        <v>252449.06527856685</v>
      </c>
      <c r="W51" s="59">
        <f>W26*Assumptions!$K$32</f>
        <v>249899.32971925332</v>
      </c>
      <c r="X51" s="59">
        <f>X26*Assumptions!$K$32</f>
        <v>247375.34648908887</v>
      </c>
      <c r="Y51" s="59">
        <f>Y26*Assumptions!$K$32</f>
        <v>244876.85548954908</v>
      </c>
      <c r="Z51" s="59">
        <f>Z26*Assumptions!$K$32</f>
        <v>242403.59924910465</v>
      </c>
      <c r="AA51" s="59">
        <f>AA26*Assumptions!$K$32</f>
        <v>239955.32289668868</v>
      </c>
      <c r="AB51" s="59">
        <f>AB26*Assumptions!$K$32</f>
        <v>237531.77413543212</v>
      </c>
      <c r="AC51" s="59">
        <f>AC26*Assumptions!$K$32</f>
        <v>235132.70321666426</v>
      </c>
      <c r="AD51" s="59">
        <f>AD26*Assumptions!$K$32</f>
        <v>232757.86291417596</v>
      </c>
      <c r="AE51" s="59">
        <f>AE26*Assumptions!$K$32</f>
        <v>230407.00849874277</v>
      </c>
      <c r="AF51" s="59">
        <f>AF26*Assumptions!$K$32</f>
        <v>228079.89771290545</v>
      </c>
      <c r="AG51" s="59">
        <f>AG26*Assumptions!$K$32</f>
        <v>225776.29074600511</v>
      </c>
      <c r="AH51" s="59">
        <f>AH26*Assumptions!$K$32</f>
        <v>223495.95020947047</v>
      </c>
      <c r="AI51" s="59">
        <f>AI26*Assumptions!$K$32</f>
        <v>221238.64111235482</v>
      </c>
      <c r="AJ51" s="59">
        <f>AJ26*Assumptions!$K$32</f>
        <v>219004.13083712003</v>
      </c>
      <c r="AK51" s="59">
        <f>AK26*Assumptions!$K$32</f>
        <v>216792.18911566513</v>
      </c>
      <c r="AL51" s="59">
        <f>AL26*Assumptions!$K$32</f>
        <v>214602.58800559692</v>
      </c>
      <c r="AM51" s="59">
        <f>AM26*Assumptions!$K$32</f>
        <v>212435.10186674038</v>
      </c>
      <c r="AN51" s="59">
        <f>AN26*Assumptions!$K$32</f>
        <v>210289.50733788632</v>
      </c>
      <c r="AO51" s="59">
        <f>AO26*Assumptions!$K$32</f>
        <v>208165.58331377368</v>
      </c>
      <c r="AP51" s="59">
        <f>AP26*Assumptions!$K$32</f>
        <v>206063.11092230456</v>
      </c>
      <c r="AQ51" s="59">
        <f>AQ26*Assumptions!$K$32</f>
        <v>203981.87350198929</v>
      </c>
      <c r="AR51" s="59">
        <f>AR26*Assumptions!$K$32</f>
        <v>201921.65657961919</v>
      </c>
      <c r="AS51" s="59">
        <f>AS26*Assumptions!$K$32</f>
        <v>199882.24784816505</v>
      </c>
      <c r="AT51" s="59">
        <f>AT26*Assumptions!$K$32</f>
        <v>197863.43714489858</v>
      </c>
      <c r="AU51" s="59">
        <f>AU26*Assumptions!$K$32</f>
        <v>195865.01642973511</v>
      </c>
      <c r="AV51" s="59">
        <f>AV26*Assumptions!$K$32</f>
        <v>193886.7797637948</v>
      </c>
      <c r="AW51" s="59">
        <f>AW26*Assumptions!$K$32</f>
        <v>191928.52328818047</v>
      </c>
      <c r="AX51" s="59">
        <f>AX26*Assumptions!$K$32</f>
        <v>189990.04520296984</v>
      </c>
      <c r="AY51" s="59">
        <f>AY26*Assumptions!$K$32</f>
        <v>188071.14574641985</v>
      </c>
      <c r="AZ51" s="59">
        <f>AZ26*Assumptions!$K$32</f>
        <v>186171.62717438099</v>
      </c>
      <c r="BA51" s="59">
        <f>BA26*Assumptions!$K$32</f>
        <v>184291.29373991975</v>
      </c>
      <c r="BB51" s="59">
        <f>BB26*Assumptions!$K$32</f>
        <v>182429.95167314657</v>
      </c>
      <c r="BC51" s="59">
        <f>BC26*Assumptions!$K$32</f>
        <v>180587.40916124778</v>
      </c>
      <c r="BD51" s="59">
        <f>BD26*Assumptions!$K$32</f>
        <v>178763.47632871917</v>
      </c>
      <c r="BE51" s="59">
        <f>BE26*Assumptions!$K$32</f>
        <v>176957.96521779912</v>
      </c>
      <c r="BF51" s="59">
        <f>BF26*Assumptions!$K$32</f>
        <v>175170.68976909935</v>
      </c>
      <c r="BG51" s="59">
        <f>BG26*Assumptions!$K$32</f>
        <v>173401.46580243146</v>
      </c>
      <c r="BH51" s="59">
        <f>BH26*Assumptions!$K$32</f>
        <v>171650.11099782691</v>
      </c>
      <c r="BI51" s="59">
        <f>BI26*Assumptions!$K$32</f>
        <v>169916.44487674886</v>
      </c>
      <c r="BJ51" s="59">
        <f>BJ26*Assumptions!$K$32</f>
        <v>168200.28878349371</v>
      </c>
      <c r="BK51" s="59">
        <f>BK26*Assumptions!$K$32</f>
        <v>166501.46586678043</v>
      </c>
      <c r="BL51" s="59">
        <f>BL26*Assumptions!$K$32</f>
        <v>164819.80106152594</v>
      </c>
      <c r="BM51" s="59">
        <f>BM26*Assumptions!$K$32</f>
        <v>163155.12107080454</v>
      </c>
      <c r="BN51" s="59">
        <f>BN26*Assumptions!$K$32</f>
        <v>161507.25434798942</v>
      </c>
      <c r="BO51" s="59">
        <f>BO26*Assumptions!$K$32</f>
        <v>159876.03107907472</v>
      </c>
      <c r="BP51" s="59">
        <f>BP26*Assumptions!$K$32</f>
        <v>158261.28316517605</v>
      </c>
      <c r="BQ51" s="59">
        <f>BQ26*Assumptions!$K$32</f>
        <v>156662.84420520777</v>
      </c>
      <c r="BR51" s="59">
        <f>BR26*Assumptions!$K$32</f>
        <v>155080.54947873516</v>
      </c>
      <c r="BS51" s="59">
        <f>BS26*Assumptions!$K$32</f>
        <v>153514.23592899993</v>
      </c>
      <c r="BT51" s="59">
        <f>BT26*Assumptions!$K$32</f>
        <v>151963.74214611703</v>
      </c>
      <c r="BU51" s="59">
        <f>BU26*Assumptions!$K$32</f>
        <v>150428.90835044126</v>
      </c>
      <c r="BV51" s="59">
        <f>BV26*Assumptions!$K$32</f>
        <v>148909.57637610179</v>
      </c>
      <c r="BW51" s="59">
        <f>BW26*Assumptions!$K$32</f>
        <v>147405.58965470316</v>
      </c>
      <c r="BX51" s="59">
        <f>BX26*Assumptions!$K$32</f>
        <v>145916.79319919067</v>
      </c>
      <c r="BY51" s="59">
        <f>BY26*Assumptions!$K$32</f>
        <v>144443.03358787883</v>
      </c>
      <c r="BZ51" s="59">
        <f>BZ26*Assumptions!$K$32</f>
        <v>142984.15894864127</v>
      </c>
      <c r="CA51" s="59">
        <f>CA26*Assumptions!$K$32</f>
        <v>141540.01894325999</v>
      </c>
      <c r="CB51" s="59">
        <f>CB26*Assumptions!$K$32</f>
        <v>140110.46475193306</v>
      </c>
      <c r="CC51" s="59">
        <f>CC26*Assumptions!$K$32</f>
        <v>138695.34905793853</v>
      </c>
      <c r="CD51" s="59">
        <f>CD26*Assumptions!$K$32</f>
        <v>137294.52603245334</v>
      </c>
      <c r="CE51" s="59">
        <f>CE26*Assumptions!$K$32</f>
        <v>135907.85131952557</v>
      </c>
      <c r="CF51" s="59">
        <f>CF26*Assumptions!$K$32</f>
        <v>134535.18202119836</v>
      </c>
      <c r="CG51" s="59">
        <f>CG26*Assumptions!$K$32</f>
        <v>133176.37668278426</v>
      </c>
      <c r="CH51" s="59">
        <f>CH26*Assumptions!$K$32</f>
        <v>131831.29527828813</v>
      </c>
      <c r="CI51" s="59">
        <f>CI26*Assumptions!$K$32</f>
        <v>130499.79919597742</v>
      </c>
      <c r="CJ51" s="59">
        <f>CJ26*Assumptions!$K$32</f>
        <v>129181.75122409806</v>
      </c>
      <c r="CK51" s="59">
        <f>CK26*Assumptions!$K$32</f>
        <v>127877.01553673467</v>
      </c>
      <c r="CL51" s="59">
        <f>CL26*Assumptions!$K$32</f>
        <v>126585.45767981365</v>
      </c>
      <c r="CM51" s="59">
        <f>CM26*Assumptions!$K$32</f>
        <v>125306.94455724754</v>
      </c>
      <c r="CN51" s="59">
        <f>CN26*Assumptions!$K$32</f>
        <v>124041.34441721934</v>
      </c>
      <c r="CO51" s="59">
        <f>CO26*Assumptions!$K$32</f>
        <v>122788.52683860542</v>
      </c>
      <c r="CP51" s="59">
        <f>CP26*Assumptions!$K$32</f>
        <v>121548.36271753551</v>
      </c>
      <c r="CQ51" s="59">
        <f>CQ26*Assumptions!$K$32</f>
        <v>120320.7242540884</v>
      </c>
      <c r="CR51" s="59">
        <f>CR26*Assumptions!$K$32</f>
        <v>119105.48493912211</v>
      </c>
      <c r="CS51" s="59">
        <f>CS26*Assumptions!$K$32</f>
        <v>117902.51954123698</v>
      </c>
      <c r="CT51" s="59">
        <f>CT26*Assumptions!$K$32</f>
        <v>116711.70409387049</v>
      </c>
      <c r="CU51" s="59">
        <f>CU26*Assumptions!$K$32</f>
        <v>115532.9158825224</v>
      </c>
      <c r="CV51" s="59">
        <f>CV26*Assumptions!$K$32</f>
        <v>114366.03343210892</v>
      </c>
      <c r="CW51" s="59">
        <f>CW26*Assumptions!$K$32</f>
        <v>113210.93649444461</v>
      </c>
      <c r="CX51" s="59">
        <f>CX26*Assumptions!$K$32</f>
        <v>112067.50603585072</v>
      </c>
      <c r="CY51" s="59">
        <f>CY26*Assumptions!$K$32</f>
        <v>110935.62422488863</v>
      </c>
      <c r="CZ51" s="59">
        <f>CZ26*Assumptions!$K$32</f>
        <v>109815.17442021726</v>
      </c>
      <c r="DA51" s="59">
        <f>DA26*Assumptions!$K$32</f>
        <v>108706.04115857306</v>
      </c>
      <c r="DB51" s="59">
        <f>DB26*Assumptions!$K$32</f>
        <v>107608.11014287148</v>
      </c>
      <c r="DC51" s="59">
        <f>DC26*Assumptions!$K$32</f>
        <v>106521.26823042847</v>
      </c>
      <c r="DD51" s="59">
        <f>DD26*Assumptions!$K$32</f>
        <v>105445.40342130115</v>
      </c>
      <c r="DE51" s="59">
        <f>DE26*Assumptions!$K$32</f>
        <v>104380.40484674601</v>
      </c>
      <c r="DF51" s="59">
        <f>DF26*Assumptions!$K$32</f>
        <v>103326.16275779388</v>
      </c>
      <c r="DG51" s="59">
        <f>DG26*Assumptions!$K$32</f>
        <v>102282.56851394016</v>
      </c>
      <c r="DH51" s="59">
        <f>DH26*Assumptions!$K$32</f>
        <v>101249.51457194936</v>
      </c>
      <c r="DI51" s="59">
        <f>DI26*Assumptions!$K$32</f>
        <v>100226.89447477268</v>
      </c>
      <c r="DJ51" s="59">
        <f>DJ26*Assumptions!$K$32</f>
        <v>99214.60284057747</v>
      </c>
      <c r="DK51" s="59">
        <f>DK26*Assumptions!$K$32</f>
        <v>98212.535351887636</v>
      </c>
      <c r="DL51" s="59">
        <f>DL26*Assumptions!$K$32</f>
        <v>97220.588744833571</v>
      </c>
      <c r="DM51" s="59">
        <f>DM26*Assumptions!$K$32</f>
        <v>96238.660798510755</v>
      </c>
      <c r="DN51" s="59">
        <f>DN26*Assumptions!$K$32</f>
        <v>95266.6503244458</v>
      </c>
      <c r="DO51" s="59">
        <f>DO26*Assumptions!$K$32</f>
        <v>94304.457156168894</v>
      </c>
      <c r="DP51" s="59">
        <f>DP26*Assumptions!$K$32</f>
        <v>93351.982138891588</v>
      </c>
      <c r="DQ51" s="59">
        <f>DQ26*Assumptions!$K$32</f>
        <v>92409.12711928878</v>
      </c>
      <c r="DR51" s="59">
        <f>DR26*Assumptions!$K$32</f>
        <v>91475.794935383965</v>
      </c>
      <c r="DS51" s="59">
        <f>DS26*Assumptions!$K$32</f>
        <v>90551.889406536589</v>
      </c>
      <c r="DT51" s="59">
        <f>DT26*Assumptions!$K$32</f>
        <v>89637.315323530565</v>
      </c>
      <c r="DU51" s="60">
        <f>DU26*Assumptions!$K$32</f>
        <v>537823.89194118336</v>
      </c>
    </row>
    <row r="52" spans="1:125" x14ac:dyDescent="0.4">
      <c r="B52" s="39"/>
      <c r="C52" s="55" t="s">
        <v>61</v>
      </c>
      <c r="D52" s="62"/>
      <c r="E52" s="59">
        <f>E27*Assumptions!$L$32</f>
        <v>35000</v>
      </c>
      <c r="F52" s="59">
        <f>F27*Assumptions!$L$32</f>
        <v>34646.5</v>
      </c>
      <c r="G52" s="59">
        <f>G27*Assumptions!$L$32</f>
        <v>34296.570350000002</v>
      </c>
      <c r="H52" s="59">
        <f>H27*Assumptions!$L$32</f>
        <v>33950.174989464998</v>
      </c>
      <c r="I52" s="59">
        <f>I27*Assumptions!$L$32</f>
        <v>33607.2782220714</v>
      </c>
      <c r="J52" s="59">
        <f>J27*Assumptions!$L$32</f>
        <v>33267.844712028476</v>
      </c>
      <c r="K52" s="59">
        <f>K27*Assumptions!$L$32</f>
        <v>32931.839480436989</v>
      </c>
      <c r="L52" s="59">
        <f>L27*Assumptions!$L$32</f>
        <v>32599.227901684575</v>
      </c>
      <c r="M52" s="59">
        <f>M27*Assumptions!$L$32</f>
        <v>32269.975699877559</v>
      </c>
      <c r="N52" s="59">
        <f>N27*Assumptions!$L$32</f>
        <v>31944.048945308798</v>
      </c>
      <c r="O52" s="59">
        <f>O27*Assumptions!$L$32</f>
        <v>31621.414050961179</v>
      </c>
      <c r="P52" s="59">
        <f>P27*Assumptions!$L$32</f>
        <v>31302.03776904647</v>
      </c>
      <c r="Q52" s="59">
        <f>Q27*Assumptions!$L$32</f>
        <v>30985.887187579101</v>
      </c>
      <c r="R52" s="59">
        <f>R27*Assumptions!$L$32</f>
        <v>30672.929726984552</v>
      </c>
      <c r="S52" s="59">
        <f>S27*Assumptions!$L$32</f>
        <v>30363.13313674201</v>
      </c>
      <c r="T52" s="59">
        <f>T27*Assumptions!$L$32</f>
        <v>30056.465492060917</v>
      </c>
      <c r="U52" s="59">
        <f>U27*Assumptions!$L$32</f>
        <v>29752.895190591102</v>
      </c>
      <c r="V52" s="59">
        <f>V27*Assumptions!$L$32</f>
        <v>29452.390949166132</v>
      </c>
      <c r="W52" s="59">
        <f>W27*Assumptions!$L$32</f>
        <v>29154.921800579556</v>
      </c>
      <c r="X52" s="59">
        <f>X27*Assumptions!$L$32</f>
        <v>28860.457090393702</v>
      </c>
      <c r="Y52" s="59">
        <f>Y27*Assumptions!$L$32</f>
        <v>28568.966473780725</v>
      </c>
      <c r="Z52" s="59">
        <f>Z27*Assumptions!$L$32</f>
        <v>28280.41991239554</v>
      </c>
      <c r="AA52" s="59">
        <f>AA27*Assumptions!$L$32</f>
        <v>27994.787671280345</v>
      </c>
      <c r="AB52" s="59">
        <f>AB27*Assumptions!$L$32</f>
        <v>27712.040315800412</v>
      </c>
      <c r="AC52" s="59">
        <f>AC27*Assumptions!$L$32</f>
        <v>27432.148708610828</v>
      </c>
      <c r="AD52" s="59">
        <f>AD27*Assumptions!$L$32</f>
        <v>27155.084006653859</v>
      </c>
      <c r="AE52" s="59">
        <f>AE27*Assumptions!$L$32</f>
        <v>26880.817658186654</v>
      </c>
      <c r="AF52" s="59">
        <f>AF27*Assumptions!$L$32</f>
        <v>26609.321399838969</v>
      </c>
      <c r="AG52" s="59">
        <f>AG27*Assumptions!$L$32</f>
        <v>26340.567253700596</v>
      </c>
      <c r="AH52" s="59">
        <f>AH27*Assumptions!$L$32</f>
        <v>26074.527524438221</v>
      </c>
      <c r="AI52" s="59">
        <f>AI27*Assumptions!$L$32</f>
        <v>25811.174796441395</v>
      </c>
      <c r="AJ52" s="59">
        <f>AJ27*Assumptions!$L$32</f>
        <v>25550.481930997339</v>
      </c>
      <c r="AK52" s="59">
        <f>AK27*Assumptions!$L$32</f>
        <v>25292.422063494265</v>
      </c>
      <c r="AL52" s="59">
        <f>AL27*Assumptions!$L$32</f>
        <v>25036.968600652974</v>
      </c>
      <c r="AM52" s="59">
        <f>AM27*Assumptions!$L$32</f>
        <v>24784.09521778638</v>
      </c>
      <c r="AN52" s="59">
        <f>AN27*Assumptions!$L$32</f>
        <v>24533.775856086737</v>
      </c>
      <c r="AO52" s="59">
        <f>AO27*Assumptions!$L$32</f>
        <v>24285.984719940261</v>
      </c>
      <c r="AP52" s="59">
        <f>AP27*Assumptions!$L$32</f>
        <v>24040.696274268863</v>
      </c>
      <c r="AQ52" s="59">
        <f>AQ27*Assumptions!$L$32</f>
        <v>23797.885241898748</v>
      </c>
      <c r="AR52" s="59">
        <f>AR27*Assumptions!$L$32</f>
        <v>23557.526600955571</v>
      </c>
      <c r="AS52" s="59">
        <f>AS27*Assumptions!$L$32</f>
        <v>23319.595582285918</v>
      </c>
      <c r="AT52" s="59">
        <f>AT27*Assumptions!$L$32</f>
        <v>23084.06766690483</v>
      </c>
      <c r="AU52" s="59">
        <f>AU27*Assumptions!$L$32</f>
        <v>22850.918583469091</v>
      </c>
      <c r="AV52" s="59">
        <f>AV27*Assumptions!$L$32</f>
        <v>22620.124305776051</v>
      </c>
      <c r="AW52" s="59">
        <f>AW27*Assumptions!$L$32</f>
        <v>22391.661050287712</v>
      </c>
      <c r="AX52" s="59">
        <f>AX27*Assumptions!$L$32</f>
        <v>22165.505273679806</v>
      </c>
      <c r="AY52" s="59">
        <f>AY27*Assumptions!$L$32</f>
        <v>21941.633670415638</v>
      </c>
      <c r="AZ52" s="59">
        <f>AZ27*Assumptions!$L$32</f>
        <v>21720.023170344441</v>
      </c>
      <c r="BA52" s="59">
        <f>BA27*Assumptions!$L$32</f>
        <v>21500.65093632396</v>
      </c>
      <c r="BB52" s="59">
        <f>BB27*Assumptions!$L$32</f>
        <v>21283.494361867088</v>
      </c>
      <c r="BC52" s="59">
        <f>BC27*Assumptions!$L$32</f>
        <v>21068.53106881223</v>
      </c>
      <c r="BD52" s="59">
        <f>BD27*Assumptions!$L$32</f>
        <v>20855.738905017228</v>
      </c>
      <c r="BE52" s="59">
        <f>BE27*Assumptions!$L$32</f>
        <v>20645.095942076554</v>
      </c>
      <c r="BF52" s="59">
        <f>BF27*Assumptions!$L$32</f>
        <v>20436.580473061582</v>
      </c>
      <c r="BG52" s="59">
        <f>BG27*Assumptions!$L$32</f>
        <v>20230.171010283659</v>
      </c>
      <c r="BH52" s="59">
        <f>BH27*Assumptions!$L$32</f>
        <v>20025.846283079794</v>
      </c>
      <c r="BI52" s="59">
        <f>BI27*Assumptions!$L$32</f>
        <v>19823.585235620689</v>
      </c>
      <c r="BJ52" s="59">
        <f>BJ27*Assumptions!$L$32</f>
        <v>19623.367024740921</v>
      </c>
      <c r="BK52" s="59">
        <f>BK27*Assumptions!$L$32</f>
        <v>19425.171017791039</v>
      </c>
      <c r="BL52" s="59">
        <f>BL27*Assumptions!$L$32</f>
        <v>19228.976790511351</v>
      </c>
      <c r="BM52" s="59">
        <f>BM27*Assumptions!$L$32</f>
        <v>19034.764124927187</v>
      </c>
      <c r="BN52" s="59">
        <f>BN27*Assumptions!$L$32</f>
        <v>18842.513007265421</v>
      </c>
      <c r="BO52" s="59">
        <f>BO27*Assumptions!$L$32</f>
        <v>18652.203625892042</v>
      </c>
      <c r="BP52" s="59">
        <f>BP27*Assumptions!$L$32</f>
        <v>18463.816369270531</v>
      </c>
      <c r="BQ52" s="59">
        <f>BQ27*Assumptions!$L$32</f>
        <v>18277.331823940898</v>
      </c>
      <c r="BR52" s="59">
        <f>BR27*Assumptions!$L$32</f>
        <v>18092.730772519095</v>
      </c>
      <c r="BS52" s="59">
        <f>BS27*Assumptions!$L$32</f>
        <v>17909.994191716651</v>
      </c>
      <c r="BT52" s="59">
        <f>BT27*Assumptions!$L$32</f>
        <v>17729.103250380311</v>
      </c>
      <c r="BU52" s="59">
        <f>BU27*Assumptions!$L$32</f>
        <v>17550.039307551469</v>
      </c>
      <c r="BV52" s="59">
        <f>BV27*Assumptions!$L$32</f>
        <v>17372.7839105452</v>
      </c>
      <c r="BW52" s="59">
        <f>BW27*Assumptions!$L$32</f>
        <v>17197.318793048693</v>
      </c>
      <c r="BX52" s="59">
        <f>BX27*Assumptions!$L$32</f>
        <v>17023.6258732389</v>
      </c>
      <c r="BY52" s="59">
        <f>BY27*Assumptions!$L$32</f>
        <v>16851.687251919186</v>
      </c>
      <c r="BZ52" s="59">
        <f>BZ27*Assumptions!$L$32</f>
        <v>16681.4852106748</v>
      </c>
      <c r="CA52" s="59">
        <f>CA27*Assumptions!$L$32</f>
        <v>16513.002210046983</v>
      </c>
      <c r="CB52" s="59">
        <f>CB27*Assumptions!$L$32</f>
        <v>16346.220887725509</v>
      </c>
      <c r="CC52" s="59">
        <f>CC27*Assumptions!$L$32</f>
        <v>16181.124056759481</v>
      </c>
      <c r="CD52" s="59">
        <f>CD27*Assumptions!$L$32</f>
        <v>16017.69470378621</v>
      </c>
      <c r="CE52" s="59">
        <f>CE27*Assumptions!$L$32</f>
        <v>15855.915987277969</v>
      </c>
      <c r="CF52" s="59">
        <f>CF27*Assumptions!$L$32</f>
        <v>15695.771235806462</v>
      </c>
      <c r="CG52" s="59">
        <f>CG27*Assumptions!$L$32</f>
        <v>15537.243946324817</v>
      </c>
      <c r="CH52" s="59">
        <f>CH27*Assumptions!$L$32</f>
        <v>15380.317782466936</v>
      </c>
      <c r="CI52" s="59">
        <f>CI27*Assumptions!$L$32</f>
        <v>15224.97657286402</v>
      </c>
      <c r="CJ52" s="59">
        <f>CJ27*Assumptions!$L$32</f>
        <v>15071.204309478093</v>
      </c>
      <c r="CK52" s="59">
        <f>CK27*Assumptions!$L$32</f>
        <v>14918.985145952363</v>
      </c>
      <c r="CL52" s="59">
        <f>CL27*Assumptions!$L$32</f>
        <v>14768.303395978244</v>
      </c>
      <c r="CM52" s="59">
        <f>CM27*Assumptions!$L$32</f>
        <v>14619.143531678865</v>
      </c>
      <c r="CN52" s="59">
        <f>CN27*Assumptions!$L$32</f>
        <v>14471.490182008909</v>
      </c>
      <c r="CO52" s="59">
        <f>CO27*Assumptions!$L$32</f>
        <v>14325.32813117062</v>
      </c>
      <c r="CP52" s="59">
        <f>CP27*Assumptions!$L$32</f>
        <v>14180.642317045797</v>
      </c>
      <c r="CQ52" s="59">
        <f>CQ27*Assumptions!$L$32</f>
        <v>14037.417829643635</v>
      </c>
      <c r="CR52" s="59">
        <f>CR27*Assumptions!$L$32</f>
        <v>13895.639909564234</v>
      </c>
      <c r="CS52" s="59">
        <f>CS27*Assumptions!$L$32</f>
        <v>13755.293946477635</v>
      </c>
      <c r="CT52" s="59">
        <f>CT27*Assumptions!$L$32</f>
        <v>13616.365477618212</v>
      </c>
      <c r="CU52" s="59">
        <f>CU27*Assumptions!$L$32</f>
        <v>13478.840186294268</v>
      </c>
      <c r="CV52" s="59">
        <f>CV27*Assumptions!$L$32</f>
        <v>13342.703900412696</v>
      </c>
      <c r="CW52" s="59">
        <f>CW27*Assumptions!$L$32</f>
        <v>13207.942591018527</v>
      </c>
      <c r="CX52" s="59">
        <f>CX27*Assumptions!$L$32</f>
        <v>13074.54237084924</v>
      </c>
      <c r="CY52" s="59">
        <f>CY27*Assumptions!$L$32</f>
        <v>12942.489492903662</v>
      </c>
      <c r="CZ52" s="59">
        <f>CZ27*Assumptions!$L$32</f>
        <v>12811.770349025335</v>
      </c>
      <c r="DA52" s="59">
        <f>DA27*Assumptions!$L$32</f>
        <v>12682.37146850018</v>
      </c>
      <c r="DB52" s="59">
        <f>DB27*Assumptions!$L$32</f>
        <v>12554.279516668328</v>
      </c>
      <c r="DC52" s="59">
        <f>DC27*Assumptions!$L$32</f>
        <v>12427.481293549978</v>
      </c>
      <c r="DD52" s="59">
        <f>DD27*Assumptions!$L$32</f>
        <v>12301.963732485123</v>
      </c>
      <c r="DE52" s="59">
        <f>DE27*Assumptions!$L$32</f>
        <v>12177.713898787024</v>
      </c>
      <c r="DF52" s="59">
        <f>DF27*Assumptions!$L$32</f>
        <v>12054.718988409275</v>
      </c>
      <c r="DG52" s="59">
        <f>DG27*Assumptions!$L$32</f>
        <v>11932.966326626341</v>
      </c>
      <c r="DH52" s="59">
        <f>DH27*Assumptions!$L$32</f>
        <v>11812.443366727415</v>
      </c>
      <c r="DI52" s="59">
        <f>DI27*Assumptions!$L$32</f>
        <v>11693.137688723469</v>
      </c>
      <c r="DJ52" s="59">
        <f>DJ27*Assumptions!$L$32</f>
        <v>11575.036998067362</v>
      </c>
      <c r="DK52" s="59">
        <f>DK27*Assumptions!$L$32</f>
        <v>11458.129124386882</v>
      </c>
      <c r="DL52" s="59">
        <f>DL27*Assumptions!$L$32</f>
        <v>11342.402020230575</v>
      </c>
      <c r="DM52" s="59">
        <f>DM27*Assumptions!$L$32</f>
        <v>11227.843759826246</v>
      </c>
      <c r="DN52" s="59">
        <f>DN27*Assumptions!$L$32</f>
        <v>11114.442537852001</v>
      </c>
      <c r="DO52" s="59">
        <f>DO27*Assumptions!$L$32</f>
        <v>11002.186668219696</v>
      </c>
      <c r="DP52" s="59">
        <f>DP27*Assumptions!$L$32</f>
        <v>10891.064582870677</v>
      </c>
      <c r="DQ52" s="59">
        <f>DQ27*Assumptions!$L$32</f>
        <v>10781.064830583682</v>
      </c>
      <c r="DR52" s="59">
        <f>DR27*Assumptions!$L$32</f>
        <v>10672.176075794787</v>
      </c>
      <c r="DS52" s="59">
        <f>DS27*Assumptions!$L$32</f>
        <v>10564.38709742926</v>
      </c>
      <c r="DT52" s="59">
        <f>DT27*Assumptions!$L$32</f>
        <v>10457.686787745224</v>
      </c>
      <c r="DU52" s="60">
        <f>DU27*Assumptions!$L$32</f>
        <v>62746.120726471345</v>
      </c>
    </row>
    <row r="53" spans="1:125" s="4" customFormat="1" x14ac:dyDescent="0.4">
      <c r="A53" s="4" t="s">
        <v>36</v>
      </c>
      <c r="B53" s="74"/>
      <c r="C53" s="102" t="s">
        <v>97</v>
      </c>
      <c r="D53" s="91"/>
      <c r="E53" s="90">
        <f t="shared" ref="E53:AJ53" si="59">E38-E39-E40</f>
        <v>0</v>
      </c>
      <c r="F53" s="90">
        <f t="shared" si="59"/>
        <v>0</v>
      </c>
      <c r="G53" s="90">
        <f t="shared" si="59"/>
        <v>0</v>
      </c>
      <c r="H53" s="90">
        <f t="shared" si="59"/>
        <v>0</v>
      </c>
      <c r="I53" s="90">
        <f t="shared" si="59"/>
        <v>0</v>
      </c>
      <c r="J53" s="90">
        <f t="shared" si="59"/>
        <v>0</v>
      </c>
      <c r="K53" s="90">
        <f t="shared" si="59"/>
        <v>0</v>
      </c>
      <c r="L53" s="90">
        <f t="shared" si="59"/>
        <v>0</v>
      </c>
      <c r="M53" s="90">
        <f t="shared" si="59"/>
        <v>0</v>
      </c>
      <c r="N53" s="90">
        <f t="shared" si="59"/>
        <v>0</v>
      </c>
      <c r="O53" s="90">
        <f t="shared" si="59"/>
        <v>0</v>
      </c>
      <c r="P53" s="90">
        <f t="shared" si="59"/>
        <v>0</v>
      </c>
      <c r="Q53" s="90">
        <f t="shared" si="59"/>
        <v>0</v>
      </c>
      <c r="R53" s="90">
        <f t="shared" si="59"/>
        <v>0</v>
      </c>
      <c r="S53" s="90">
        <f t="shared" si="59"/>
        <v>0</v>
      </c>
      <c r="T53" s="90">
        <f t="shared" si="59"/>
        <v>0</v>
      </c>
      <c r="U53" s="90">
        <f t="shared" si="59"/>
        <v>0</v>
      </c>
      <c r="V53" s="90">
        <f t="shared" si="59"/>
        <v>0</v>
      </c>
      <c r="W53" s="90">
        <f t="shared" si="59"/>
        <v>0</v>
      </c>
      <c r="X53" s="90">
        <f t="shared" si="59"/>
        <v>0</v>
      </c>
      <c r="Y53" s="90">
        <f t="shared" si="59"/>
        <v>0</v>
      </c>
      <c r="Z53" s="90">
        <f t="shared" si="59"/>
        <v>0</v>
      </c>
      <c r="AA53" s="90">
        <f t="shared" si="59"/>
        <v>0</v>
      </c>
      <c r="AB53" s="90">
        <f t="shared" si="59"/>
        <v>0</v>
      </c>
      <c r="AC53" s="90">
        <f t="shared" si="59"/>
        <v>0</v>
      </c>
      <c r="AD53" s="90">
        <f t="shared" si="59"/>
        <v>0</v>
      </c>
      <c r="AE53" s="90">
        <f t="shared" si="59"/>
        <v>0</v>
      </c>
      <c r="AF53" s="90">
        <f t="shared" si="59"/>
        <v>0</v>
      </c>
      <c r="AG53" s="90">
        <f t="shared" si="59"/>
        <v>0</v>
      </c>
      <c r="AH53" s="90">
        <f t="shared" si="59"/>
        <v>8688.904823523626</v>
      </c>
      <c r="AI53" s="90">
        <f t="shared" si="59"/>
        <v>247049.81590879621</v>
      </c>
      <c r="AJ53" s="90">
        <f t="shared" si="59"/>
        <v>244554.61276811737</v>
      </c>
      <c r="AK53" s="90">
        <f t="shared" ref="AK53:BP53" si="60">AK38-AK39-AK40</f>
        <v>242084.6111791594</v>
      </c>
      <c r="AL53" s="90">
        <f t="shared" si="60"/>
        <v>239639.55660624988</v>
      </c>
      <c r="AM53" s="90">
        <f t="shared" si="60"/>
        <v>237219.19708452676</v>
      </c>
      <c r="AN53" s="90">
        <f t="shared" si="60"/>
        <v>234823.28319397307</v>
      </c>
      <c r="AO53" s="90">
        <f t="shared" si="60"/>
        <v>232451.56803371393</v>
      </c>
      <c r="AP53" s="90">
        <f t="shared" si="60"/>
        <v>230103.80719657341</v>
      </c>
      <c r="AQ53" s="90">
        <f t="shared" si="60"/>
        <v>227779.75874388803</v>
      </c>
      <c r="AR53" s="90">
        <f t="shared" si="60"/>
        <v>225479.18318057476</v>
      </c>
      <c r="AS53" s="90">
        <f t="shared" si="60"/>
        <v>223201.84343045097</v>
      </c>
      <c r="AT53" s="90">
        <f t="shared" si="60"/>
        <v>220947.5048118034</v>
      </c>
      <c r="AU53" s="90">
        <f t="shared" si="60"/>
        <v>218715.9350132042</v>
      </c>
      <c r="AV53" s="90">
        <f t="shared" si="60"/>
        <v>216506.90406957085</v>
      </c>
      <c r="AW53" s="90">
        <f t="shared" si="60"/>
        <v>214320.18433846819</v>
      </c>
      <c r="AX53" s="90">
        <f t="shared" si="60"/>
        <v>212155.55047664963</v>
      </c>
      <c r="AY53" s="90">
        <f t="shared" si="60"/>
        <v>210012.77941683549</v>
      </c>
      <c r="AZ53" s="90">
        <f t="shared" si="60"/>
        <v>207891.65034472544</v>
      </c>
      <c r="BA53" s="90">
        <f t="shared" si="60"/>
        <v>205791.9446762437</v>
      </c>
      <c r="BB53" s="90">
        <f t="shared" si="60"/>
        <v>203713.44603501365</v>
      </c>
      <c r="BC53" s="90">
        <f t="shared" si="60"/>
        <v>201655.94023006002</v>
      </c>
      <c r="BD53" s="90">
        <f t="shared" si="60"/>
        <v>199619.21523373641</v>
      </c>
      <c r="BE53" s="90">
        <f t="shared" si="60"/>
        <v>197603.06115987568</v>
      </c>
      <c r="BF53" s="90">
        <f t="shared" si="60"/>
        <v>195607.27024216094</v>
      </c>
      <c r="BG53" s="90">
        <f t="shared" si="60"/>
        <v>193631.63681271512</v>
      </c>
      <c r="BH53" s="90">
        <f t="shared" si="60"/>
        <v>191675.9572809067</v>
      </c>
      <c r="BI53" s="90">
        <f t="shared" si="60"/>
        <v>189740.03011236957</v>
      </c>
      <c r="BJ53" s="90">
        <f t="shared" si="60"/>
        <v>187823.65580823465</v>
      </c>
      <c r="BK53" s="90">
        <f t="shared" si="60"/>
        <v>185926.63688457146</v>
      </c>
      <c r="BL53" s="90">
        <f t="shared" si="60"/>
        <v>184048.77785203728</v>
      </c>
      <c r="BM53" s="90">
        <f t="shared" si="60"/>
        <v>182189.88519573174</v>
      </c>
      <c r="BN53" s="90">
        <f t="shared" si="60"/>
        <v>180349.76735525485</v>
      </c>
      <c r="BO53" s="90">
        <f t="shared" si="60"/>
        <v>178528.23470496677</v>
      </c>
      <c r="BP53" s="90">
        <f t="shared" si="60"/>
        <v>176725.09953444658</v>
      </c>
      <c r="BQ53" s="90">
        <f t="shared" ref="BQ53:CV53" si="61">BQ38-BQ39-BQ40</f>
        <v>174940.17602914869</v>
      </c>
      <c r="BR53" s="90">
        <f t="shared" si="61"/>
        <v>173173.28025125427</v>
      </c>
      <c r="BS53" s="90">
        <f t="shared" si="61"/>
        <v>171424.23012071659</v>
      </c>
      <c r="BT53" s="90">
        <f t="shared" si="61"/>
        <v>169692.84539649735</v>
      </c>
      <c r="BU53" s="90">
        <f t="shared" si="61"/>
        <v>167978.94765799271</v>
      </c>
      <c r="BV53" s="90">
        <f t="shared" si="61"/>
        <v>166282.36028664699</v>
      </c>
      <c r="BW53" s="90">
        <f t="shared" si="61"/>
        <v>164602.90844775186</v>
      </c>
      <c r="BX53" s="90">
        <f t="shared" si="61"/>
        <v>162940.41907242956</v>
      </c>
      <c r="BY53" s="90">
        <f t="shared" si="61"/>
        <v>161294.72083979801</v>
      </c>
      <c r="BZ53" s="90">
        <f t="shared" si="61"/>
        <v>159665.64415931609</v>
      </c>
      <c r="CA53" s="90">
        <f t="shared" si="61"/>
        <v>158053.02115330697</v>
      </c>
      <c r="CB53" s="90">
        <f t="shared" si="61"/>
        <v>156456.68563965856</v>
      </c>
      <c r="CC53" s="90">
        <f t="shared" si="61"/>
        <v>154876.47311469802</v>
      </c>
      <c r="CD53" s="90">
        <f t="shared" si="61"/>
        <v>153312.22073623954</v>
      </c>
      <c r="CE53" s="90">
        <f t="shared" si="61"/>
        <v>151763.76730680352</v>
      </c>
      <c r="CF53" s="90">
        <f t="shared" si="61"/>
        <v>150230.95325700482</v>
      </c>
      <c r="CG53" s="90">
        <f t="shared" si="61"/>
        <v>148713.62062910909</v>
      </c>
      <c r="CH53" s="90">
        <f t="shared" si="61"/>
        <v>147211.61306075507</v>
      </c>
      <c r="CI53" s="90">
        <f t="shared" si="61"/>
        <v>145724.77576884144</v>
      </c>
      <c r="CJ53" s="90">
        <f t="shared" si="61"/>
        <v>144252.95553357614</v>
      </c>
      <c r="CK53" s="90">
        <f t="shared" si="61"/>
        <v>142796.00068268704</v>
      </c>
      <c r="CL53" s="90">
        <f t="shared" si="61"/>
        <v>141353.7610757919</v>
      </c>
      <c r="CM53" s="90">
        <f t="shared" si="61"/>
        <v>139926.08808892639</v>
      </c>
      <c r="CN53" s="90">
        <f t="shared" si="61"/>
        <v>138512.83459922826</v>
      </c>
      <c r="CO53" s="90">
        <f t="shared" si="61"/>
        <v>137113.85496977603</v>
      </c>
      <c r="CP53" s="90">
        <f t="shared" si="61"/>
        <v>135729.00503458129</v>
      </c>
      <c r="CQ53" s="90">
        <f t="shared" si="61"/>
        <v>134358.14208373203</v>
      </c>
      <c r="CR53" s="90">
        <f t="shared" si="61"/>
        <v>133001.12484868633</v>
      </c>
      <c r="CS53" s="90">
        <f t="shared" si="61"/>
        <v>131657.81348771462</v>
      </c>
      <c r="CT53" s="90">
        <f t="shared" si="61"/>
        <v>130328.0695714887</v>
      </c>
      <c r="CU53" s="90">
        <f t="shared" si="61"/>
        <v>129011.75606881667</v>
      </c>
      <c r="CV53" s="90">
        <f t="shared" si="61"/>
        <v>127708.73733252162</v>
      </c>
      <c r="CW53" s="90">
        <f t="shared" ref="CW53:DU53" si="62">CW38-CW39-CW40</f>
        <v>126418.87908546314</v>
      </c>
      <c r="CX53" s="90">
        <f t="shared" si="62"/>
        <v>125142.04840669996</v>
      </c>
      <c r="CY53" s="90">
        <f t="shared" si="62"/>
        <v>123878.11371779229</v>
      </c>
      <c r="CZ53" s="90">
        <f t="shared" si="62"/>
        <v>122626.94476924259</v>
      </c>
      <c r="DA53" s="90">
        <f t="shared" si="62"/>
        <v>121388.41262707324</v>
      </c>
      <c r="DB53" s="90">
        <f t="shared" si="62"/>
        <v>120162.3896595398</v>
      </c>
      <c r="DC53" s="90">
        <f t="shared" si="62"/>
        <v>118948.74952397845</v>
      </c>
      <c r="DD53" s="90">
        <f t="shared" si="62"/>
        <v>117747.36715378627</v>
      </c>
      <c r="DE53" s="90">
        <f t="shared" si="62"/>
        <v>116558.11874553304</v>
      </c>
      <c r="DF53" s="90">
        <f t="shared" si="62"/>
        <v>115380.88174620316</v>
      </c>
      <c r="DG53" s="90">
        <f t="shared" si="62"/>
        <v>114215.5348405665</v>
      </c>
      <c r="DH53" s="90">
        <f t="shared" si="62"/>
        <v>113061.95793867677</v>
      </c>
      <c r="DI53" s="90">
        <f t="shared" si="62"/>
        <v>111920.03216349614</v>
      </c>
      <c r="DJ53" s="90">
        <f t="shared" si="62"/>
        <v>110789.63983864483</v>
      </c>
      <c r="DK53" s="90">
        <f t="shared" si="62"/>
        <v>109670.66447627451</v>
      </c>
      <c r="DL53" s="90">
        <f t="shared" si="62"/>
        <v>108562.99076506414</v>
      </c>
      <c r="DM53" s="90">
        <f t="shared" si="62"/>
        <v>107466.50455833701</v>
      </c>
      <c r="DN53" s="90">
        <f t="shared" si="62"/>
        <v>106381.0928622978</v>
      </c>
      <c r="DO53" s="90">
        <f t="shared" si="62"/>
        <v>105306.64382438859</v>
      </c>
      <c r="DP53" s="90">
        <f t="shared" si="62"/>
        <v>104243.04672176226</v>
      </c>
      <c r="DQ53" s="90">
        <f t="shared" si="62"/>
        <v>103190.19194987246</v>
      </c>
      <c r="DR53" s="90">
        <f t="shared" si="62"/>
        <v>102147.97101117876</v>
      </c>
      <c r="DS53" s="90">
        <f t="shared" si="62"/>
        <v>101116.27650396586</v>
      </c>
      <c r="DT53" s="90">
        <f t="shared" si="62"/>
        <v>100095.0021112758</v>
      </c>
      <c r="DU53" s="88">
        <f t="shared" si="62"/>
        <v>600570.01266765466</v>
      </c>
    </row>
    <row r="54" spans="1:125" x14ac:dyDescent="0.4">
      <c r="B54" s="39"/>
      <c r="C54" s="55" t="s">
        <v>60</v>
      </c>
      <c r="D54" s="62"/>
      <c r="E54" s="59">
        <f t="shared" ref="E54:AJ54" si="63">E53*E14/E$13</f>
        <v>0</v>
      </c>
      <c r="F54" s="59">
        <f t="shared" si="63"/>
        <v>0</v>
      </c>
      <c r="G54" s="59">
        <f t="shared" si="63"/>
        <v>0</v>
      </c>
      <c r="H54" s="59">
        <f t="shared" si="63"/>
        <v>0</v>
      </c>
      <c r="I54" s="59">
        <f t="shared" si="63"/>
        <v>0</v>
      </c>
      <c r="J54" s="59">
        <f t="shared" si="63"/>
        <v>0</v>
      </c>
      <c r="K54" s="59">
        <f t="shared" si="63"/>
        <v>0</v>
      </c>
      <c r="L54" s="59">
        <f t="shared" si="63"/>
        <v>0</v>
      </c>
      <c r="M54" s="59">
        <f t="shared" si="63"/>
        <v>0</v>
      </c>
      <c r="N54" s="59">
        <f t="shared" si="63"/>
        <v>0</v>
      </c>
      <c r="O54" s="59">
        <f t="shared" si="63"/>
        <v>0</v>
      </c>
      <c r="P54" s="59">
        <f t="shared" si="63"/>
        <v>0</v>
      </c>
      <c r="Q54" s="59">
        <f t="shared" si="63"/>
        <v>0</v>
      </c>
      <c r="R54" s="59">
        <f t="shared" si="63"/>
        <v>0</v>
      </c>
      <c r="S54" s="59">
        <f t="shared" si="63"/>
        <v>0</v>
      </c>
      <c r="T54" s="59">
        <f t="shared" si="63"/>
        <v>0</v>
      </c>
      <c r="U54" s="59">
        <f t="shared" si="63"/>
        <v>0</v>
      </c>
      <c r="V54" s="59">
        <f t="shared" si="63"/>
        <v>0</v>
      </c>
      <c r="W54" s="59">
        <f t="shared" si="63"/>
        <v>0</v>
      </c>
      <c r="X54" s="59">
        <f t="shared" si="63"/>
        <v>0</v>
      </c>
      <c r="Y54" s="59">
        <f t="shared" si="63"/>
        <v>0</v>
      </c>
      <c r="Z54" s="59">
        <f t="shared" si="63"/>
        <v>0</v>
      </c>
      <c r="AA54" s="59">
        <f t="shared" si="63"/>
        <v>0</v>
      </c>
      <c r="AB54" s="59">
        <f t="shared" si="63"/>
        <v>0</v>
      </c>
      <c r="AC54" s="59">
        <f t="shared" si="63"/>
        <v>0</v>
      </c>
      <c r="AD54" s="59">
        <f t="shared" si="63"/>
        <v>0</v>
      </c>
      <c r="AE54" s="59">
        <f t="shared" si="63"/>
        <v>0</v>
      </c>
      <c r="AF54" s="59">
        <f t="shared" si="63"/>
        <v>0</v>
      </c>
      <c r="AG54" s="59">
        <f t="shared" si="63"/>
        <v>0</v>
      </c>
      <c r="AH54" s="59">
        <f t="shared" si="63"/>
        <v>7781.1087971853367</v>
      </c>
      <c r="AI54" s="59">
        <f t="shared" si="63"/>
        <v>221238.64111235482</v>
      </c>
      <c r="AJ54" s="59">
        <f t="shared" si="63"/>
        <v>219004.13083712003</v>
      </c>
      <c r="AK54" s="59">
        <f t="shared" ref="AK54:BP54" si="64">AK53*AK14/AK$13</f>
        <v>216792.18911566513</v>
      </c>
      <c r="AL54" s="59">
        <f t="shared" si="64"/>
        <v>214602.58800559692</v>
      </c>
      <c r="AM54" s="59">
        <f t="shared" si="64"/>
        <v>212435.10186674038</v>
      </c>
      <c r="AN54" s="59">
        <f t="shared" si="64"/>
        <v>210289.50733788632</v>
      </c>
      <c r="AO54" s="59">
        <f t="shared" si="64"/>
        <v>208165.58331377368</v>
      </c>
      <c r="AP54" s="59">
        <f t="shared" si="64"/>
        <v>206063.11092230456</v>
      </c>
      <c r="AQ54" s="59">
        <f t="shared" si="64"/>
        <v>203981.87350198929</v>
      </c>
      <c r="AR54" s="59">
        <f t="shared" si="64"/>
        <v>201921.65657961919</v>
      </c>
      <c r="AS54" s="59">
        <f t="shared" si="64"/>
        <v>199882.24784816502</v>
      </c>
      <c r="AT54" s="59">
        <f t="shared" si="64"/>
        <v>197863.43714489858</v>
      </c>
      <c r="AU54" s="59">
        <f t="shared" si="64"/>
        <v>195865.01642973511</v>
      </c>
      <c r="AV54" s="59">
        <f t="shared" si="64"/>
        <v>193886.7797637948</v>
      </c>
      <c r="AW54" s="59">
        <f t="shared" si="64"/>
        <v>191928.52328818047</v>
      </c>
      <c r="AX54" s="59">
        <f t="shared" si="64"/>
        <v>189990.04520296984</v>
      </c>
      <c r="AY54" s="59">
        <f t="shared" si="64"/>
        <v>188071.14574641985</v>
      </c>
      <c r="AZ54" s="59">
        <f t="shared" si="64"/>
        <v>186171.62717438099</v>
      </c>
      <c r="BA54" s="59">
        <f t="shared" si="64"/>
        <v>184291.29373991978</v>
      </c>
      <c r="BB54" s="59">
        <f t="shared" si="64"/>
        <v>182429.95167314657</v>
      </c>
      <c r="BC54" s="59">
        <f t="shared" si="64"/>
        <v>180587.40916124781</v>
      </c>
      <c r="BD54" s="59">
        <f t="shared" si="64"/>
        <v>178763.47632871917</v>
      </c>
      <c r="BE54" s="59">
        <f t="shared" si="64"/>
        <v>176957.96521779912</v>
      </c>
      <c r="BF54" s="59">
        <f t="shared" si="64"/>
        <v>175170.68976909935</v>
      </c>
      <c r="BG54" s="59">
        <f t="shared" si="64"/>
        <v>173401.46580243146</v>
      </c>
      <c r="BH54" s="59">
        <f t="shared" si="64"/>
        <v>171650.11099782691</v>
      </c>
      <c r="BI54" s="59">
        <f t="shared" si="64"/>
        <v>169916.44487674886</v>
      </c>
      <c r="BJ54" s="59">
        <f t="shared" si="64"/>
        <v>168200.28878349371</v>
      </c>
      <c r="BK54" s="59">
        <f t="shared" si="64"/>
        <v>166501.46586678043</v>
      </c>
      <c r="BL54" s="59">
        <f t="shared" si="64"/>
        <v>164819.80106152594</v>
      </c>
      <c r="BM54" s="59">
        <f t="shared" si="64"/>
        <v>163155.12107080454</v>
      </c>
      <c r="BN54" s="59">
        <f t="shared" si="64"/>
        <v>161507.25434798942</v>
      </c>
      <c r="BO54" s="59">
        <f t="shared" si="64"/>
        <v>159876.03107907472</v>
      </c>
      <c r="BP54" s="59">
        <f t="shared" si="64"/>
        <v>158261.28316517605</v>
      </c>
      <c r="BQ54" s="59">
        <f t="shared" ref="BQ54:CV54" si="65">BQ53*BQ14/BQ$13</f>
        <v>156662.84420520777</v>
      </c>
      <c r="BR54" s="59">
        <f t="shared" si="65"/>
        <v>155080.54947873516</v>
      </c>
      <c r="BS54" s="59">
        <f t="shared" si="65"/>
        <v>153514.23592899993</v>
      </c>
      <c r="BT54" s="59">
        <f t="shared" si="65"/>
        <v>151963.74214611703</v>
      </c>
      <c r="BU54" s="59">
        <f t="shared" si="65"/>
        <v>150428.90835044126</v>
      </c>
      <c r="BV54" s="59">
        <f t="shared" si="65"/>
        <v>148909.57637610179</v>
      </c>
      <c r="BW54" s="59">
        <f t="shared" si="65"/>
        <v>147405.58965470316</v>
      </c>
      <c r="BX54" s="59">
        <f t="shared" si="65"/>
        <v>145916.79319919067</v>
      </c>
      <c r="BY54" s="59">
        <f t="shared" si="65"/>
        <v>144443.03358787883</v>
      </c>
      <c r="BZ54" s="59">
        <f t="shared" si="65"/>
        <v>142984.15894864127</v>
      </c>
      <c r="CA54" s="59">
        <f t="shared" si="65"/>
        <v>141540.01894325999</v>
      </c>
      <c r="CB54" s="59">
        <f t="shared" si="65"/>
        <v>140110.46475193306</v>
      </c>
      <c r="CC54" s="59">
        <f t="shared" si="65"/>
        <v>138695.34905793853</v>
      </c>
      <c r="CD54" s="59">
        <f t="shared" si="65"/>
        <v>137294.52603245334</v>
      </c>
      <c r="CE54" s="59">
        <f t="shared" si="65"/>
        <v>135907.85131952557</v>
      </c>
      <c r="CF54" s="59">
        <f t="shared" si="65"/>
        <v>134535.18202119836</v>
      </c>
      <c r="CG54" s="59">
        <f t="shared" si="65"/>
        <v>133176.37668278426</v>
      </c>
      <c r="CH54" s="59">
        <f t="shared" si="65"/>
        <v>131831.29527828813</v>
      </c>
      <c r="CI54" s="59">
        <f t="shared" si="65"/>
        <v>130499.79919597744</v>
      </c>
      <c r="CJ54" s="59">
        <f t="shared" si="65"/>
        <v>129181.75122409806</v>
      </c>
      <c r="CK54" s="59">
        <f t="shared" si="65"/>
        <v>127877.01553673467</v>
      </c>
      <c r="CL54" s="59">
        <f t="shared" si="65"/>
        <v>126585.45767981364</v>
      </c>
      <c r="CM54" s="59">
        <f t="shared" si="65"/>
        <v>125306.94455724752</v>
      </c>
      <c r="CN54" s="59">
        <f t="shared" si="65"/>
        <v>124041.34441721933</v>
      </c>
      <c r="CO54" s="59">
        <f t="shared" si="65"/>
        <v>122788.52683860542</v>
      </c>
      <c r="CP54" s="59">
        <f t="shared" si="65"/>
        <v>121548.36271753551</v>
      </c>
      <c r="CQ54" s="59">
        <f t="shared" si="65"/>
        <v>120320.7242540884</v>
      </c>
      <c r="CR54" s="59">
        <f t="shared" si="65"/>
        <v>119105.48493912211</v>
      </c>
      <c r="CS54" s="59">
        <f t="shared" si="65"/>
        <v>117902.51954123698</v>
      </c>
      <c r="CT54" s="59">
        <f t="shared" si="65"/>
        <v>116711.70409387049</v>
      </c>
      <c r="CU54" s="59">
        <f t="shared" si="65"/>
        <v>115532.9158825224</v>
      </c>
      <c r="CV54" s="59">
        <f t="shared" si="65"/>
        <v>114366.03343210892</v>
      </c>
      <c r="CW54" s="59">
        <f t="shared" ref="CW54:DT54" si="66">CW53*CW14/CW$13</f>
        <v>113210.93649444461</v>
      </c>
      <c r="CX54" s="59">
        <f t="shared" si="66"/>
        <v>112067.50603585072</v>
      </c>
      <c r="CY54" s="59">
        <f t="shared" si="66"/>
        <v>110935.62422488863</v>
      </c>
      <c r="CZ54" s="59">
        <f t="shared" si="66"/>
        <v>109815.17442021726</v>
      </c>
      <c r="DA54" s="59">
        <f t="shared" si="66"/>
        <v>108706.04115857306</v>
      </c>
      <c r="DB54" s="59">
        <f t="shared" si="66"/>
        <v>107608.11014287148</v>
      </c>
      <c r="DC54" s="59">
        <f t="shared" si="66"/>
        <v>106521.26823042847</v>
      </c>
      <c r="DD54" s="59">
        <f t="shared" si="66"/>
        <v>105445.40342130115</v>
      </c>
      <c r="DE54" s="59">
        <f t="shared" si="66"/>
        <v>104380.40484674601</v>
      </c>
      <c r="DF54" s="59">
        <f t="shared" si="66"/>
        <v>103326.16275779389</v>
      </c>
      <c r="DG54" s="59">
        <f t="shared" si="66"/>
        <v>102282.56851394015</v>
      </c>
      <c r="DH54" s="59">
        <f t="shared" si="66"/>
        <v>101249.51457194934</v>
      </c>
      <c r="DI54" s="59">
        <f t="shared" si="66"/>
        <v>100226.89447477266</v>
      </c>
      <c r="DJ54" s="59">
        <f t="shared" si="66"/>
        <v>99214.60284057747</v>
      </c>
      <c r="DK54" s="59">
        <f t="shared" si="66"/>
        <v>98212.535351887636</v>
      </c>
      <c r="DL54" s="59">
        <f t="shared" si="66"/>
        <v>97220.588744833571</v>
      </c>
      <c r="DM54" s="59">
        <f t="shared" si="66"/>
        <v>96238.660798510755</v>
      </c>
      <c r="DN54" s="59">
        <f t="shared" si="66"/>
        <v>95266.6503244458</v>
      </c>
      <c r="DO54" s="59">
        <f t="shared" si="66"/>
        <v>94304.457156168894</v>
      </c>
      <c r="DP54" s="59">
        <f t="shared" si="66"/>
        <v>93351.982138891588</v>
      </c>
      <c r="DQ54" s="59">
        <f t="shared" si="66"/>
        <v>92409.12711928878</v>
      </c>
      <c r="DR54" s="59">
        <f t="shared" si="66"/>
        <v>91475.794935383965</v>
      </c>
      <c r="DS54" s="59">
        <f t="shared" si="66"/>
        <v>90551.889406536589</v>
      </c>
      <c r="DT54" s="59">
        <f t="shared" si="66"/>
        <v>89637.315323530565</v>
      </c>
      <c r="DU54" s="60">
        <f>IF(DU14&gt;0,DU$53*DU14/DU$13,DU$53*DU17/DU$16)</f>
        <v>537823.89194118336</v>
      </c>
    </row>
    <row r="55" spans="1:125" x14ac:dyDescent="0.4">
      <c r="B55" s="92"/>
      <c r="C55" s="63" t="s">
        <v>61</v>
      </c>
      <c r="D55" s="64"/>
      <c r="E55" s="65">
        <f t="shared" ref="E55:AJ55" si="67">E53*E15/E$13</f>
        <v>0</v>
      </c>
      <c r="F55" s="65">
        <f t="shared" si="67"/>
        <v>0</v>
      </c>
      <c r="G55" s="65">
        <f t="shared" si="67"/>
        <v>0</v>
      </c>
      <c r="H55" s="65">
        <f t="shared" si="67"/>
        <v>0</v>
      </c>
      <c r="I55" s="65">
        <f t="shared" si="67"/>
        <v>0</v>
      </c>
      <c r="J55" s="65">
        <f t="shared" si="67"/>
        <v>0</v>
      </c>
      <c r="K55" s="65">
        <f t="shared" si="67"/>
        <v>0</v>
      </c>
      <c r="L55" s="65">
        <f t="shared" si="67"/>
        <v>0</v>
      </c>
      <c r="M55" s="65">
        <f t="shared" si="67"/>
        <v>0</v>
      </c>
      <c r="N55" s="65">
        <f t="shared" si="67"/>
        <v>0</v>
      </c>
      <c r="O55" s="65">
        <f t="shared" si="67"/>
        <v>0</v>
      </c>
      <c r="P55" s="65">
        <f t="shared" si="67"/>
        <v>0</v>
      </c>
      <c r="Q55" s="65">
        <f t="shared" si="67"/>
        <v>0</v>
      </c>
      <c r="R55" s="65">
        <f t="shared" si="67"/>
        <v>0</v>
      </c>
      <c r="S55" s="65">
        <f t="shared" si="67"/>
        <v>0</v>
      </c>
      <c r="T55" s="65">
        <f t="shared" si="67"/>
        <v>0</v>
      </c>
      <c r="U55" s="65">
        <f t="shared" si="67"/>
        <v>0</v>
      </c>
      <c r="V55" s="65">
        <f t="shared" si="67"/>
        <v>0</v>
      </c>
      <c r="W55" s="65">
        <f t="shared" si="67"/>
        <v>0</v>
      </c>
      <c r="X55" s="65">
        <f t="shared" si="67"/>
        <v>0</v>
      </c>
      <c r="Y55" s="65">
        <f t="shared" si="67"/>
        <v>0</v>
      </c>
      <c r="Z55" s="65">
        <f t="shared" si="67"/>
        <v>0</v>
      </c>
      <c r="AA55" s="65">
        <f t="shared" si="67"/>
        <v>0</v>
      </c>
      <c r="AB55" s="65">
        <f t="shared" si="67"/>
        <v>0</v>
      </c>
      <c r="AC55" s="65">
        <f t="shared" si="67"/>
        <v>0</v>
      </c>
      <c r="AD55" s="65">
        <f t="shared" si="67"/>
        <v>0</v>
      </c>
      <c r="AE55" s="65">
        <f t="shared" si="67"/>
        <v>0</v>
      </c>
      <c r="AF55" s="65">
        <f t="shared" si="67"/>
        <v>0</v>
      </c>
      <c r="AG55" s="65">
        <f t="shared" si="67"/>
        <v>0</v>
      </c>
      <c r="AH55" s="65">
        <f t="shared" si="67"/>
        <v>907.79602633828927</v>
      </c>
      <c r="AI55" s="65">
        <f t="shared" si="67"/>
        <v>25811.174796441395</v>
      </c>
      <c r="AJ55" s="65">
        <f t="shared" si="67"/>
        <v>25550.481930997339</v>
      </c>
      <c r="AK55" s="65">
        <f t="shared" ref="AK55:BP55" si="68">AK53*AK15/AK$13</f>
        <v>25292.422063494265</v>
      </c>
      <c r="AL55" s="65">
        <f t="shared" si="68"/>
        <v>25036.968600652974</v>
      </c>
      <c r="AM55" s="65">
        <f t="shared" si="68"/>
        <v>24784.09521778638</v>
      </c>
      <c r="AN55" s="65">
        <f t="shared" si="68"/>
        <v>24533.775856086737</v>
      </c>
      <c r="AO55" s="65">
        <f t="shared" si="68"/>
        <v>24285.984719940261</v>
      </c>
      <c r="AP55" s="65">
        <f t="shared" si="68"/>
        <v>24040.696274268867</v>
      </c>
      <c r="AQ55" s="65">
        <f t="shared" si="68"/>
        <v>23797.885241898748</v>
      </c>
      <c r="AR55" s="65">
        <f t="shared" si="68"/>
        <v>23557.526600955571</v>
      </c>
      <c r="AS55" s="65">
        <f t="shared" si="68"/>
        <v>23319.595582285918</v>
      </c>
      <c r="AT55" s="65">
        <f t="shared" si="68"/>
        <v>23084.06766690483</v>
      </c>
      <c r="AU55" s="65">
        <f t="shared" si="68"/>
        <v>22850.918583469091</v>
      </c>
      <c r="AV55" s="65">
        <f t="shared" si="68"/>
        <v>22620.124305776051</v>
      </c>
      <c r="AW55" s="65">
        <f t="shared" si="68"/>
        <v>22391.661050287712</v>
      </c>
      <c r="AX55" s="65">
        <f t="shared" si="68"/>
        <v>22165.505273679802</v>
      </c>
      <c r="AY55" s="65">
        <f t="shared" si="68"/>
        <v>21941.633670415638</v>
      </c>
      <c r="AZ55" s="65">
        <f t="shared" si="68"/>
        <v>21720.023170344444</v>
      </c>
      <c r="BA55" s="65">
        <f t="shared" si="68"/>
        <v>21500.65093632396</v>
      </c>
      <c r="BB55" s="65">
        <f t="shared" si="68"/>
        <v>21283.494361867088</v>
      </c>
      <c r="BC55" s="65">
        <f t="shared" si="68"/>
        <v>21068.53106881223</v>
      </c>
      <c r="BD55" s="65">
        <f t="shared" si="68"/>
        <v>20855.738905017228</v>
      </c>
      <c r="BE55" s="65">
        <f t="shared" si="68"/>
        <v>20645.095942076554</v>
      </c>
      <c r="BF55" s="65">
        <f t="shared" si="68"/>
        <v>20436.580473061582</v>
      </c>
      <c r="BG55" s="65">
        <f t="shared" si="68"/>
        <v>20230.171010283659</v>
      </c>
      <c r="BH55" s="65">
        <f t="shared" si="68"/>
        <v>20025.846283079794</v>
      </c>
      <c r="BI55" s="65">
        <f t="shared" si="68"/>
        <v>19823.585235620689</v>
      </c>
      <c r="BJ55" s="65">
        <f t="shared" si="68"/>
        <v>19623.367024740921</v>
      </c>
      <c r="BK55" s="65">
        <f t="shared" si="68"/>
        <v>19425.171017791039</v>
      </c>
      <c r="BL55" s="65">
        <f t="shared" si="68"/>
        <v>19228.976790511351</v>
      </c>
      <c r="BM55" s="65">
        <f t="shared" si="68"/>
        <v>19034.764124927187</v>
      </c>
      <c r="BN55" s="65">
        <f t="shared" si="68"/>
        <v>18842.513007265421</v>
      </c>
      <c r="BO55" s="65">
        <f t="shared" si="68"/>
        <v>18652.203625892042</v>
      </c>
      <c r="BP55" s="65">
        <f t="shared" si="68"/>
        <v>18463.816369270531</v>
      </c>
      <c r="BQ55" s="65">
        <f t="shared" ref="BQ55:CV55" si="69">BQ53*BQ15/BQ$13</f>
        <v>18277.331823940898</v>
      </c>
      <c r="BR55" s="65">
        <f t="shared" si="69"/>
        <v>18092.730772519095</v>
      </c>
      <c r="BS55" s="65">
        <f t="shared" si="69"/>
        <v>17909.994191716651</v>
      </c>
      <c r="BT55" s="65">
        <f t="shared" si="69"/>
        <v>17729.103250380311</v>
      </c>
      <c r="BU55" s="65">
        <f t="shared" si="69"/>
        <v>17550.039307551469</v>
      </c>
      <c r="BV55" s="65">
        <f t="shared" si="69"/>
        <v>17372.7839105452</v>
      </c>
      <c r="BW55" s="65">
        <f t="shared" si="69"/>
        <v>17197.318793048693</v>
      </c>
      <c r="BX55" s="65">
        <f t="shared" si="69"/>
        <v>17023.6258732389</v>
      </c>
      <c r="BY55" s="65">
        <f t="shared" si="69"/>
        <v>16851.687251919186</v>
      </c>
      <c r="BZ55" s="65">
        <f t="shared" si="69"/>
        <v>16681.4852106748</v>
      </c>
      <c r="CA55" s="65">
        <f t="shared" si="69"/>
        <v>16513.002210046983</v>
      </c>
      <c r="CB55" s="65">
        <f t="shared" si="69"/>
        <v>16346.220887725509</v>
      </c>
      <c r="CC55" s="65">
        <f t="shared" si="69"/>
        <v>16181.124056759481</v>
      </c>
      <c r="CD55" s="65">
        <f t="shared" si="69"/>
        <v>16017.69470378621</v>
      </c>
      <c r="CE55" s="65">
        <f t="shared" si="69"/>
        <v>15855.915987277971</v>
      </c>
      <c r="CF55" s="65">
        <f t="shared" si="69"/>
        <v>15695.771235806462</v>
      </c>
      <c r="CG55" s="65">
        <f t="shared" si="69"/>
        <v>15537.243946324819</v>
      </c>
      <c r="CH55" s="65">
        <f t="shared" si="69"/>
        <v>15380.317782466938</v>
      </c>
      <c r="CI55" s="65">
        <f t="shared" si="69"/>
        <v>15224.97657286402</v>
      </c>
      <c r="CJ55" s="65">
        <f t="shared" si="69"/>
        <v>15071.204309478095</v>
      </c>
      <c r="CK55" s="65">
        <f t="shared" si="69"/>
        <v>14918.985145952363</v>
      </c>
      <c r="CL55" s="65">
        <f t="shared" si="69"/>
        <v>14768.303395978244</v>
      </c>
      <c r="CM55" s="65">
        <f t="shared" si="69"/>
        <v>14619.143531678865</v>
      </c>
      <c r="CN55" s="65">
        <f t="shared" si="69"/>
        <v>14471.490182008909</v>
      </c>
      <c r="CO55" s="65">
        <f t="shared" si="69"/>
        <v>14325.32813117062</v>
      </c>
      <c r="CP55" s="65">
        <f t="shared" si="69"/>
        <v>14180.642317045797</v>
      </c>
      <c r="CQ55" s="65">
        <f t="shared" si="69"/>
        <v>14037.417829643635</v>
      </c>
      <c r="CR55" s="65">
        <f t="shared" si="69"/>
        <v>13895.639909564234</v>
      </c>
      <c r="CS55" s="65">
        <f t="shared" si="69"/>
        <v>13755.293946477635</v>
      </c>
      <c r="CT55" s="65">
        <f t="shared" si="69"/>
        <v>13616.365477618212</v>
      </c>
      <c r="CU55" s="65">
        <f t="shared" si="69"/>
        <v>13478.840186294268</v>
      </c>
      <c r="CV55" s="65">
        <f t="shared" si="69"/>
        <v>13342.703900412696</v>
      </c>
      <c r="CW55" s="65">
        <f t="shared" ref="CW55:DT55" si="70">CW53*CW15/CW$13</f>
        <v>13207.942591018527</v>
      </c>
      <c r="CX55" s="65">
        <f t="shared" si="70"/>
        <v>13074.54237084924</v>
      </c>
      <c r="CY55" s="65">
        <f t="shared" si="70"/>
        <v>12942.489492903662</v>
      </c>
      <c r="CZ55" s="65">
        <f t="shared" si="70"/>
        <v>12811.770349025335</v>
      </c>
      <c r="DA55" s="65">
        <f t="shared" si="70"/>
        <v>12682.37146850018</v>
      </c>
      <c r="DB55" s="65">
        <f t="shared" si="70"/>
        <v>12554.279516668328</v>
      </c>
      <c r="DC55" s="65">
        <f t="shared" si="70"/>
        <v>12427.481293549978</v>
      </c>
      <c r="DD55" s="65">
        <f t="shared" si="70"/>
        <v>12301.963732485123</v>
      </c>
      <c r="DE55" s="65">
        <f t="shared" si="70"/>
        <v>12177.713898787024</v>
      </c>
      <c r="DF55" s="65">
        <f t="shared" si="70"/>
        <v>12054.718988409275</v>
      </c>
      <c r="DG55" s="65">
        <f t="shared" si="70"/>
        <v>11932.966326626341</v>
      </c>
      <c r="DH55" s="65">
        <f t="shared" si="70"/>
        <v>11812.443366727413</v>
      </c>
      <c r="DI55" s="65">
        <f t="shared" si="70"/>
        <v>11693.137688723469</v>
      </c>
      <c r="DJ55" s="65">
        <f t="shared" si="70"/>
        <v>11575.036998067362</v>
      </c>
      <c r="DK55" s="65">
        <f t="shared" si="70"/>
        <v>11458.129124386882</v>
      </c>
      <c r="DL55" s="65">
        <f t="shared" si="70"/>
        <v>11342.402020230573</v>
      </c>
      <c r="DM55" s="65">
        <f t="shared" si="70"/>
        <v>11227.843759826246</v>
      </c>
      <c r="DN55" s="65">
        <f t="shared" si="70"/>
        <v>11114.442537852001</v>
      </c>
      <c r="DO55" s="65">
        <f t="shared" si="70"/>
        <v>11002.186668219696</v>
      </c>
      <c r="DP55" s="65">
        <f t="shared" si="70"/>
        <v>10891.064582870677</v>
      </c>
      <c r="DQ55" s="65">
        <f t="shared" si="70"/>
        <v>10781.06483058368</v>
      </c>
      <c r="DR55" s="65">
        <f t="shared" si="70"/>
        <v>10672.176075794785</v>
      </c>
      <c r="DS55" s="65">
        <f t="shared" si="70"/>
        <v>10564.38709742926</v>
      </c>
      <c r="DT55" s="65">
        <f t="shared" si="70"/>
        <v>10457.686787745224</v>
      </c>
      <c r="DU55" s="93">
        <f>IF(DU15&gt;0,DU$53*DU15/DU$13,DU$53*DU18/DU$16)</f>
        <v>62746.120726471345</v>
      </c>
    </row>
    <row r="56" spans="1:125" ht="3.95" customHeight="1" x14ac:dyDescent="0.4">
      <c r="B56" s="39"/>
      <c r="C56" s="55"/>
      <c r="D56" s="62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60"/>
    </row>
    <row r="57" spans="1:125" x14ac:dyDescent="0.4">
      <c r="B57" s="39"/>
      <c r="C57" s="4" t="s">
        <v>91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DU57" s="42"/>
    </row>
    <row r="58" spans="1:125" s="4" customFormat="1" x14ac:dyDescent="0.4">
      <c r="B58" s="94" t="s">
        <v>38</v>
      </c>
      <c r="C58" s="98" t="s">
        <v>75</v>
      </c>
      <c r="D58" s="20">
        <f>SUM(D59:D60)</f>
        <v>-7470000</v>
      </c>
      <c r="E58" s="20">
        <f t="shared" ref="E58:BP58" si="71">SUM(E59:E60)</f>
        <v>-7135000</v>
      </c>
      <c r="F58" s="20">
        <f t="shared" si="71"/>
        <v>-6803383.5</v>
      </c>
      <c r="G58" s="20">
        <f t="shared" si="71"/>
        <v>-6475116.3266500002</v>
      </c>
      <c r="H58" s="20">
        <f t="shared" si="71"/>
        <v>-6150164.6517508347</v>
      </c>
      <c r="I58" s="20">
        <f t="shared" si="71"/>
        <v>-5828494.988768152</v>
      </c>
      <c r="J58" s="20">
        <f t="shared" si="71"/>
        <v>-5510074.1893815938</v>
      </c>
      <c r="K58" s="20">
        <f t="shared" si="71"/>
        <v>-5194869.4400688391</v>
      </c>
      <c r="L58" s="20">
        <f t="shared" si="71"/>
        <v>-4882848.2587241437</v>
      </c>
      <c r="M58" s="20">
        <f t="shared" si="71"/>
        <v>-4573978.4913110305</v>
      </c>
      <c r="N58" s="20">
        <f t="shared" si="71"/>
        <v>-4268228.3085487885</v>
      </c>
      <c r="O58" s="20">
        <f t="shared" si="71"/>
        <v>-3965566.2026324458</v>
      </c>
      <c r="P58" s="20">
        <f t="shared" si="71"/>
        <v>-3665960.983985858</v>
      </c>
      <c r="Q58" s="20">
        <f t="shared" si="71"/>
        <v>-3369381.7780476008</v>
      </c>
      <c r="R58" s="20">
        <f t="shared" si="71"/>
        <v>-3075798.0220893202</v>
      </c>
      <c r="S58" s="20">
        <f t="shared" si="71"/>
        <v>-2785179.4620662178</v>
      </c>
      <c r="T58" s="20">
        <f t="shared" si="71"/>
        <v>-2497496.1494993488</v>
      </c>
      <c r="U58" s="20">
        <f t="shared" si="71"/>
        <v>-2212718.4383894056</v>
      </c>
      <c r="V58" s="20">
        <f t="shared" si="71"/>
        <v>-1930816.9821616726</v>
      </c>
      <c r="W58" s="20">
        <f t="shared" si="71"/>
        <v>-1651762.7306418396</v>
      </c>
      <c r="X58" s="20">
        <f t="shared" si="71"/>
        <v>-1375526.9270623571</v>
      </c>
      <c r="Y58" s="20">
        <f t="shared" si="71"/>
        <v>-1102081.1050990273</v>
      </c>
      <c r="Z58" s="20">
        <f t="shared" si="71"/>
        <v>-831397.08593752712</v>
      </c>
      <c r="AA58" s="20">
        <f t="shared" si="71"/>
        <v>-563446.97536955809</v>
      </c>
      <c r="AB58" s="20">
        <f t="shared" si="71"/>
        <v>-298203.16091832554</v>
      </c>
      <c r="AC58" s="20">
        <f t="shared" si="71"/>
        <v>-35638.30899305045</v>
      </c>
      <c r="AD58" s="20">
        <f t="shared" si="71"/>
        <v>224274.63792777937</v>
      </c>
      <c r="AE58" s="20">
        <f t="shared" si="71"/>
        <v>481562.46408470883</v>
      </c>
      <c r="AF58" s="20">
        <f t="shared" si="71"/>
        <v>736251.68319745315</v>
      </c>
      <c r="AG58" s="20">
        <f t="shared" si="71"/>
        <v>988368.54119715898</v>
      </c>
      <c r="AH58" s="20">
        <f t="shared" si="71"/>
        <v>1237939.0189310675</v>
      </c>
      <c r="AI58" s="20">
        <f t="shared" si="71"/>
        <v>1484988.8348398637</v>
      </c>
      <c r="AJ58" s="20">
        <f t="shared" si="71"/>
        <v>1729543.4476079813</v>
      </c>
      <c r="AK58" s="20">
        <f t="shared" si="71"/>
        <v>1971628.0587871405</v>
      </c>
      <c r="AL58" s="20">
        <f t="shared" si="71"/>
        <v>2211267.6153933904</v>
      </c>
      <c r="AM58" s="20">
        <f t="shared" si="71"/>
        <v>2448486.8124779174</v>
      </c>
      <c r="AN58" s="20">
        <f t="shared" si="71"/>
        <v>2683310.0956718908</v>
      </c>
      <c r="AO58" s="20">
        <f t="shared" si="71"/>
        <v>2915761.6637056046</v>
      </c>
      <c r="AP58" s="20">
        <f t="shared" si="71"/>
        <v>3145865.470902178</v>
      </c>
      <c r="AQ58" s="20">
        <f t="shared" si="71"/>
        <v>3373645.2296460662</v>
      </c>
      <c r="AR58" s="20">
        <f t="shared" si="71"/>
        <v>3599124.412826641</v>
      </c>
      <c r="AS58" s="20">
        <f t="shared" si="71"/>
        <v>3822326.2562570921</v>
      </c>
      <c r="AT58" s="20">
        <f t="shared" si="71"/>
        <v>4043273.7610688959</v>
      </c>
      <c r="AU58" s="20">
        <f t="shared" si="71"/>
        <v>4261989.6960821003</v>
      </c>
      <c r="AV58" s="20">
        <f t="shared" si="71"/>
        <v>4478496.6001516711</v>
      </c>
      <c r="AW58" s="20">
        <f t="shared" si="71"/>
        <v>4692816.7844901402</v>
      </c>
      <c r="AX58" s="20">
        <f t="shared" si="71"/>
        <v>4904972.334966789</v>
      </c>
      <c r="AY58" s="20">
        <f t="shared" si="71"/>
        <v>5114985.1143836249</v>
      </c>
      <c r="AZ58" s="20">
        <f t="shared" si="71"/>
        <v>5322876.7647283506</v>
      </c>
      <c r="BA58" s="20">
        <f t="shared" si="71"/>
        <v>5528668.7094045943</v>
      </c>
      <c r="BB58" s="20">
        <f t="shared" si="71"/>
        <v>5732382.1554396078</v>
      </c>
      <c r="BC58" s="20">
        <f t="shared" si="71"/>
        <v>5934038.0956696682</v>
      </c>
      <c r="BD58" s="20">
        <f t="shared" si="71"/>
        <v>6133657.3109034048</v>
      </c>
      <c r="BE58" s="20">
        <f t="shared" si="71"/>
        <v>6331260.3720632801</v>
      </c>
      <c r="BF58" s="20">
        <f t="shared" si="71"/>
        <v>6526867.6423054412</v>
      </c>
      <c r="BG58" s="20">
        <f t="shared" si="71"/>
        <v>6720499.2791181561</v>
      </c>
      <c r="BH58" s="20">
        <f t="shared" si="71"/>
        <v>6912175.236399062</v>
      </c>
      <c r="BI58" s="20">
        <f t="shared" si="71"/>
        <v>7101915.2665114319</v>
      </c>
      <c r="BJ58" s="20">
        <f t="shared" si="71"/>
        <v>7289738.9223196665</v>
      </c>
      <c r="BK58" s="20">
        <f t="shared" si="71"/>
        <v>7475665.5592042385</v>
      </c>
      <c r="BL58" s="20">
        <f t="shared" si="71"/>
        <v>7659714.3370562755</v>
      </c>
      <c r="BM58" s="20">
        <f t="shared" si="71"/>
        <v>7841904.2222520066</v>
      </c>
      <c r="BN58" s="20">
        <f t="shared" si="71"/>
        <v>8022253.9896072615</v>
      </c>
      <c r="BO58" s="20">
        <f t="shared" si="71"/>
        <v>8200782.2243122282</v>
      </c>
      <c r="BP58" s="20">
        <f t="shared" si="71"/>
        <v>8377507.3238466755</v>
      </c>
      <c r="BQ58" s="20">
        <f t="shared" ref="BQ58:DT58" si="72">SUM(BQ59:BQ60)</f>
        <v>8552447.4998758249</v>
      </c>
      <c r="BR58" s="20">
        <f t="shared" si="72"/>
        <v>8725620.7801270783</v>
      </c>
      <c r="BS58" s="20">
        <f t="shared" si="72"/>
        <v>8897045.0102477949</v>
      </c>
      <c r="BT58" s="20">
        <f t="shared" si="72"/>
        <v>9066737.8556442913</v>
      </c>
      <c r="BU58" s="20">
        <f t="shared" si="72"/>
        <v>9234716.8033022843</v>
      </c>
      <c r="BV58" s="20">
        <f t="shared" si="72"/>
        <v>9400999.1635889318</v>
      </c>
      <c r="BW58" s="20">
        <f t="shared" si="72"/>
        <v>9565602.0720366817</v>
      </c>
      <c r="BX58" s="20">
        <f t="shared" si="72"/>
        <v>9728542.4911091123</v>
      </c>
      <c r="BY58" s="20">
        <f t="shared" si="72"/>
        <v>9889837.2119489107</v>
      </c>
      <c r="BZ58" s="20">
        <f t="shared" si="72"/>
        <v>10049502.856108226</v>
      </c>
      <c r="CA58" s="20">
        <f t="shared" si="72"/>
        <v>10207555.877261532</v>
      </c>
      <c r="CB58" s="20">
        <f t="shared" si="72"/>
        <v>10364012.562901191</v>
      </c>
      <c r="CC58" s="20">
        <f t="shared" si="72"/>
        <v>10518889.036015889</v>
      </c>
      <c r="CD58" s="20">
        <f t="shared" si="72"/>
        <v>10672201.25675213</v>
      </c>
      <c r="CE58" s="20">
        <f t="shared" si="72"/>
        <v>10823965.024058932</v>
      </c>
      <c r="CF58" s="20">
        <f t="shared" si="72"/>
        <v>10974195.977315936</v>
      </c>
      <c r="CG58" s="20">
        <f t="shared" si="72"/>
        <v>11122909.597945046</v>
      </c>
      <c r="CH58" s="20">
        <f t="shared" si="72"/>
        <v>11270121.211005801</v>
      </c>
      <c r="CI58" s="20">
        <f t="shared" si="72"/>
        <v>11415845.986774642</v>
      </c>
      <c r="CJ58" s="20">
        <f t="shared" si="72"/>
        <v>11560098.942308219</v>
      </c>
      <c r="CK58" s="20">
        <f t="shared" si="72"/>
        <v>11702894.942990907</v>
      </c>
      <c r="CL58" s="20">
        <f t="shared" si="72"/>
        <v>11844248.704066699</v>
      </c>
      <c r="CM58" s="20">
        <f t="shared" si="72"/>
        <v>11984174.792155625</v>
      </c>
      <c r="CN58" s="20">
        <f t="shared" si="72"/>
        <v>12122687.626754854</v>
      </c>
      <c r="CO58" s="20">
        <f t="shared" si="72"/>
        <v>12259801.481724631</v>
      </c>
      <c r="CP58" s="20">
        <f t="shared" si="72"/>
        <v>12395530.486759212</v>
      </c>
      <c r="CQ58" s="20">
        <f t="shared" si="72"/>
        <v>12529888.628842944</v>
      </c>
      <c r="CR58" s="20">
        <f t="shared" si="72"/>
        <v>12662889.75369163</v>
      </c>
      <c r="CS58" s="20">
        <f t="shared" si="72"/>
        <v>12794547.567179346</v>
      </c>
      <c r="CT58" s="20">
        <f t="shared" si="72"/>
        <v>12924875.636750834</v>
      </c>
      <c r="CU58" s="20">
        <f t="shared" si="72"/>
        <v>13053887.39281965</v>
      </c>
      <c r="CV58" s="20">
        <f t="shared" si="72"/>
        <v>13181596.130152173</v>
      </c>
      <c r="CW58" s="20">
        <f t="shared" si="72"/>
        <v>13308015.009237636</v>
      </c>
      <c r="CX58" s="20">
        <f t="shared" si="72"/>
        <v>13433157.057644337</v>
      </c>
      <c r="CY58" s="20">
        <f t="shared" si="72"/>
        <v>13557035.171362128</v>
      </c>
      <c r="CZ58" s="20">
        <f t="shared" si="72"/>
        <v>13679662.116131371</v>
      </c>
      <c r="DA58" s="20">
        <f t="shared" si="72"/>
        <v>13801050.528758446</v>
      </c>
      <c r="DB58" s="20">
        <f t="shared" si="72"/>
        <v>13921212.918417985</v>
      </c>
      <c r="DC58" s="20">
        <f t="shared" si="72"/>
        <v>14040161.667941965</v>
      </c>
      <c r="DD58" s="20">
        <f t="shared" si="72"/>
        <v>14157909.035095751</v>
      </c>
      <c r="DE58" s="20">
        <f t="shared" si="72"/>
        <v>14274467.153841285</v>
      </c>
      <c r="DF58" s="20">
        <f t="shared" si="72"/>
        <v>14389848.035587488</v>
      </c>
      <c r="DG58" s="20">
        <f t="shared" si="72"/>
        <v>14504063.570428055</v>
      </c>
      <c r="DH58" s="20">
        <f t="shared" si="72"/>
        <v>14617125.528366731</v>
      </c>
      <c r="DI58" s="20">
        <f t="shared" si="72"/>
        <v>14729045.560530227</v>
      </c>
      <c r="DJ58" s="20">
        <f t="shared" si="72"/>
        <v>14839835.200368874</v>
      </c>
      <c r="DK58" s="20">
        <f t="shared" si="72"/>
        <v>14949505.864845147</v>
      </c>
      <c r="DL58" s="20">
        <f t="shared" si="72"/>
        <v>15058068.855610212</v>
      </c>
      <c r="DM58" s="20">
        <f t="shared" si="72"/>
        <v>15165535.360168548</v>
      </c>
      <c r="DN58" s="20">
        <f t="shared" si="72"/>
        <v>15271916.453030847</v>
      </c>
      <c r="DO58" s="20">
        <f t="shared" si="72"/>
        <v>15377223.096855234</v>
      </c>
      <c r="DP58" s="20">
        <f t="shared" si="72"/>
        <v>15481466.143576995</v>
      </c>
      <c r="DQ58" s="20">
        <f t="shared" si="72"/>
        <v>15584656.335526869</v>
      </c>
      <c r="DR58" s="20">
        <f t="shared" si="72"/>
        <v>15686804.306538049</v>
      </c>
      <c r="DS58" s="20">
        <f t="shared" si="72"/>
        <v>15787920.583042014</v>
      </c>
      <c r="DT58" s="20">
        <f t="shared" si="72"/>
        <v>15888015.585153289</v>
      </c>
      <c r="DU58" s="95">
        <f t="shared" ref="DU58" si="73">SUM(DU59:DU60)</f>
        <v>16488585.597820943</v>
      </c>
    </row>
    <row r="59" spans="1:125" x14ac:dyDescent="0.4">
      <c r="B59" s="39"/>
      <c r="C59" s="55" t="s">
        <v>60</v>
      </c>
      <c r="D59" s="59">
        <f>(Assumptions!K24+Assumptions!K28)*-1</f>
        <v>-6650000</v>
      </c>
      <c r="E59" s="59">
        <f>D59+E51+E7*(1-Assumptions!$K$23)</f>
        <v>-6350000</v>
      </c>
      <c r="F59" s="59">
        <f>E59+F51+F7*(1-Assumptions!$K$23)</f>
        <v>-6053030</v>
      </c>
      <c r="G59" s="59">
        <f>F59+G51+G7*(1-Assumptions!$K$23)</f>
        <v>-5759059.3969999999</v>
      </c>
      <c r="H59" s="59">
        <f>G59+H51+H7*(1-Assumptions!$K$23)</f>
        <v>-5468057.8970903</v>
      </c>
      <c r="I59" s="59">
        <f>H59+I51+I7*(1-Assumptions!$K$23)</f>
        <v>-5179995.5123296883</v>
      </c>
      <c r="J59" s="59">
        <f>I59+J51+J7*(1-Assumptions!$K$23)</f>
        <v>-4894842.5576551585</v>
      </c>
      <c r="K59" s="59">
        <f>J59+K51+K7*(1-Assumptions!$K$23)</f>
        <v>-4612569.6478228411</v>
      </c>
      <c r="L59" s="59">
        <f>K59+L51+L7*(1-Assumptions!$K$23)</f>
        <v>-4333147.6943798307</v>
      </c>
      <c r="M59" s="59">
        <f>L59+M51+M7*(1-Assumptions!$K$23)</f>
        <v>-4056547.9026665944</v>
      </c>
      <c r="N59" s="59">
        <f>M59+N51+N7*(1-Assumptions!$K$23)</f>
        <v>-3782741.7688496616</v>
      </c>
      <c r="O59" s="59">
        <f>N59+O51+O7*(1-Assumptions!$K$23)</f>
        <v>-3511701.0769842798</v>
      </c>
      <c r="P59" s="59">
        <f>O59+P51+P7*(1-Assumptions!$K$23)</f>
        <v>-3243397.8961067386</v>
      </c>
      <c r="Q59" s="59">
        <f>P59+Q51+Q7*(1-Assumptions!$K$23)</f>
        <v>-2977804.5773560605</v>
      </c>
      <c r="R59" s="59">
        <f>Q59+R51+R7*(1-Assumptions!$K$23)</f>
        <v>-2714893.7511247643</v>
      </c>
      <c r="S59" s="59">
        <f>R59+S51+S7*(1-Assumptions!$K$23)</f>
        <v>-2454638.3242384042</v>
      </c>
      <c r="T59" s="59">
        <f>S59+T51+T7*(1-Assumptions!$K$23)</f>
        <v>-2197011.4771635961</v>
      </c>
      <c r="U59" s="59">
        <f>T59+U51+U7*(1-Assumptions!$K$23)</f>
        <v>-1941986.6612442438</v>
      </c>
      <c r="V59" s="59">
        <f>U59+V51+V7*(1-Assumptions!$K$23)</f>
        <v>-1689537.5959656769</v>
      </c>
      <c r="W59" s="59">
        <f>V59+W51+W7*(1-Assumptions!$K$23)</f>
        <v>-1439638.2662464236</v>
      </c>
      <c r="X59" s="59">
        <f>W59+X51+X7*(1-Assumptions!$K$23)</f>
        <v>-1192262.9197573347</v>
      </c>
      <c r="Y59" s="59">
        <f>X59+Y51+Y7*(1-Assumptions!$K$23)</f>
        <v>-947386.06426778564</v>
      </c>
      <c r="Z59" s="59">
        <f>Y59+Z51+Z7*(1-Assumptions!$K$23)</f>
        <v>-704982.46501868102</v>
      </c>
      <c r="AA59" s="59">
        <f>Z59+AA51+AA7*(1-Assumptions!$K$23)</f>
        <v>-465027.14212199231</v>
      </c>
      <c r="AB59" s="59">
        <f>AA59+AB51+AB7*(1-Assumptions!$K$23)</f>
        <v>-227495.36798656019</v>
      </c>
      <c r="AC59" s="59">
        <f>AB59+AC51+AC7*(1-Assumptions!$K$23)</f>
        <v>7637.3352301040723</v>
      </c>
      <c r="AD59" s="59">
        <f>AC59+AD51+AD7*(1-Assumptions!$K$23)</f>
        <v>240395.19814428003</v>
      </c>
      <c r="AE59" s="59">
        <f>AD59+AE51+AE7*(1-Assumptions!$K$23)</f>
        <v>470802.20664302283</v>
      </c>
      <c r="AF59" s="59">
        <f>AE59+AF51+AF7*(1-Assumptions!$K$23)</f>
        <v>698882.10435592826</v>
      </c>
      <c r="AG59" s="59">
        <f>AF59+AG51+AG7*(1-Assumptions!$K$23)</f>
        <v>924658.39510193339</v>
      </c>
      <c r="AH59" s="59">
        <f>AG59+AH51+AH7*(1-Assumptions!$K$23)</f>
        <v>1148154.3453114037</v>
      </c>
      <c r="AI59" s="59">
        <f>AH59+AI51+AI7*(1-Assumptions!$K$23)</f>
        <v>1369392.9864237586</v>
      </c>
      <c r="AJ59" s="59">
        <f>AI59+AJ51+AJ7*(1-Assumptions!$K$23)</f>
        <v>1588397.1172608787</v>
      </c>
      <c r="AK59" s="59">
        <f>AJ59+AK51+AK7*(1-Assumptions!$K$23)</f>
        <v>1805189.3063765438</v>
      </c>
      <c r="AL59" s="59">
        <f>AK59+AL51+AL7*(1-Assumptions!$K$23)</f>
        <v>2019791.8943821408</v>
      </c>
      <c r="AM59" s="59">
        <f>AL59+AM51+AM7*(1-Assumptions!$K$23)</f>
        <v>2232226.9962488813</v>
      </c>
      <c r="AN59" s="59">
        <f>AM59+AN51+AN7*(1-Assumptions!$K$23)</f>
        <v>2442516.5035867677</v>
      </c>
      <c r="AO59" s="59">
        <f>AN59+AO51+AO7*(1-Assumptions!$K$23)</f>
        <v>2650682.0869005416</v>
      </c>
      <c r="AP59" s="59">
        <f>AO59+AP51+AP7*(1-Assumptions!$K$23)</f>
        <v>2856745.197822846</v>
      </c>
      <c r="AQ59" s="59">
        <f>AP59+AQ51+AQ7*(1-Assumptions!$K$23)</f>
        <v>3060727.0713248355</v>
      </c>
      <c r="AR59" s="59">
        <f>AQ59+AR51+AR7*(1-Assumptions!$K$23)</f>
        <v>3262648.7279044548</v>
      </c>
      <c r="AS59" s="59">
        <f>AR59+AS51+AS7*(1-Assumptions!$K$23)</f>
        <v>3462530.97575262</v>
      </c>
      <c r="AT59" s="59">
        <f>AS59+AT51+AT7*(1-Assumptions!$K$23)</f>
        <v>3660394.4128975188</v>
      </c>
      <c r="AU59" s="59">
        <f>AT59+AU51+AU7*(1-Assumptions!$K$23)</f>
        <v>3856259.4293272542</v>
      </c>
      <c r="AV59" s="59">
        <f>AU59+AV51+AV7*(1-Assumptions!$K$23)</f>
        <v>4050146.2090910492</v>
      </c>
      <c r="AW59" s="59">
        <f>AV59+AW51+AW7*(1-Assumptions!$K$23)</f>
        <v>4242074.7323792297</v>
      </c>
      <c r="AX59" s="59">
        <f>AW59+AX51+AX7*(1-Assumptions!$K$23)</f>
        <v>4432064.7775821993</v>
      </c>
      <c r="AY59" s="59">
        <f>AX59+AY51+AY7*(1-Assumptions!$K$23)</f>
        <v>4620135.9233286195</v>
      </c>
      <c r="AZ59" s="59">
        <f>AY59+AZ51+AZ7*(1-Assumptions!$K$23)</f>
        <v>4806307.5505030006</v>
      </c>
      <c r="BA59" s="59">
        <f>AZ59+BA51+BA7*(1-Assumptions!$K$23)</f>
        <v>4990598.8442429202</v>
      </c>
      <c r="BB59" s="59">
        <f>BA59+BB51+BB7*(1-Assumptions!$K$23)</f>
        <v>5173028.7959160665</v>
      </c>
      <c r="BC59" s="59">
        <f>BB59+BC51+BC7*(1-Assumptions!$K$23)</f>
        <v>5353616.2050773147</v>
      </c>
      <c r="BD59" s="59">
        <f>BC59+BD51+BD7*(1-Assumptions!$K$23)</f>
        <v>5532379.6814060342</v>
      </c>
      <c r="BE59" s="59">
        <f>BD59+BE51+BE7*(1-Assumptions!$K$23)</f>
        <v>5709337.6466238331</v>
      </c>
      <c r="BF59" s="59">
        <f>BE59+BF51+BF7*(1-Assumptions!$K$23)</f>
        <v>5884508.3363929326</v>
      </c>
      <c r="BG59" s="59">
        <f>BF59+BG51+BG7*(1-Assumptions!$K$23)</f>
        <v>6057909.8021953637</v>
      </c>
      <c r="BH59" s="59">
        <f>BG59+BH51+BH7*(1-Assumptions!$K$23)</f>
        <v>6229559.9131931905</v>
      </c>
      <c r="BI59" s="59">
        <f>BH59+BI51+BI7*(1-Assumptions!$K$23)</f>
        <v>6399476.3580699395</v>
      </c>
      <c r="BJ59" s="59">
        <f>BI59+BJ51+BJ7*(1-Assumptions!$K$23)</f>
        <v>6567676.646853433</v>
      </c>
      <c r="BK59" s="59">
        <f>BJ59+BK51+BK7*(1-Assumptions!$K$23)</f>
        <v>6734178.1127202138</v>
      </c>
      <c r="BL59" s="59">
        <f>BK59+BL51+BL7*(1-Assumptions!$K$23)</f>
        <v>6898997.9137817398</v>
      </c>
      <c r="BM59" s="59">
        <f>BL59+BM51+BM7*(1-Assumptions!$K$23)</f>
        <v>7062153.0348525438</v>
      </c>
      <c r="BN59" s="59">
        <f>BM59+BN51+BN7*(1-Assumptions!$K$23)</f>
        <v>7223660.2892005332</v>
      </c>
      <c r="BO59" s="59">
        <f>BN59+BO51+BO7*(1-Assumptions!$K$23)</f>
        <v>7383536.3202796075</v>
      </c>
      <c r="BP59" s="59">
        <f>BO59+BP51+BP7*(1-Assumptions!$K$23)</f>
        <v>7541797.6034447839</v>
      </c>
      <c r="BQ59" s="59">
        <f>BP59+BQ51+BQ7*(1-Assumptions!$K$23)</f>
        <v>7698460.4476499921</v>
      </c>
      <c r="BR59" s="59">
        <f>BQ59+BR51+BR7*(1-Assumptions!$K$23)</f>
        <v>7853540.9971287269</v>
      </c>
      <c r="BS59" s="59">
        <f>BR59+BS51+BS7*(1-Assumptions!$K$23)</f>
        <v>8007055.2330577271</v>
      </c>
      <c r="BT59" s="59">
        <f>BS59+BT51+BT7*(1-Assumptions!$K$23)</f>
        <v>8159018.9752038438</v>
      </c>
      <c r="BU59" s="59">
        <f>BT59+BU51+BU7*(1-Assumptions!$K$23)</f>
        <v>8309447.8835542854</v>
      </c>
      <c r="BV59" s="59">
        <f>BU59+BV51+BV7*(1-Assumptions!$K$23)</f>
        <v>8458357.4599303864</v>
      </c>
      <c r="BW59" s="59">
        <f>BV59+BW51+BW7*(1-Assumptions!$K$23)</f>
        <v>8605763.0495850891</v>
      </c>
      <c r="BX59" s="59">
        <f>BW59+BX51+BX7*(1-Assumptions!$K$23)</f>
        <v>8751679.84278428</v>
      </c>
      <c r="BY59" s="59">
        <f>BX59+BY51+BY7*(1-Assumptions!$K$23)</f>
        <v>8896122.8763721585</v>
      </c>
      <c r="BZ59" s="59">
        <f>BY59+BZ51+BZ7*(1-Assumptions!$K$23)</f>
        <v>9039107.0353207998</v>
      </c>
      <c r="CA59" s="59">
        <f>BZ59+CA51+CA7*(1-Assumptions!$K$23)</f>
        <v>9180647.0542640593</v>
      </c>
      <c r="CB59" s="59">
        <f>CA59+CB51+CB7*(1-Assumptions!$K$23)</f>
        <v>9320757.5190159921</v>
      </c>
      <c r="CC59" s="59">
        <f>CB59+CC51+CC7*(1-Assumptions!$K$23)</f>
        <v>9459452.868073931</v>
      </c>
      <c r="CD59" s="59">
        <f>CC59+CD51+CD7*(1-Assumptions!$K$23)</f>
        <v>9596747.3941063844</v>
      </c>
      <c r="CE59" s="59">
        <f>CD59+CE51+CE7*(1-Assumptions!$K$23)</f>
        <v>9732655.2454259098</v>
      </c>
      <c r="CF59" s="59">
        <f>CE59+CF51+CF7*(1-Assumptions!$K$23)</f>
        <v>9867190.4274471086</v>
      </c>
      <c r="CG59" s="59">
        <f>CF59+CG51+CG7*(1-Assumptions!$K$23)</f>
        <v>10000366.804129893</v>
      </c>
      <c r="CH59" s="59">
        <f>CG59+CH51+CH7*(1-Assumptions!$K$23)</f>
        <v>10132198.099408181</v>
      </c>
      <c r="CI59" s="59">
        <f>CH59+CI51+CI7*(1-Assumptions!$K$23)</f>
        <v>10262697.898604158</v>
      </c>
      <c r="CJ59" s="59">
        <f>CI59+CJ51+CJ7*(1-Assumptions!$K$23)</f>
        <v>10391879.649828257</v>
      </c>
      <c r="CK59" s="59">
        <f>CJ59+CK51+CK7*(1-Assumptions!$K$23)</f>
        <v>10519756.665364992</v>
      </c>
      <c r="CL59" s="59">
        <f>CK59+CL51+CL7*(1-Assumptions!$K$23)</f>
        <v>10646342.123044806</v>
      </c>
      <c r="CM59" s="59">
        <f>CL59+CM51+CM7*(1-Assumptions!$K$23)</f>
        <v>10771649.067602053</v>
      </c>
      <c r="CN59" s="59">
        <f>CM59+CN51+CN7*(1-Assumptions!$K$23)</f>
        <v>10895690.412019273</v>
      </c>
      <c r="CO59" s="59">
        <f>CN59+CO51+CO7*(1-Assumptions!$K$23)</f>
        <v>11018478.938857879</v>
      </c>
      <c r="CP59" s="59">
        <f>CO59+CP51+CP7*(1-Assumptions!$K$23)</f>
        <v>11140027.301575415</v>
      </c>
      <c r="CQ59" s="59">
        <f>CP59+CQ51+CQ7*(1-Assumptions!$K$23)</f>
        <v>11260348.025829503</v>
      </c>
      <c r="CR59" s="59">
        <f>CQ59+CR51+CR7*(1-Assumptions!$K$23)</f>
        <v>11379453.510768626</v>
      </c>
      <c r="CS59" s="59">
        <f>CR59+CS51+CS7*(1-Assumptions!$K$23)</f>
        <v>11497356.030309863</v>
      </c>
      <c r="CT59" s="59">
        <f>CS59+CT51+CT7*(1-Assumptions!$K$23)</f>
        <v>11614067.734403733</v>
      </c>
      <c r="CU59" s="59">
        <f>CT59+CU51+CU7*(1-Assumptions!$K$23)</f>
        <v>11729600.650286255</v>
      </c>
      <c r="CV59" s="59">
        <f>CU59+CV51+CV7*(1-Assumptions!$K$23)</f>
        <v>11843966.683718365</v>
      </c>
      <c r="CW59" s="59">
        <f>CV59+CW51+CW7*(1-Assumptions!$K$23)</f>
        <v>11957177.62021281</v>
      </c>
      <c r="CX59" s="59">
        <f>CW59+CX51+CX7*(1-Assumptions!$K$23)</f>
        <v>12069245.126248661</v>
      </c>
      <c r="CY59" s="59">
        <f>CX59+CY51+CY7*(1-Assumptions!$K$23)</f>
        <v>12180180.75047355</v>
      </c>
      <c r="CZ59" s="59">
        <f>CY59+CZ51+CZ7*(1-Assumptions!$K$23)</f>
        <v>12289995.924893767</v>
      </c>
      <c r="DA59" s="59">
        <f>CZ59+DA51+DA7*(1-Assumptions!$K$23)</f>
        <v>12398701.96605234</v>
      </c>
      <c r="DB59" s="59">
        <f>DA59+DB51+DB7*(1-Assumptions!$K$23)</f>
        <v>12506310.076195212</v>
      </c>
      <c r="DC59" s="59">
        <f>DB59+DC51+DC7*(1-Assumptions!$K$23)</f>
        <v>12612831.344425641</v>
      </c>
      <c r="DD59" s="59">
        <f>DC59+DD51+DD7*(1-Assumptions!$K$23)</f>
        <v>12718276.747846942</v>
      </c>
      <c r="DE59" s="59">
        <f>DD59+DE51+DE7*(1-Assumptions!$K$23)</f>
        <v>12822657.152693689</v>
      </c>
      <c r="DF59" s="59">
        <f>DE59+DF51+DF7*(1-Assumptions!$K$23)</f>
        <v>12925983.315451482</v>
      </c>
      <c r="DG59" s="59">
        <f>DF59+DG51+DG7*(1-Assumptions!$K$23)</f>
        <v>13028265.883965423</v>
      </c>
      <c r="DH59" s="59">
        <f>DG59+DH51+DH7*(1-Assumptions!$K$23)</f>
        <v>13129515.398537373</v>
      </c>
      <c r="DI59" s="59">
        <f>DH59+DI51+DI7*(1-Assumptions!$K$23)</f>
        <v>13229742.293012146</v>
      </c>
      <c r="DJ59" s="59">
        <f>DI59+DJ51+DJ7*(1-Assumptions!$K$23)</f>
        <v>13328956.895852724</v>
      </c>
      <c r="DK59" s="59">
        <f>DJ59+DK51+DK7*(1-Assumptions!$K$23)</f>
        <v>13427169.431204611</v>
      </c>
      <c r="DL59" s="59">
        <f>DK59+DL51+DL7*(1-Assumptions!$K$23)</f>
        <v>13524390.019949446</v>
      </c>
      <c r="DM59" s="59">
        <f>DL59+DM51+DM7*(1-Assumptions!$K$23)</f>
        <v>13620628.680747956</v>
      </c>
      <c r="DN59" s="59">
        <f>DM59+DN51+DN7*(1-Assumptions!$K$23)</f>
        <v>13715895.331072401</v>
      </c>
      <c r="DO59" s="59">
        <f>DN59+DO51+DO7*(1-Assumptions!$K$23)</f>
        <v>13810199.78822857</v>
      </c>
      <c r="DP59" s="59">
        <f>DO59+DP51+DP7*(1-Assumptions!$K$23)</f>
        <v>13903551.77036746</v>
      </c>
      <c r="DQ59" s="59">
        <f>DP59+DQ51+DQ7*(1-Assumptions!$K$23)</f>
        <v>13995960.89748675</v>
      </c>
      <c r="DR59" s="59">
        <f>DQ59+DR51+DR7*(1-Assumptions!$K$23)</f>
        <v>14087436.692422135</v>
      </c>
      <c r="DS59" s="59">
        <f>DR59+DS51+DS7*(1-Assumptions!$K$23)</f>
        <v>14177988.581828671</v>
      </c>
      <c r="DT59" s="59">
        <f>DS59+DT51+DT7*(1-Assumptions!$K$23)</f>
        <v>14267625.8971522</v>
      </c>
      <c r="DU59" s="60">
        <f>DT59+DU51+DU7*(1-Assumptions!$K$23)</f>
        <v>14805449.789093385</v>
      </c>
    </row>
    <row r="60" spans="1:125" x14ac:dyDescent="0.4">
      <c r="B60" s="39"/>
      <c r="C60" s="55" t="s">
        <v>61</v>
      </c>
      <c r="D60" s="59">
        <f>(Assumptions!L24+Assumptions!L28)*-1</f>
        <v>-820000</v>
      </c>
      <c r="E60" s="59">
        <f>D60+E52+E8*(1-Assumptions!$L$23)</f>
        <v>-785000</v>
      </c>
      <c r="F60" s="59">
        <f>E60+F52+F8*(1-Assumptions!$L$23)</f>
        <v>-750353.5</v>
      </c>
      <c r="G60" s="59">
        <f>F60+G52+G8*(1-Assumptions!$L$23)</f>
        <v>-716056.92964999995</v>
      </c>
      <c r="H60" s="59">
        <f>G60+H52+H8*(1-Assumptions!$L$23)</f>
        <v>-682106.75466053491</v>
      </c>
      <c r="I60" s="59">
        <f>H60+I52+I8*(1-Assumptions!$L$23)</f>
        <v>-648499.47643846355</v>
      </c>
      <c r="J60" s="59">
        <f>I60+J52+J8*(1-Assumptions!$L$23)</f>
        <v>-615231.63172643504</v>
      </c>
      <c r="K60" s="59">
        <f>J60+K52+K8*(1-Assumptions!$L$23)</f>
        <v>-582299.79224599805</v>
      </c>
      <c r="L60" s="59">
        <f>K60+L52+L8*(1-Assumptions!$L$23)</f>
        <v>-549700.56434431346</v>
      </c>
      <c r="M60" s="59">
        <f>L60+M52+M8*(1-Assumptions!$L$23)</f>
        <v>-517430.58864443592</v>
      </c>
      <c r="N60" s="59">
        <f>M60+N52+N8*(1-Assumptions!$L$23)</f>
        <v>-485486.53969912714</v>
      </c>
      <c r="O60" s="59">
        <f>N60+O52+O8*(1-Assumptions!$L$23)</f>
        <v>-453865.12564816594</v>
      </c>
      <c r="P60" s="59">
        <f>O60+P52+P8*(1-Assumptions!$L$23)</f>
        <v>-422563.08787911944</v>
      </c>
      <c r="Q60" s="59">
        <f>P60+Q52+Q8*(1-Assumptions!$L$23)</f>
        <v>-391577.20069154032</v>
      </c>
      <c r="R60" s="59">
        <f>Q60+R52+R8*(1-Assumptions!$L$23)</f>
        <v>-360904.27096455579</v>
      </c>
      <c r="S60" s="59">
        <f>R60+S52+S8*(1-Assumptions!$L$23)</f>
        <v>-330541.1378278138</v>
      </c>
      <c r="T60" s="59">
        <f>S60+T52+T8*(1-Assumptions!$L$23)</f>
        <v>-300484.67233575287</v>
      </c>
      <c r="U60" s="59">
        <f>T60+U52+U8*(1-Assumptions!$L$23)</f>
        <v>-270731.77714516176</v>
      </c>
      <c r="V60" s="59">
        <f>U60+V52+V8*(1-Assumptions!$L$23)</f>
        <v>-241279.38619599561</v>
      </c>
      <c r="W60" s="59">
        <f>V60+W52+W8*(1-Assumptions!$L$23)</f>
        <v>-212124.46439541606</v>
      </c>
      <c r="X60" s="59">
        <f>W60+X52+X8*(1-Assumptions!$L$23)</f>
        <v>-183264.00730502236</v>
      </c>
      <c r="Y60" s="59">
        <f>X60+Y52+Y8*(1-Assumptions!$L$23)</f>
        <v>-154695.04083124164</v>
      </c>
      <c r="Z60" s="59">
        <f>Y60+Z52+Z8*(1-Assumptions!$L$23)</f>
        <v>-126414.62091884611</v>
      </c>
      <c r="AA60" s="59">
        <f>Z60+AA52+AA8*(1-Assumptions!$L$23)</f>
        <v>-98419.833247565766</v>
      </c>
      <c r="AB60" s="59">
        <f>AA60+AB52+AB8*(1-Assumptions!$L$23)</f>
        <v>-70707.792931765347</v>
      </c>
      <c r="AC60" s="59">
        <f>AB60+AC52+AC8*(1-Assumptions!$L$23)</f>
        <v>-43275.644223154522</v>
      </c>
      <c r="AD60" s="59">
        <f>AC60+AD52+AD8*(1-Assumptions!$L$23)</f>
        <v>-16120.560216500664</v>
      </c>
      <c r="AE60" s="59">
        <f>AD60+AE52+AE8*(1-Assumptions!$L$23)</f>
        <v>10760.25744168599</v>
      </c>
      <c r="AF60" s="59">
        <f>AE60+AF52+AF8*(1-Assumptions!$L$23)</f>
        <v>37369.578841524955</v>
      </c>
      <c r="AG60" s="59">
        <f>AF60+AG52+AG8*(1-Assumptions!$L$23)</f>
        <v>63710.146095225551</v>
      </c>
      <c r="AH60" s="59">
        <f>AG60+AH52+AH8*(1-Assumptions!$L$23)</f>
        <v>89784.673619663779</v>
      </c>
      <c r="AI60" s="59">
        <f>AH60+AI52+AI8*(1-Assumptions!$L$23)</f>
        <v>115595.84841610517</v>
      </c>
      <c r="AJ60" s="59">
        <f>AI60+AJ52+AJ8*(1-Assumptions!$L$23)</f>
        <v>141146.33034710251</v>
      </c>
      <c r="AK60" s="59">
        <f>AJ60+AK52+AK8*(1-Assumptions!$L$23)</f>
        <v>166438.75241059679</v>
      </c>
      <c r="AL60" s="59">
        <f>AK60+AL52+AL8*(1-Assumptions!$L$23)</f>
        <v>191475.72101124976</v>
      </c>
      <c r="AM60" s="59">
        <f>AL60+AM52+AM8*(1-Assumptions!$L$23)</f>
        <v>216259.81622903614</v>
      </c>
      <c r="AN60" s="59">
        <f>AM60+AN52+AN8*(1-Assumptions!$L$23)</f>
        <v>240793.59208512289</v>
      </c>
      <c r="AO60" s="59">
        <f>AN60+AO52+AO8*(1-Assumptions!$L$23)</f>
        <v>265079.57680506317</v>
      </c>
      <c r="AP60" s="59">
        <f>AO60+AP52+AP8*(1-Assumptions!$L$23)</f>
        <v>289120.27307933202</v>
      </c>
      <c r="AQ60" s="59">
        <f>AP60+AQ52+AQ8*(1-Assumptions!$L$23)</f>
        <v>312918.15832123079</v>
      </c>
      <c r="AR60" s="59">
        <f>AQ60+AR52+AR8*(1-Assumptions!$L$23)</f>
        <v>336475.68492218637</v>
      </c>
      <c r="AS60" s="59">
        <f>AR60+AS52+AS8*(1-Assumptions!$L$23)</f>
        <v>359795.28050447226</v>
      </c>
      <c r="AT60" s="59">
        <f>AS60+AT52+AT8*(1-Assumptions!$L$23)</f>
        <v>382879.34817137709</v>
      </c>
      <c r="AU60" s="59">
        <f>AT60+AU52+AU8*(1-Assumptions!$L$23)</f>
        <v>405730.26675484621</v>
      </c>
      <c r="AV60" s="59">
        <f>AU60+AV52+AV8*(1-Assumptions!$L$23)</f>
        <v>428350.39106062223</v>
      </c>
      <c r="AW60" s="59">
        <f>AV60+AW52+AW8*(1-Assumptions!$L$23)</f>
        <v>450742.05211090995</v>
      </c>
      <c r="AX60" s="59">
        <f>AW60+AX52+AX8*(1-Assumptions!$L$23)</f>
        <v>472907.55738458975</v>
      </c>
      <c r="AY60" s="59">
        <f>AX60+AY52+AY8*(1-Assumptions!$L$23)</f>
        <v>494849.19105500536</v>
      </c>
      <c r="AZ60" s="59">
        <f>AY60+AZ52+AZ8*(1-Assumptions!$L$23)</f>
        <v>516569.21422534977</v>
      </c>
      <c r="BA60" s="59">
        <f>AZ60+BA52+BA8*(1-Assumptions!$L$23)</f>
        <v>538069.86516167375</v>
      </c>
      <c r="BB60" s="59">
        <f>BA60+BB52+BB8*(1-Assumptions!$L$23)</f>
        <v>559353.35952354083</v>
      </c>
      <c r="BC60" s="59">
        <f>BB60+BC52+BC8*(1-Assumptions!$L$23)</f>
        <v>580421.89059235307</v>
      </c>
      <c r="BD60" s="59">
        <f>BC60+BD52+BD8*(1-Assumptions!$L$23)</f>
        <v>601277.62949737033</v>
      </c>
      <c r="BE60" s="59">
        <f>BD60+BE52+BE8*(1-Assumptions!$L$23)</f>
        <v>621922.72543944686</v>
      </c>
      <c r="BF60" s="59">
        <f>BE60+BF52+BF8*(1-Assumptions!$L$23)</f>
        <v>642359.3059125084</v>
      </c>
      <c r="BG60" s="59">
        <f>BF60+BG52+BG8*(1-Assumptions!$L$23)</f>
        <v>662589.47692279203</v>
      </c>
      <c r="BH60" s="59">
        <f>BG60+BH52+BH8*(1-Assumptions!$L$23)</f>
        <v>682615.32320587186</v>
      </c>
      <c r="BI60" s="59">
        <f>BH60+BI52+BI8*(1-Assumptions!$L$23)</f>
        <v>702438.90844149259</v>
      </c>
      <c r="BJ60" s="59">
        <f>BI60+BJ52+BJ8*(1-Assumptions!$L$23)</f>
        <v>722062.27546623349</v>
      </c>
      <c r="BK60" s="59">
        <f>BJ60+BK52+BK8*(1-Assumptions!$L$23)</f>
        <v>741487.44648402452</v>
      </c>
      <c r="BL60" s="59">
        <f>BK60+BL52+BL8*(1-Assumptions!$L$23)</f>
        <v>760716.42327453592</v>
      </c>
      <c r="BM60" s="59">
        <f>BL60+BM52+BM8*(1-Assumptions!$L$23)</f>
        <v>779751.18739946315</v>
      </c>
      <c r="BN60" s="59">
        <f>BM60+BN52+BN8*(1-Assumptions!$L$23)</f>
        <v>798593.70040672855</v>
      </c>
      <c r="BO60" s="59">
        <f>BN60+BO52+BO8*(1-Assumptions!$L$23)</f>
        <v>817245.9040326206</v>
      </c>
      <c r="BP60" s="59">
        <f>BO60+BP52+BP8*(1-Assumptions!$L$23)</f>
        <v>835709.72040189116</v>
      </c>
      <c r="BQ60" s="59">
        <f>BP60+BQ52+BQ8*(1-Assumptions!$L$23)</f>
        <v>853987.05222583201</v>
      </c>
      <c r="BR60" s="59">
        <f>BQ60+BR52+BR8*(1-Assumptions!$L$23)</f>
        <v>872079.78299835115</v>
      </c>
      <c r="BS60" s="59">
        <f>BR60+BS52+BS8*(1-Assumptions!$L$23)</f>
        <v>889989.77719006781</v>
      </c>
      <c r="BT60" s="59">
        <f>BS60+BT52+BT8*(1-Assumptions!$L$23)</f>
        <v>907718.88044044806</v>
      </c>
      <c r="BU60" s="59">
        <f>BT60+BU52+BU8*(1-Assumptions!$L$23)</f>
        <v>925268.91974799952</v>
      </c>
      <c r="BV60" s="59">
        <f>BU60+BV52+BV8*(1-Assumptions!$L$23)</f>
        <v>942641.70365854469</v>
      </c>
      <c r="BW60" s="59">
        <f>BV60+BW52+BW8*(1-Assumptions!$L$23)</f>
        <v>959839.02245159342</v>
      </c>
      <c r="BX60" s="59">
        <f>BW60+BX52+BX8*(1-Assumptions!$L$23)</f>
        <v>976862.64832483232</v>
      </c>
      <c r="BY60" s="59">
        <f>BX60+BY52+BY8*(1-Assumptions!$L$23)</f>
        <v>993714.3355767515</v>
      </c>
      <c r="BZ60" s="59">
        <f>BY60+BZ52+BZ8*(1-Assumptions!$L$23)</f>
        <v>1010395.8207874263</v>
      </c>
      <c r="CA60" s="59">
        <f>BZ60+CA52+CA8*(1-Assumptions!$L$23)</f>
        <v>1026908.8229974733</v>
      </c>
      <c r="CB60" s="59">
        <f>CA60+CB52+CB8*(1-Assumptions!$L$23)</f>
        <v>1043255.0438851988</v>
      </c>
      <c r="CC60" s="59">
        <f>CB60+CC52+CC8*(1-Assumptions!$L$23)</f>
        <v>1059436.1679419582</v>
      </c>
      <c r="CD60" s="59">
        <f>CC60+CD52+CD8*(1-Assumptions!$L$23)</f>
        <v>1075453.8626457443</v>
      </c>
      <c r="CE60" s="59">
        <f>CD60+CE52+CE8*(1-Assumptions!$L$23)</f>
        <v>1091309.7786330222</v>
      </c>
      <c r="CF60" s="59">
        <f>CE60+CF52+CF8*(1-Assumptions!$L$23)</f>
        <v>1107005.5498688286</v>
      </c>
      <c r="CG60" s="59">
        <f>CF60+CG52+CG8*(1-Assumptions!$L$23)</f>
        <v>1122542.7938151534</v>
      </c>
      <c r="CH60" s="59">
        <f>CG60+CH52+CH8*(1-Assumptions!$L$23)</f>
        <v>1137923.1115976204</v>
      </c>
      <c r="CI60" s="59">
        <f>CH60+CI52+CI8*(1-Assumptions!$L$23)</f>
        <v>1153148.0881704844</v>
      </c>
      <c r="CJ60" s="59">
        <f>CI60+CJ52+CJ8*(1-Assumptions!$L$23)</f>
        <v>1168219.2924799626</v>
      </c>
      <c r="CK60" s="59">
        <f>CJ60+CK52+CK8*(1-Assumptions!$L$23)</f>
        <v>1183138.2776259149</v>
      </c>
      <c r="CL60" s="59">
        <f>CK60+CL52+CL8*(1-Assumptions!$L$23)</f>
        <v>1197906.5810218931</v>
      </c>
      <c r="CM60" s="59">
        <f>CL60+CM52+CM8*(1-Assumptions!$L$23)</f>
        <v>1212525.724553572</v>
      </c>
      <c r="CN60" s="59">
        <f>CM60+CN52+CN8*(1-Assumptions!$L$23)</f>
        <v>1226997.2147355808</v>
      </c>
      <c r="CO60" s="59">
        <f>CN60+CO52+CO8*(1-Assumptions!$L$23)</f>
        <v>1241322.5428667516</v>
      </c>
      <c r="CP60" s="59">
        <f>CO60+CP52+CP8*(1-Assumptions!$L$23)</f>
        <v>1255503.1851837973</v>
      </c>
      <c r="CQ60" s="59">
        <f>CP60+CQ52+CQ8*(1-Assumptions!$L$23)</f>
        <v>1269540.603013441</v>
      </c>
      <c r="CR60" s="59">
        <f>CQ60+CR52+CR8*(1-Assumptions!$L$23)</f>
        <v>1283436.2429230053</v>
      </c>
      <c r="CS60" s="59">
        <f>CR60+CS52+CS8*(1-Assumptions!$L$23)</f>
        <v>1297191.5368694828</v>
      </c>
      <c r="CT60" s="59">
        <f>CS60+CT52+CT8*(1-Assumptions!$L$23)</f>
        <v>1310807.9023471011</v>
      </c>
      <c r="CU60" s="59">
        <f>CT60+CU52+CU8*(1-Assumptions!$L$23)</f>
        <v>1324286.7425333953</v>
      </c>
      <c r="CV60" s="59">
        <f>CU60+CV52+CV8*(1-Assumptions!$L$23)</f>
        <v>1337629.446433808</v>
      </c>
      <c r="CW60" s="59">
        <f>CV60+CW52+CW8*(1-Assumptions!$L$23)</f>
        <v>1350837.3890248265</v>
      </c>
      <c r="CX60" s="59">
        <f>CW60+CX52+CX8*(1-Assumptions!$L$23)</f>
        <v>1363911.9313956758</v>
      </c>
      <c r="CY60" s="59">
        <f>CX60+CY52+CY8*(1-Assumptions!$L$23)</f>
        <v>1376854.4208885795</v>
      </c>
      <c r="CZ60" s="59">
        <f>CY60+CZ52+CZ8*(1-Assumptions!$L$23)</f>
        <v>1389666.1912376047</v>
      </c>
      <c r="DA60" s="59">
        <f>CZ60+DA52+DA8*(1-Assumptions!$L$23)</f>
        <v>1402348.5627061049</v>
      </c>
      <c r="DB60" s="59">
        <f>DA60+DB52+DB8*(1-Assumptions!$L$23)</f>
        <v>1414902.8422227732</v>
      </c>
      <c r="DC60" s="59">
        <f>DB60+DC52+DC8*(1-Assumptions!$L$23)</f>
        <v>1427330.3235163232</v>
      </c>
      <c r="DD60" s="59">
        <f>DC60+DD52+DD8*(1-Assumptions!$L$23)</f>
        <v>1439632.2872488084</v>
      </c>
      <c r="DE60" s="59">
        <f>DD60+DE52+DE8*(1-Assumptions!$L$23)</f>
        <v>1451810.0011475955</v>
      </c>
      <c r="DF60" s="59">
        <f>DE60+DF52+DF8*(1-Assumptions!$L$23)</f>
        <v>1463864.7201360047</v>
      </c>
      <c r="DG60" s="59">
        <f>DF60+DG52+DG8*(1-Assumptions!$L$23)</f>
        <v>1475797.686462631</v>
      </c>
      <c r="DH60" s="59">
        <f>DG60+DH52+DH8*(1-Assumptions!$L$23)</f>
        <v>1487610.1298293583</v>
      </c>
      <c r="DI60" s="59">
        <f>DH60+DI52+DI8*(1-Assumptions!$L$23)</f>
        <v>1499303.2675180817</v>
      </c>
      <c r="DJ60" s="59">
        <f>DI60+DJ52+DJ8*(1-Assumptions!$L$23)</f>
        <v>1510878.304516149</v>
      </c>
      <c r="DK60" s="59">
        <f>DJ60+DK52+DK8*(1-Assumptions!$L$23)</f>
        <v>1522336.4336405359</v>
      </c>
      <c r="DL60" s="59">
        <f>DK60+DL52+DL8*(1-Assumptions!$L$23)</f>
        <v>1533678.8356607666</v>
      </c>
      <c r="DM60" s="59">
        <f>DL60+DM52+DM8*(1-Assumptions!$L$23)</f>
        <v>1544906.6794205927</v>
      </c>
      <c r="DN60" s="59">
        <f>DM60+DN52+DN8*(1-Assumptions!$L$23)</f>
        <v>1556021.1219584448</v>
      </c>
      <c r="DO60" s="59">
        <f>DN60+DO52+DO8*(1-Assumptions!$L$23)</f>
        <v>1567023.3086266646</v>
      </c>
      <c r="DP60" s="59">
        <f>DO60+DP52+DP8*(1-Assumptions!$L$23)</f>
        <v>1577914.3732095351</v>
      </c>
      <c r="DQ60" s="59">
        <f>DP60+DQ52+DQ8*(1-Assumptions!$L$23)</f>
        <v>1588695.4380401189</v>
      </c>
      <c r="DR60" s="59">
        <f>DQ60+DR52+DR8*(1-Assumptions!$L$23)</f>
        <v>1599367.6141159136</v>
      </c>
      <c r="DS60" s="59">
        <f>DR60+DS52+DS8*(1-Assumptions!$L$23)</f>
        <v>1609932.0012133429</v>
      </c>
      <c r="DT60" s="59">
        <f>DS60+DT52+DT8*(1-Assumptions!$L$23)</f>
        <v>1620389.6880010881</v>
      </c>
      <c r="DU60" s="60">
        <f>DT60+DU52+DU8*(1-Assumptions!$L$23)</f>
        <v>1683135.8087275594</v>
      </c>
    </row>
    <row r="61" spans="1:125" s="4" customFormat="1" x14ac:dyDescent="0.4">
      <c r="B61" s="74" t="s">
        <v>37</v>
      </c>
      <c r="C61" s="103" t="s">
        <v>74</v>
      </c>
      <c r="D61" s="91"/>
      <c r="E61" s="90">
        <f>SUM(E62:E63)</f>
        <v>0</v>
      </c>
      <c r="F61" s="90">
        <f t="shared" ref="F61:BQ61" si="74">SUM(F62:F63)</f>
        <v>0</v>
      </c>
      <c r="G61" s="90">
        <f t="shared" si="74"/>
        <v>0</v>
      </c>
      <c r="H61" s="90">
        <f t="shared" si="74"/>
        <v>0</v>
      </c>
      <c r="I61" s="90">
        <f t="shared" si="74"/>
        <v>0</v>
      </c>
      <c r="J61" s="90">
        <f t="shared" si="74"/>
        <v>0</v>
      </c>
      <c r="K61" s="90">
        <f t="shared" si="74"/>
        <v>0</v>
      </c>
      <c r="L61" s="90">
        <f t="shared" si="74"/>
        <v>0</v>
      </c>
      <c r="M61" s="90">
        <f t="shared" si="74"/>
        <v>0</v>
      </c>
      <c r="N61" s="90">
        <f t="shared" si="74"/>
        <v>0</v>
      </c>
      <c r="O61" s="90">
        <f t="shared" si="74"/>
        <v>0</v>
      </c>
      <c r="P61" s="90">
        <f t="shared" si="74"/>
        <v>0</v>
      </c>
      <c r="Q61" s="90">
        <f t="shared" si="74"/>
        <v>0</v>
      </c>
      <c r="R61" s="90">
        <f t="shared" si="74"/>
        <v>0</v>
      </c>
      <c r="S61" s="90">
        <f t="shared" si="74"/>
        <v>0</v>
      </c>
      <c r="T61" s="90">
        <f t="shared" si="74"/>
        <v>0</v>
      </c>
      <c r="U61" s="90">
        <f t="shared" si="74"/>
        <v>0</v>
      </c>
      <c r="V61" s="90">
        <f t="shared" si="74"/>
        <v>0</v>
      </c>
      <c r="W61" s="90">
        <f t="shared" si="74"/>
        <v>0</v>
      </c>
      <c r="X61" s="90">
        <f t="shared" si="74"/>
        <v>0</v>
      </c>
      <c r="Y61" s="90">
        <f t="shared" si="74"/>
        <v>0</v>
      </c>
      <c r="Z61" s="90">
        <f t="shared" si="74"/>
        <v>0</v>
      </c>
      <c r="AA61" s="90">
        <f t="shared" si="74"/>
        <v>0</v>
      </c>
      <c r="AB61" s="90">
        <f t="shared" si="74"/>
        <v>0</v>
      </c>
      <c r="AC61" s="90">
        <f t="shared" si="74"/>
        <v>0</v>
      </c>
      <c r="AD61" s="90">
        <f t="shared" si="74"/>
        <v>0</v>
      </c>
      <c r="AE61" s="90">
        <f t="shared" si="74"/>
        <v>0</v>
      </c>
      <c r="AF61" s="90">
        <f t="shared" si="74"/>
        <v>0</v>
      </c>
      <c r="AG61" s="90">
        <f t="shared" si="74"/>
        <v>0</v>
      </c>
      <c r="AH61" s="90">
        <f t="shared" si="74"/>
        <v>8688.904823523626</v>
      </c>
      <c r="AI61" s="90">
        <f t="shared" si="74"/>
        <v>255738.72073231984</v>
      </c>
      <c r="AJ61" s="90">
        <f t="shared" si="74"/>
        <v>500293.33350043721</v>
      </c>
      <c r="AK61" s="90">
        <f t="shared" si="74"/>
        <v>742377.94467959658</v>
      </c>
      <c r="AL61" s="90">
        <f t="shared" si="74"/>
        <v>982017.50128584646</v>
      </c>
      <c r="AM61" s="90">
        <f t="shared" si="74"/>
        <v>1219236.6983703733</v>
      </c>
      <c r="AN61" s="90">
        <f t="shared" si="74"/>
        <v>1454059.9815643465</v>
      </c>
      <c r="AO61" s="90">
        <f t="shared" si="74"/>
        <v>1686511.5495980603</v>
      </c>
      <c r="AP61" s="90">
        <f t="shared" si="74"/>
        <v>1916615.3567946339</v>
      </c>
      <c r="AQ61" s="90">
        <f t="shared" si="74"/>
        <v>2144395.1155385221</v>
      </c>
      <c r="AR61" s="90">
        <f t="shared" si="74"/>
        <v>2369874.2987190965</v>
      </c>
      <c r="AS61" s="90">
        <f t="shared" si="74"/>
        <v>2593076.1421495476</v>
      </c>
      <c r="AT61" s="90">
        <f t="shared" si="74"/>
        <v>2814023.6469613514</v>
      </c>
      <c r="AU61" s="90">
        <f t="shared" si="74"/>
        <v>3032739.5819745557</v>
      </c>
      <c r="AV61" s="90">
        <f t="shared" si="74"/>
        <v>3249246.4860441266</v>
      </c>
      <c r="AW61" s="90">
        <f t="shared" si="74"/>
        <v>3463566.6703825952</v>
      </c>
      <c r="AX61" s="90">
        <f t="shared" si="74"/>
        <v>3675722.2208592449</v>
      </c>
      <c r="AY61" s="90">
        <f t="shared" si="74"/>
        <v>3885735.0002760803</v>
      </c>
      <c r="AZ61" s="90">
        <f t="shared" si="74"/>
        <v>4093626.650620806</v>
      </c>
      <c r="BA61" s="90">
        <f t="shared" si="74"/>
        <v>4299418.5952970497</v>
      </c>
      <c r="BB61" s="90">
        <f t="shared" si="74"/>
        <v>4503132.0413320623</v>
      </c>
      <c r="BC61" s="90">
        <f t="shared" si="74"/>
        <v>4704787.9815621236</v>
      </c>
      <c r="BD61" s="90">
        <f t="shared" si="74"/>
        <v>4904407.1967958603</v>
      </c>
      <c r="BE61" s="90">
        <f t="shared" si="74"/>
        <v>5102010.2579557355</v>
      </c>
      <c r="BF61" s="90">
        <f t="shared" si="74"/>
        <v>5297617.5281978967</v>
      </c>
      <c r="BG61" s="90">
        <f t="shared" si="74"/>
        <v>5491249.1650106106</v>
      </c>
      <c r="BH61" s="90">
        <f t="shared" si="74"/>
        <v>5682925.1222915174</v>
      </c>
      <c r="BI61" s="90">
        <f t="shared" si="74"/>
        <v>5872665.1524038874</v>
      </c>
      <c r="BJ61" s="90">
        <f t="shared" si="74"/>
        <v>6060488.8082121219</v>
      </c>
      <c r="BK61" s="90">
        <f t="shared" si="74"/>
        <v>6246415.4450966939</v>
      </c>
      <c r="BL61" s="90">
        <f t="shared" si="74"/>
        <v>6430464.2229487309</v>
      </c>
      <c r="BM61" s="90">
        <f t="shared" si="74"/>
        <v>6612654.108144463</v>
      </c>
      <c r="BN61" s="90">
        <f t="shared" si="74"/>
        <v>6793003.8754997179</v>
      </c>
      <c r="BO61" s="90">
        <f t="shared" si="74"/>
        <v>6971532.1102046845</v>
      </c>
      <c r="BP61" s="90">
        <f t="shared" si="74"/>
        <v>7148257.2097391319</v>
      </c>
      <c r="BQ61" s="90">
        <f t="shared" si="74"/>
        <v>7323197.3857682804</v>
      </c>
      <c r="BR61" s="90">
        <f t="shared" ref="BR61:DU61" si="75">SUM(BR62:BR63)</f>
        <v>7496370.6660195347</v>
      </c>
      <c r="BS61" s="90">
        <f t="shared" si="75"/>
        <v>7667794.8961402513</v>
      </c>
      <c r="BT61" s="90">
        <f t="shared" si="75"/>
        <v>7837487.7415367477</v>
      </c>
      <c r="BU61" s="90">
        <f t="shared" si="75"/>
        <v>8005466.6891947407</v>
      </c>
      <c r="BV61" s="90">
        <f t="shared" si="75"/>
        <v>8171749.0494813882</v>
      </c>
      <c r="BW61" s="90">
        <f t="shared" si="75"/>
        <v>8336351.9579291409</v>
      </c>
      <c r="BX61" s="90">
        <f t="shared" si="75"/>
        <v>8499292.3770015705</v>
      </c>
      <c r="BY61" s="90">
        <f t="shared" si="75"/>
        <v>8660587.097841369</v>
      </c>
      <c r="BZ61" s="90">
        <f t="shared" si="75"/>
        <v>8820252.7420006841</v>
      </c>
      <c r="CA61" s="90">
        <f t="shared" si="75"/>
        <v>8978305.7631539926</v>
      </c>
      <c r="CB61" s="90">
        <f t="shared" si="75"/>
        <v>9134762.4487936497</v>
      </c>
      <c r="CC61" s="90">
        <f t="shared" si="75"/>
        <v>9289638.9219083488</v>
      </c>
      <c r="CD61" s="90">
        <f t="shared" si="75"/>
        <v>9442951.1426445879</v>
      </c>
      <c r="CE61" s="90">
        <f t="shared" si="75"/>
        <v>9594714.9099513907</v>
      </c>
      <c r="CF61" s="90">
        <f t="shared" si="75"/>
        <v>9744945.8632083964</v>
      </c>
      <c r="CG61" s="90">
        <f t="shared" si="75"/>
        <v>9893659.4838375039</v>
      </c>
      <c r="CH61" s="90">
        <f t="shared" si="75"/>
        <v>10040871.09689826</v>
      </c>
      <c r="CI61" s="90">
        <f t="shared" si="75"/>
        <v>10186595.8726671</v>
      </c>
      <c r="CJ61" s="90">
        <f t="shared" si="75"/>
        <v>10330848.828200677</v>
      </c>
      <c r="CK61" s="90">
        <f t="shared" si="75"/>
        <v>10473644.828883365</v>
      </c>
      <c r="CL61" s="90">
        <f t="shared" si="75"/>
        <v>10614998.589959158</v>
      </c>
      <c r="CM61" s="90">
        <f t="shared" si="75"/>
        <v>10754924.678048084</v>
      </c>
      <c r="CN61" s="90">
        <f t="shared" si="75"/>
        <v>10893437.512647312</v>
      </c>
      <c r="CO61" s="90">
        <f t="shared" si="75"/>
        <v>11030551.367617089</v>
      </c>
      <c r="CP61" s="90">
        <f t="shared" si="75"/>
        <v>11166280.37265167</v>
      </c>
      <c r="CQ61" s="90">
        <f t="shared" si="75"/>
        <v>11300638.514735403</v>
      </c>
      <c r="CR61" s="90">
        <f t="shared" si="75"/>
        <v>11433639.639584091</v>
      </c>
      <c r="CS61" s="90">
        <f t="shared" si="75"/>
        <v>11565297.453071805</v>
      </c>
      <c r="CT61" s="90">
        <f t="shared" si="75"/>
        <v>11695625.522643292</v>
      </c>
      <c r="CU61" s="90">
        <f t="shared" si="75"/>
        <v>11824637.278712109</v>
      </c>
      <c r="CV61" s="90">
        <f t="shared" si="75"/>
        <v>11952346.016044632</v>
      </c>
      <c r="CW61" s="90">
        <f t="shared" si="75"/>
        <v>12078764.895130094</v>
      </c>
      <c r="CX61" s="90">
        <f t="shared" si="75"/>
        <v>12203906.943536796</v>
      </c>
      <c r="CY61" s="90">
        <f t="shared" si="75"/>
        <v>12327785.057254588</v>
      </c>
      <c r="CZ61" s="90">
        <f t="shared" si="75"/>
        <v>12450412.002023829</v>
      </c>
      <c r="DA61" s="90">
        <f t="shared" si="75"/>
        <v>12571800.414650904</v>
      </c>
      <c r="DB61" s="90">
        <f t="shared" si="75"/>
        <v>12691962.804310445</v>
      </c>
      <c r="DC61" s="90">
        <f t="shared" si="75"/>
        <v>12810911.553834423</v>
      </c>
      <c r="DD61" s="90">
        <f t="shared" si="75"/>
        <v>12928658.92098821</v>
      </c>
      <c r="DE61" s="90">
        <f t="shared" si="75"/>
        <v>13045217.039733743</v>
      </c>
      <c r="DF61" s="90">
        <f t="shared" si="75"/>
        <v>13160597.921479946</v>
      </c>
      <c r="DG61" s="90">
        <f t="shared" si="75"/>
        <v>13274813.456320513</v>
      </c>
      <c r="DH61" s="90">
        <f t="shared" si="75"/>
        <v>13387875.41425919</v>
      </c>
      <c r="DI61" s="90">
        <f t="shared" si="75"/>
        <v>13499795.446422687</v>
      </c>
      <c r="DJ61" s="90">
        <f t="shared" si="75"/>
        <v>13610585.086261332</v>
      </c>
      <c r="DK61" s="90">
        <f t="shared" si="75"/>
        <v>13720255.750737606</v>
      </c>
      <c r="DL61" s="90">
        <f t="shared" si="75"/>
        <v>13828818.741502671</v>
      </c>
      <c r="DM61" s="90">
        <f t="shared" si="75"/>
        <v>13936285.246061007</v>
      </c>
      <c r="DN61" s="90">
        <f t="shared" si="75"/>
        <v>14042666.338923305</v>
      </c>
      <c r="DO61" s="90">
        <f t="shared" si="75"/>
        <v>14147972.982747693</v>
      </c>
      <c r="DP61" s="90">
        <f t="shared" si="75"/>
        <v>14252216.029469455</v>
      </c>
      <c r="DQ61" s="90">
        <f t="shared" si="75"/>
        <v>14355406.221419325</v>
      </c>
      <c r="DR61" s="90">
        <f t="shared" si="75"/>
        <v>14457554.192430506</v>
      </c>
      <c r="DS61" s="90">
        <f t="shared" si="75"/>
        <v>14558670.468934471</v>
      </c>
      <c r="DT61" s="90">
        <f t="shared" si="75"/>
        <v>14658765.471045746</v>
      </c>
      <c r="DU61" s="88">
        <f t="shared" si="75"/>
        <v>15259335.4837134</v>
      </c>
    </row>
    <row r="62" spans="1:125" x14ac:dyDescent="0.4">
      <c r="B62" s="39"/>
      <c r="C62" s="55" t="s">
        <v>60</v>
      </c>
      <c r="D62" s="62"/>
      <c r="E62" s="59">
        <f t="shared" ref="E62:AJ62" si="76">D62+E54</f>
        <v>0</v>
      </c>
      <c r="F62" s="59">
        <f t="shared" si="76"/>
        <v>0</v>
      </c>
      <c r="G62" s="59">
        <f t="shared" si="76"/>
        <v>0</v>
      </c>
      <c r="H62" s="59">
        <f t="shared" si="76"/>
        <v>0</v>
      </c>
      <c r="I62" s="59">
        <f t="shared" si="76"/>
        <v>0</v>
      </c>
      <c r="J62" s="59">
        <f t="shared" si="76"/>
        <v>0</v>
      </c>
      <c r="K62" s="59">
        <f t="shared" si="76"/>
        <v>0</v>
      </c>
      <c r="L62" s="59">
        <f t="shared" si="76"/>
        <v>0</v>
      </c>
      <c r="M62" s="59">
        <f t="shared" si="76"/>
        <v>0</v>
      </c>
      <c r="N62" s="59">
        <f t="shared" si="76"/>
        <v>0</v>
      </c>
      <c r="O62" s="59">
        <f t="shared" si="76"/>
        <v>0</v>
      </c>
      <c r="P62" s="59">
        <f t="shared" si="76"/>
        <v>0</v>
      </c>
      <c r="Q62" s="59">
        <f t="shared" si="76"/>
        <v>0</v>
      </c>
      <c r="R62" s="59">
        <f t="shared" si="76"/>
        <v>0</v>
      </c>
      <c r="S62" s="59">
        <f t="shared" si="76"/>
        <v>0</v>
      </c>
      <c r="T62" s="59">
        <f t="shared" si="76"/>
        <v>0</v>
      </c>
      <c r="U62" s="59">
        <f t="shared" si="76"/>
        <v>0</v>
      </c>
      <c r="V62" s="59">
        <f t="shared" si="76"/>
        <v>0</v>
      </c>
      <c r="W62" s="59">
        <f t="shared" si="76"/>
        <v>0</v>
      </c>
      <c r="X62" s="59">
        <f t="shared" si="76"/>
        <v>0</v>
      </c>
      <c r="Y62" s="59">
        <f t="shared" si="76"/>
        <v>0</v>
      </c>
      <c r="Z62" s="59">
        <f t="shared" si="76"/>
        <v>0</v>
      </c>
      <c r="AA62" s="59">
        <f t="shared" si="76"/>
        <v>0</v>
      </c>
      <c r="AB62" s="59">
        <f t="shared" si="76"/>
        <v>0</v>
      </c>
      <c r="AC62" s="59">
        <f t="shared" si="76"/>
        <v>0</v>
      </c>
      <c r="AD62" s="59">
        <f t="shared" si="76"/>
        <v>0</v>
      </c>
      <c r="AE62" s="59">
        <f t="shared" si="76"/>
        <v>0</v>
      </c>
      <c r="AF62" s="59">
        <f t="shared" si="76"/>
        <v>0</v>
      </c>
      <c r="AG62" s="59">
        <f t="shared" si="76"/>
        <v>0</v>
      </c>
      <c r="AH62" s="59">
        <f t="shared" si="76"/>
        <v>7781.1087971853367</v>
      </c>
      <c r="AI62" s="59">
        <f t="shared" si="76"/>
        <v>229019.74990954014</v>
      </c>
      <c r="AJ62" s="59">
        <f t="shared" si="76"/>
        <v>448023.88074666017</v>
      </c>
      <c r="AK62" s="59">
        <f t="shared" ref="AK62:BP62" si="77">AJ62+AK54</f>
        <v>664816.06986232533</v>
      </c>
      <c r="AL62" s="59">
        <f t="shared" si="77"/>
        <v>879418.65786792221</v>
      </c>
      <c r="AM62" s="59">
        <f t="shared" si="77"/>
        <v>1091853.7597346627</v>
      </c>
      <c r="AN62" s="59">
        <f t="shared" si="77"/>
        <v>1302143.2670725491</v>
      </c>
      <c r="AO62" s="59">
        <f t="shared" si="77"/>
        <v>1510308.8503863227</v>
      </c>
      <c r="AP62" s="59">
        <f t="shared" si="77"/>
        <v>1716371.9613086274</v>
      </c>
      <c r="AQ62" s="59">
        <f t="shared" si="77"/>
        <v>1920353.8348106167</v>
      </c>
      <c r="AR62" s="59">
        <f t="shared" si="77"/>
        <v>2122275.4913902357</v>
      </c>
      <c r="AS62" s="59">
        <f t="shared" si="77"/>
        <v>2322157.7392384009</v>
      </c>
      <c r="AT62" s="59">
        <f t="shared" si="77"/>
        <v>2520021.1763832998</v>
      </c>
      <c r="AU62" s="59">
        <f t="shared" si="77"/>
        <v>2715886.1928130351</v>
      </c>
      <c r="AV62" s="59">
        <f t="shared" si="77"/>
        <v>2909772.9725768301</v>
      </c>
      <c r="AW62" s="59">
        <f t="shared" si="77"/>
        <v>3101701.4958650107</v>
      </c>
      <c r="AX62" s="59">
        <f t="shared" si="77"/>
        <v>3291691.5410679807</v>
      </c>
      <c r="AY62" s="59">
        <f t="shared" si="77"/>
        <v>3479762.6868144004</v>
      </c>
      <c r="AZ62" s="59">
        <f t="shared" si="77"/>
        <v>3665934.3139887815</v>
      </c>
      <c r="BA62" s="59">
        <f t="shared" si="77"/>
        <v>3850225.6077287011</v>
      </c>
      <c r="BB62" s="59">
        <f t="shared" si="77"/>
        <v>4032655.5594018474</v>
      </c>
      <c r="BC62" s="59">
        <f t="shared" si="77"/>
        <v>4213242.9685630957</v>
      </c>
      <c r="BD62" s="59">
        <f t="shared" si="77"/>
        <v>4392006.4448918151</v>
      </c>
      <c r="BE62" s="59">
        <f t="shared" si="77"/>
        <v>4568964.410109614</v>
      </c>
      <c r="BF62" s="59">
        <f t="shared" si="77"/>
        <v>4744135.0998787135</v>
      </c>
      <c r="BG62" s="59">
        <f t="shared" si="77"/>
        <v>4917536.5656811446</v>
      </c>
      <c r="BH62" s="59">
        <f t="shared" si="77"/>
        <v>5089186.6766789714</v>
      </c>
      <c r="BI62" s="59">
        <f t="shared" si="77"/>
        <v>5259103.1215557205</v>
      </c>
      <c r="BJ62" s="59">
        <f t="shared" si="77"/>
        <v>5427303.4103392139</v>
      </c>
      <c r="BK62" s="59">
        <f t="shared" si="77"/>
        <v>5593804.8762059947</v>
      </c>
      <c r="BL62" s="59">
        <f t="shared" si="77"/>
        <v>5758624.6772675207</v>
      </c>
      <c r="BM62" s="59">
        <f t="shared" si="77"/>
        <v>5921779.7983383257</v>
      </c>
      <c r="BN62" s="59">
        <f t="shared" si="77"/>
        <v>6083287.052686315</v>
      </c>
      <c r="BO62" s="59">
        <f t="shared" si="77"/>
        <v>6243163.0837653894</v>
      </c>
      <c r="BP62" s="59">
        <f t="shared" si="77"/>
        <v>6401424.3669305658</v>
      </c>
      <c r="BQ62" s="59">
        <f t="shared" ref="BQ62:CV62" si="78">BP62+BQ54</f>
        <v>6558087.2111357739</v>
      </c>
      <c r="BR62" s="59">
        <f t="shared" si="78"/>
        <v>6713167.7606145088</v>
      </c>
      <c r="BS62" s="59">
        <f t="shared" si="78"/>
        <v>6866681.996543509</v>
      </c>
      <c r="BT62" s="59">
        <f t="shared" si="78"/>
        <v>7018645.7386896256</v>
      </c>
      <c r="BU62" s="59">
        <f t="shared" si="78"/>
        <v>7169074.6470400672</v>
      </c>
      <c r="BV62" s="59">
        <f t="shared" si="78"/>
        <v>7317984.2234161692</v>
      </c>
      <c r="BW62" s="59">
        <f t="shared" si="78"/>
        <v>7465389.8130708728</v>
      </c>
      <c r="BX62" s="59">
        <f t="shared" si="78"/>
        <v>7611306.6062700637</v>
      </c>
      <c r="BY62" s="59">
        <f t="shared" si="78"/>
        <v>7755749.6398579422</v>
      </c>
      <c r="BZ62" s="59">
        <f t="shared" si="78"/>
        <v>7898733.7988065835</v>
      </c>
      <c r="CA62" s="59">
        <f t="shared" si="78"/>
        <v>8040273.8177498439</v>
      </c>
      <c r="CB62" s="59">
        <f t="shared" si="78"/>
        <v>8180384.2825017767</v>
      </c>
      <c r="CC62" s="59">
        <f t="shared" si="78"/>
        <v>8319079.6315597156</v>
      </c>
      <c r="CD62" s="59">
        <f t="shared" si="78"/>
        <v>8456374.1575921681</v>
      </c>
      <c r="CE62" s="59">
        <f t="shared" si="78"/>
        <v>8592282.0089116935</v>
      </c>
      <c r="CF62" s="59">
        <f t="shared" si="78"/>
        <v>8726817.1909328923</v>
      </c>
      <c r="CG62" s="59">
        <f t="shared" si="78"/>
        <v>8859993.5676156767</v>
      </c>
      <c r="CH62" s="59">
        <f t="shared" si="78"/>
        <v>8991824.8628939651</v>
      </c>
      <c r="CI62" s="59">
        <f t="shared" si="78"/>
        <v>9122324.662089942</v>
      </c>
      <c r="CJ62" s="59">
        <f t="shared" si="78"/>
        <v>9251506.4133140408</v>
      </c>
      <c r="CK62" s="59">
        <f t="shared" si="78"/>
        <v>9379383.4288507756</v>
      </c>
      <c r="CL62" s="59">
        <f t="shared" si="78"/>
        <v>9505968.8865305893</v>
      </c>
      <c r="CM62" s="59">
        <f t="shared" si="78"/>
        <v>9631275.831087837</v>
      </c>
      <c r="CN62" s="59">
        <f t="shared" si="78"/>
        <v>9755317.175505057</v>
      </c>
      <c r="CO62" s="59">
        <f t="shared" si="78"/>
        <v>9878105.7023436632</v>
      </c>
      <c r="CP62" s="59">
        <f t="shared" si="78"/>
        <v>9999654.0650611985</v>
      </c>
      <c r="CQ62" s="59">
        <f t="shared" si="78"/>
        <v>10119974.789315287</v>
      </c>
      <c r="CR62" s="59">
        <f t="shared" si="78"/>
        <v>10239080.27425441</v>
      </c>
      <c r="CS62" s="59">
        <f t="shared" si="78"/>
        <v>10356982.793795647</v>
      </c>
      <c r="CT62" s="59">
        <f t="shared" si="78"/>
        <v>10473694.497889517</v>
      </c>
      <c r="CU62" s="59">
        <f t="shared" si="78"/>
        <v>10589227.413772039</v>
      </c>
      <c r="CV62" s="59">
        <f t="shared" si="78"/>
        <v>10703593.447204148</v>
      </c>
      <c r="CW62" s="59">
        <f t="shared" ref="CW62:DU62" si="79">CV62+CW54</f>
        <v>10816804.383698594</v>
      </c>
      <c r="CX62" s="59">
        <f t="shared" si="79"/>
        <v>10928871.889734445</v>
      </c>
      <c r="CY62" s="59">
        <f t="shared" si="79"/>
        <v>11039807.513959333</v>
      </c>
      <c r="CZ62" s="59">
        <f t="shared" si="79"/>
        <v>11149622.68837955</v>
      </c>
      <c r="DA62" s="59">
        <f t="shared" si="79"/>
        <v>11258328.729538124</v>
      </c>
      <c r="DB62" s="59">
        <f t="shared" si="79"/>
        <v>11365936.839680996</v>
      </c>
      <c r="DC62" s="59">
        <f t="shared" si="79"/>
        <v>11472458.107911425</v>
      </c>
      <c r="DD62" s="59">
        <f t="shared" si="79"/>
        <v>11577903.511332726</v>
      </c>
      <c r="DE62" s="59">
        <f t="shared" si="79"/>
        <v>11682283.916179473</v>
      </c>
      <c r="DF62" s="59">
        <f t="shared" si="79"/>
        <v>11785610.078937266</v>
      </c>
      <c r="DG62" s="59">
        <f t="shared" si="79"/>
        <v>11887892.647451207</v>
      </c>
      <c r="DH62" s="59">
        <f t="shared" si="79"/>
        <v>11989142.162023157</v>
      </c>
      <c r="DI62" s="59">
        <f t="shared" si="79"/>
        <v>12089369.05649793</v>
      </c>
      <c r="DJ62" s="59">
        <f t="shared" si="79"/>
        <v>12188583.659338508</v>
      </c>
      <c r="DK62" s="59">
        <f t="shared" si="79"/>
        <v>12286796.194690395</v>
      </c>
      <c r="DL62" s="59">
        <f t="shared" si="79"/>
        <v>12384016.783435229</v>
      </c>
      <c r="DM62" s="59">
        <f t="shared" si="79"/>
        <v>12480255.44423374</v>
      </c>
      <c r="DN62" s="59">
        <f t="shared" si="79"/>
        <v>12575522.094558185</v>
      </c>
      <c r="DO62" s="59">
        <f t="shared" si="79"/>
        <v>12669826.551714353</v>
      </c>
      <c r="DP62" s="59">
        <f t="shared" si="79"/>
        <v>12763178.533853244</v>
      </c>
      <c r="DQ62" s="59">
        <f t="shared" si="79"/>
        <v>12855587.660972532</v>
      </c>
      <c r="DR62" s="59">
        <f t="shared" si="79"/>
        <v>12947063.455907917</v>
      </c>
      <c r="DS62" s="59">
        <f t="shared" si="79"/>
        <v>13037615.345314452</v>
      </c>
      <c r="DT62" s="59">
        <f t="shared" si="79"/>
        <v>13127252.660637982</v>
      </c>
      <c r="DU62" s="60">
        <f t="shared" si="79"/>
        <v>13665076.552579166</v>
      </c>
    </row>
    <row r="63" spans="1:125" x14ac:dyDescent="0.4">
      <c r="B63" s="92"/>
      <c r="C63" s="63" t="s">
        <v>61</v>
      </c>
      <c r="D63" s="64"/>
      <c r="E63" s="65">
        <f t="shared" ref="E63:AJ63" si="80">D63+E55</f>
        <v>0</v>
      </c>
      <c r="F63" s="65">
        <f t="shared" si="80"/>
        <v>0</v>
      </c>
      <c r="G63" s="65">
        <f t="shared" si="80"/>
        <v>0</v>
      </c>
      <c r="H63" s="65">
        <f t="shared" si="80"/>
        <v>0</v>
      </c>
      <c r="I63" s="65">
        <f t="shared" si="80"/>
        <v>0</v>
      </c>
      <c r="J63" s="65">
        <f t="shared" si="80"/>
        <v>0</v>
      </c>
      <c r="K63" s="65">
        <f t="shared" si="80"/>
        <v>0</v>
      </c>
      <c r="L63" s="65">
        <f t="shared" si="80"/>
        <v>0</v>
      </c>
      <c r="M63" s="65">
        <f t="shared" si="80"/>
        <v>0</v>
      </c>
      <c r="N63" s="65">
        <f t="shared" si="80"/>
        <v>0</v>
      </c>
      <c r="O63" s="65">
        <f t="shared" si="80"/>
        <v>0</v>
      </c>
      <c r="P63" s="65">
        <f t="shared" si="80"/>
        <v>0</v>
      </c>
      <c r="Q63" s="65">
        <f t="shared" si="80"/>
        <v>0</v>
      </c>
      <c r="R63" s="65">
        <f t="shared" si="80"/>
        <v>0</v>
      </c>
      <c r="S63" s="65">
        <f t="shared" si="80"/>
        <v>0</v>
      </c>
      <c r="T63" s="65">
        <f t="shared" si="80"/>
        <v>0</v>
      </c>
      <c r="U63" s="65">
        <f t="shared" si="80"/>
        <v>0</v>
      </c>
      <c r="V63" s="65">
        <f t="shared" si="80"/>
        <v>0</v>
      </c>
      <c r="W63" s="65">
        <f t="shared" si="80"/>
        <v>0</v>
      </c>
      <c r="X63" s="65">
        <f t="shared" si="80"/>
        <v>0</v>
      </c>
      <c r="Y63" s="65">
        <f t="shared" si="80"/>
        <v>0</v>
      </c>
      <c r="Z63" s="65">
        <f t="shared" si="80"/>
        <v>0</v>
      </c>
      <c r="AA63" s="65">
        <f t="shared" si="80"/>
        <v>0</v>
      </c>
      <c r="AB63" s="65">
        <f t="shared" si="80"/>
        <v>0</v>
      </c>
      <c r="AC63" s="65">
        <f t="shared" si="80"/>
        <v>0</v>
      </c>
      <c r="AD63" s="65">
        <f t="shared" si="80"/>
        <v>0</v>
      </c>
      <c r="AE63" s="65">
        <f t="shared" si="80"/>
        <v>0</v>
      </c>
      <c r="AF63" s="65">
        <f t="shared" si="80"/>
        <v>0</v>
      </c>
      <c r="AG63" s="65">
        <f t="shared" si="80"/>
        <v>0</v>
      </c>
      <c r="AH63" s="65">
        <f t="shared" si="80"/>
        <v>907.79602633828927</v>
      </c>
      <c r="AI63" s="65">
        <f t="shared" si="80"/>
        <v>26718.970822779684</v>
      </c>
      <c r="AJ63" s="65">
        <f t="shared" si="80"/>
        <v>52269.452753777019</v>
      </c>
      <c r="AK63" s="65">
        <f t="shared" ref="AK63:BP63" si="81">AJ63+AK55</f>
        <v>77561.87481727128</v>
      </c>
      <c r="AL63" s="65">
        <f t="shared" si="81"/>
        <v>102598.84341792425</v>
      </c>
      <c r="AM63" s="65">
        <f t="shared" si="81"/>
        <v>127382.93863571063</v>
      </c>
      <c r="AN63" s="65">
        <f t="shared" si="81"/>
        <v>151916.71449179738</v>
      </c>
      <c r="AO63" s="65">
        <f t="shared" si="81"/>
        <v>176202.69921173764</v>
      </c>
      <c r="AP63" s="65">
        <f t="shared" si="81"/>
        <v>200243.39548600651</v>
      </c>
      <c r="AQ63" s="65">
        <f t="shared" si="81"/>
        <v>224041.28072790525</v>
      </c>
      <c r="AR63" s="65">
        <f t="shared" si="81"/>
        <v>247598.80732886083</v>
      </c>
      <c r="AS63" s="65">
        <f t="shared" si="81"/>
        <v>270918.40291114675</v>
      </c>
      <c r="AT63" s="65">
        <f t="shared" si="81"/>
        <v>294002.47057805158</v>
      </c>
      <c r="AU63" s="65">
        <f t="shared" si="81"/>
        <v>316853.3891615207</v>
      </c>
      <c r="AV63" s="65">
        <f t="shared" si="81"/>
        <v>339473.51346729673</v>
      </c>
      <c r="AW63" s="65">
        <f t="shared" si="81"/>
        <v>361865.17451758444</v>
      </c>
      <c r="AX63" s="65">
        <f t="shared" si="81"/>
        <v>384030.67979126424</v>
      </c>
      <c r="AY63" s="65">
        <f t="shared" si="81"/>
        <v>405972.31346167985</v>
      </c>
      <c r="AZ63" s="65">
        <f t="shared" si="81"/>
        <v>427692.33663202426</v>
      </c>
      <c r="BA63" s="65">
        <f t="shared" si="81"/>
        <v>449192.98756834824</v>
      </c>
      <c r="BB63" s="65">
        <f t="shared" si="81"/>
        <v>470476.48193021532</v>
      </c>
      <c r="BC63" s="65">
        <f t="shared" si="81"/>
        <v>491545.01299902756</v>
      </c>
      <c r="BD63" s="65">
        <f t="shared" si="81"/>
        <v>512400.75190404477</v>
      </c>
      <c r="BE63" s="65">
        <f t="shared" si="81"/>
        <v>533045.84784612129</v>
      </c>
      <c r="BF63" s="65">
        <f t="shared" si="81"/>
        <v>553482.42831918283</v>
      </c>
      <c r="BG63" s="65">
        <f t="shared" si="81"/>
        <v>573712.59932946647</v>
      </c>
      <c r="BH63" s="65">
        <f t="shared" si="81"/>
        <v>593738.44561254629</v>
      </c>
      <c r="BI63" s="65">
        <f t="shared" si="81"/>
        <v>613562.03084816702</v>
      </c>
      <c r="BJ63" s="65">
        <f t="shared" si="81"/>
        <v>633185.39787290792</v>
      </c>
      <c r="BK63" s="65">
        <f t="shared" si="81"/>
        <v>652610.56889069895</v>
      </c>
      <c r="BL63" s="65">
        <f t="shared" si="81"/>
        <v>671839.54568121035</v>
      </c>
      <c r="BM63" s="65">
        <f t="shared" si="81"/>
        <v>690874.30980613758</v>
      </c>
      <c r="BN63" s="65">
        <f t="shared" si="81"/>
        <v>709716.82281340298</v>
      </c>
      <c r="BO63" s="65">
        <f t="shared" si="81"/>
        <v>728369.02643929503</v>
      </c>
      <c r="BP63" s="65">
        <f t="shared" si="81"/>
        <v>746832.84280856559</v>
      </c>
      <c r="BQ63" s="65">
        <f t="shared" ref="BQ63:CV63" si="82">BP63+BQ55</f>
        <v>765110.17463250645</v>
      </c>
      <c r="BR63" s="65">
        <f t="shared" si="82"/>
        <v>783202.90540502558</v>
      </c>
      <c r="BS63" s="65">
        <f t="shared" si="82"/>
        <v>801112.89959674224</v>
      </c>
      <c r="BT63" s="65">
        <f t="shared" si="82"/>
        <v>818842.00284712249</v>
      </c>
      <c r="BU63" s="65">
        <f t="shared" si="82"/>
        <v>836392.04215467395</v>
      </c>
      <c r="BV63" s="65">
        <f t="shared" si="82"/>
        <v>853764.82606521912</v>
      </c>
      <c r="BW63" s="65">
        <f t="shared" si="82"/>
        <v>870962.14485826786</v>
      </c>
      <c r="BX63" s="65">
        <f t="shared" si="82"/>
        <v>887985.77073150675</v>
      </c>
      <c r="BY63" s="65">
        <f t="shared" si="82"/>
        <v>904837.45798342593</v>
      </c>
      <c r="BZ63" s="65">
        <f t="shared" si="82"/>
        <v>921518.94319410075</v>
      </c>
      <c r="CA63" s="65">
        <f t="shared" si="82"/>
        <v>938031.94540414773</v>
      </c>
      <c r="CB63" s="65">
        <f t="shared" si="82"/>
        <v>954378.1662918732</v>
      </c>
      <c r="CC63" s="65">
        <f t="shared" si="82"/>
        <v>970559.29034863273</v>
      </c>
      <c r="CD63" s="65">
        <f t="shared" si="82"/>
        <v>986576.9850524189</v>
      </c>
      <c r="CE63" s="65">
        <f t="shared" si="82"/>
        <v>1002432.9010396969</v>
      </c>
      <c r="CF63" s="65">
        <f t="shared" si="82"/>
        <v>1018128.6722755034</v>
      </c>
      <c r="CG63" s="65">
        <f t="shared" si="82"/>
        <v>1033665.9162218282</v>
      </c>
      <c r="CH63" s="65">
        <f t="shared" si="82"/>
        <v>1049046.2340042952</v>
      </c>
      <c r="CI63" s="65">
        <f t="shared" si="82"/>
        <v>1064271.2105771592</v>
      </c>
      <c r="CJ63" s="65">
        <f t="shared" si="82"/>
        <v>1079342.4148866374</v>
      </c>
      <c r="CK63" s="65">
        <f t="shared" si="82"/>
        <v>1094261.4000325897</v>
      </c>
      <c r="CL63" s="65">
        <f t="shared" si="82"/>
        <v>1109029.7034285679</v>
      </c>
      <c r="CM63" s="65">
        <f t="shared" si="82"/>
        <v>1123648.8469602468</v>
      </c>
      <c r="CN63" s="65">
        <f t="shared" si="82"/>
        <v>1138120.3371422556</v>
      </c>
      <c r="CO63" s="65">
        <f t="shared" si="82"/>
        <v>1152445.6652734263</v>
      </c>
      <c r="CP63" s="65">
        <f t="shared" si="82"/>
        <v>1166626.307590472</v>
      </c>
      <c r="CQ63" s="65">
        <f t="shared" si="82"/>
        <v>1180663.7254201157</v>
      </c>
      <c r="CR63" s="65">
        <f t="shared" si="82"/>
        <v>1194559.36532968</v>
      </c>
      <c r="CS63" s="65">
        <f t="shared" si="82"/>
        <v>1208314.6592761576</v>
      </c>
      <c r="CT63" s="65">
        <f t="shared" si="82"/>
        <v>1221931.0247537759</v>
      </c>
      <c r="CU63" s="65">
        <f t="shared" si="82"/>
        <v>1235409.8649400701</v>
      </c>
      <c r="CV63" s="65">
        <f t="shared" si="82"/>
        <v>1248752.5688404827</v>
      </c>
      <c r="CW63" s="65">
        <f t="shared" ref="CW63:DU63" si="83">CV63+CW55</f>
        <v>1261960.5114315012</v>
      </c>
      <c r="CX63" s="65">
        <f t="shared" si="83"/>
        <v>1275035.0538023505</v>
      </c>
      <c r="CY63" s="65">
        <f t="shared" si="83"/>
        <v>1287977.5432952542</v>
      </c>
      <c r="CZ63" s="65">
        <f t="shared" si="83"/>
        <v>1300789.3136442795</v>
      </c>
      <c r="DA63" s="65">
        <f t="shared" si="83"/>
        <v>1313471.6851127797</v>
      </c>
      <c r="DB63" s="65">
        <f t="shared" si="83"/>
        <v>1326025.964629448</v>
      </c>
      <c r="DC63" s="65">
        <f t="shared" si="83"/>
        <v>1338453.445922998</v>
      </c>
      <c r="DD63" s="65">
        <f t="shared" si="83"/>
        <v>1350755.4096554832</v>
      </c>
      <c r="DE63" s="65">
        <f t="shared" si="83"/>
        <v>1362933.1235542702</v>
      </c>
      <c r="DF63" s="65">
        <f t="shared" si="83"/>
        <v>1374987.8425426795</v>
      </c>
      <c r="DG63" s="65">
        <f t="shared" si="83"/>
        <v>1386920.8088693058</v>
      </c>
      <c r="DH63" s="65">
        <f t="shared" si="83"/>
        <v>1398733.2522360331</v>
      </c>
      <c r="DI63" s="65">
        <f t="shared" si="83"/>
        <v>1410426.3899247565</v>
      </c>
      <c r="DJ63" s="65">
        <f t="shared" si="83"/>
        <v>1422001.4269228238</v>
      </c>
      <c r="DK63" s="65">
        <f t="shared" si="83"/>
        <v>1433459.5560472107</v>
      </c>
      <c r="DL63" s="65">
        <f t="shared" si="83"/>
        <v>1444801.9580674414</v>
      </c>
      <c r="DM63" s="65">
        <f t="shared" si="83"/>
        <v>1456029.8018272675</v>
      </c>
      <c r="DN63" s="65">
        <f t="shared" si="83"/>
        <v>1467144.2443651196</v>
      </c>
      <c r="DO63" s="65">
        <f t="shared" si="83"/>
        <v>1478146.4310333394</v>
      </c>
      <c r="DP63" s="65">
        <f t="shared" si="83"/>
        <v>1489037.4956162099</v>
      </c>
      <c r="DQ63" s="65">
        <f t="shared" si="83"/>
        <v>1499818.5604467937</v>
      </c>
      <c r="DR63" s="65">
        <f t="shared" si="83"/>
        <v>1510490.7365225884</v>
      </c>
      <c r="DS63" s="65">
        <f t="shared" si="83"/>
        <v>1521055.1236200177</v>
      </c>
      <c r="DT63" s="65">
        <f t="shared" si="83"/>
        <v>1531512.8104077629</v>
      </c>
      <c r="DU63" s="93">
        <f t="shared" si="83"/>
        <v>1594258.9311342342</v>
      </c>
    </row>
    <row r="64" spans="1:125" x14ac:dyDescent="0.4">
      <c r="B64" s="39"/>
      <c r="C64" s="55"/>
      <c r="D64" s="62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60"/>
    </row>
    <row r="65" spans="1:125" x14ac:dyDescent="0.4">
      <c r="A65" s="1" t="s">
        <v>36</v>
      </c>
      <c r="B65" s="74" t="s">
        <v>85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Z65" s="59"/>
      <c r="DU65" s="42"/>
    </row>
    <row r="66" spans="1:125" s="4" customFormat="1" x14ac:dyDescent="0.4">
      <c r="B66" s="94"/>
      <c r="C66" s="19" t="s">
        <v>86</v>
      </c>
      <c r="D66" s="20">
        <f>SUM(D67:D68)</f>
        <v>7370000</v>
      </c>
      <c r="E66" s="20">
        <f>SUM(E67:E68)</f>
        <v>7120983.333333333</v>
      </c>
      <c r="F66" s="20">
        <f>SUM(F67:F68)</f>
        <v>6872444.972222222</v>
      </c>
      <c r="G66" s="20">
        <f t="shared" ref="G66:BR66" si="84">SUM(G67:G68)</f>
        <v>6624356.3235481484</v>
      </c>
      <c r="H66" s="20">
        <f t="shared" si="84"/>
        <v>6376688.8057570448</v>
      </c>
      <c r="I66" s="20">
        <f t="shared" si="84"/>
        <v>6129413.8455081936</v>
      </c>
      <c r="J66" s="20">
        <f t="shared" si="84"/>
        <v>5882502.8743192311</v>
      </c>
      <c r="K66" s="20">
        <f t="shared" si="84"/>
        <v>5635927.3252068684</v>
      </c>
      <c r="L66" s="20">
        <f t="shared" si="84"/>
        <v>5389658.6293229191</v>
      </c>
      <c r="M66" s="20">
        <f t="shared" si="84"/>
        <v>5143668.2125852387</v>
      </c>
      <c r="N66" s="20">
        <f t="shared" si="84"/>
        <v>4897927.4923031591</v>
      </c>
      <c r="O66" s="20">
        <f t="shared" si="84"/>
        <v>4652407.8737970199</v>
      </c>
      <c r="P66" s="20">
        <f t="shared" si="84"/>
        <v>4407080.747011397</v>
      </c>
      <c r="Q66" s="20">
        <f t="shared" si="84"/>
        <v>4161917.4831216065</v>
      </c>
      <c r="R66" s="20">
        <f t="shared" si="84"/>
        <v>3916889.4311330779</v>
      </c>
      <c r="S66" s="20">
        <f t="shared" si="84"/>
        <v>3671967.9144731951</v>
      </c>
      <c r="T66" s="20">
        <f t="shared" si="84"/>
        <v>3427124.2275751801</v>
      </c>
      <c r="U66" s="20">
        <f t="shared" si="84"/>
        <v>3182329.6324536139</v>
      </c>
      <c r="V66" s="20">
        <f t="shared" si="84"/>
        <v>2937555.3552711732</v>
      </c>
      <c r="W66" s="20">
        <f t="shared" si="84"/>
        <v>2692772.5828961711</v>
      </c>
      <c r="X66" s="20">
        <f t="shared" si="84"/>
        <v>2447952.4594504773</v>
      </c>
      <c r="Y66" s="20">
        <f t="shared" si="84"/>
        <v>2203066.0828474034</v>
      </c>
      <c r="Z66" s="20">
        <f t="shared" si="84"/>
        <v>1958084.5013191227</v>
      </c>
      <c r="AA66" s="20">
        <f t="shared" si="84"/>
        <v>1712978.7099332102</v>
      </c>
      <c r="AB66" s="20">
        <f t="shared" si="84"/>
        <v>1467719.6470978649</v>
      </c>
      <c r="AC66" s="20">
        <f t="shared" si="84"/>
        <v>1222278.1910553984</v>
      </c>
      <c r="AD66" s="20">
        <f t="shared" si="84"/>
        <v>976625.15636354825</v>
      </c>
      <c r="AE66" s="20">
        <f t="shared" si="84"/>
        <v>730731.29036419338</v>
      </c>
      <c r="AF66" s="20">
        <f t="shared" si="84"/>
        <v>484567.26963903126</v>
      </c>
      <c r="AG66" s="20">
        <f t="shared" si="84"/>
        <v>238103.69645178094</v>
      </c>
      <c r="AH66" s="20">
        <f t="shared" si="84"/>
        <v>0</v>
      </c>
      <c r="AI66" s="20">
        <f t="shared" si="84"/>
        <v>0</v>
      </c>
      <c r="AJ66" s="20">
        <f t="shared" si="84"/>
        <v>0</v>
      </c>
      <c r="AK66" s="20">
        <f t="shared" si="84"/>
        <v>0</v>
      </c>
      <c r="AL66" s="20">
        <f t="shared" si="84"/>
        <v>0</v>
      </c>
      <c r="AM66" s="20">
        <f t="shared" si="84"/>
        <v>0</v>
      </c>
      <c r="AN66" s="20">
        <f t="shared" si="84"/>
        <v>0</v>
      </c>
      <c r="AO66" s="20">
        <f t="shared" si="84"/>
        <v>0</v>
      </c>
      <c r="AP66" s="20">
        <f t="shared" si="84"/>
        <v>0</v>
      </c>
      <c r="AQ66" s="20">
        <f t="shared" si="84"/>
        <v>0</v>
      </c>
      <c r="AR66" s="20">
        <f t="shared" si="84"/>
        <v>0</v>
      </c>
      <c r="AS66" s="20">
        <f t="shared" si="84"/>
        <v>0</v>
      </c>
      <c r="AT66" s="20">
        <f t="shared" si="84"/>
        <v>0</v>
      </c>
      <c r="AU66" s="20">
        <f t="shared" si="84"/>
        <v>0</v>
      </c>
      <c r="AV66" s="20">
        <f t="shared" si="84"/>
        <v>0</v>
      </c>
      <c r="AW66" s="20">
        <f t="shared" si="84"/>
        <v>0</v>
      </c>
      <c r="AX66" s="20">
        <f t="shared" si="84"/>
        <v>0</v>
      </c>
      <c r="AY66" s="20">
        <f t="shared" si="84"/>
        <v>0</v>
      </c>
      <c r="AZ66" s="20">
        <f t="shared" si="84"/>
        <v>0</v>
      </c>
      <c r="BA66" s="20">
        <f t="shared" si="84"/>
        <v>0</v>
      </c>
      <c r="BB66" s="20">
        <f t="shared" si="84"/>
        <v>0</v>
      </c>
      <c r="BC66" s="20">
        <f t="shared" si="84"/>
        <v>0</v>
      </c>
      <c r="BD66" s="20">
        <f t="shared" si="84"/>
        <v>0</v>
      </c>
      <c r="BE66" s="20">
        <f t="shared" si="84"/>
        <v>0</v>
      </c>
      <c r="BF66" s="20">
        <f t="shared" si="84"/>
        <v>0</v>
      </c>
      <c r="BG66" s="20">
        <f t="shared" si="84"/>
        <v>0</v>
      </c>
      <c r="BH66" s="20">
        <f t="shared" si="84"/>
        <v>0</v>
      </c>
      <c r="BI66" s="20">
        <f t="shared" si="84"/>
        <v>0</v>
      </c>
      <c r="BJ66" s="20">
        <f t="shared" si="84"/>
        <v>0</v>
      </c>
      <c r="BK66" s="20">
        <f t="shared" si="84"/>
        <v>0</v>
      </c>
      <c r="BL66" s="20">
        <f t="shared" si="84"/>
        <v>0</v>
      </c>
      <c r="BM66" s="20">
        <f t="shared" si="84"/>
        <v>0</v>
      </c>
      <c r="BN66" s="20">
        <f t="shared" si="84"/>
        <v>0</v>
      </c>
      <c r="BO66" s="20">
        <f t="shared" si="84"/>
        <v>0</v>
      </c>
      <c r="BP66" s="20">
        <f t="shared" si="84"/>
        <v>0</v>
      </c>
      <c r="BQ66" s="20">
        <f t="shared" si="84"/>
        <v>0</v>
      </c>
      <c r="BR66" s="20">
        <f t="shared" si="84"/>
        <v>0</v>
      </c>
      <c r="BS66" s="20">
        <f t="shared" ref="BS66:DU66" si="85">SUM(BS67:BS68)</f>
        <v>0</v>
      </c>
      <c r="BT66" s="20">
        <f t="shared" si="85"/>
        <v>0</v>
      </c>
      <c r="BU66" s="20">
        <f t="shared" si="85"/>
        <v>0</v>
      </c>
      <c r="BV66" s="20">
        <f t="shared" si="85"/>
        <v>0</v>
      </c>
      <c r="BW66" s="20">
        <f t="shared" si="85"/>
        <v>0</v>
      </c>
      <c r="BX66" s="20">
        <f t="shared" si="85"/>
        <v>0</v>
      </c>
      <c r="BY66" s="20">
        <f t="shared" si="85"/>
        <v>0</v>
      </c>
      <c r="BZ66" s="20">
        <f t="shared" si="85"/>
        <v>0</v>
      </c>
      <c r="CA66" s="20">
        <f t="shared" si="85"/>
        <v>0</v>
      </c>
      <c r="CB66" s="20">
        <f t="shared" si="85"/>
        <v>0</v>
      </c>
      <c r="CC66" s="20">
        <f t="shared" si="85"/>
        <v>0</v>
      </c>
      <c r="CD66" s="20">
        <f t="shared" si="85"/>
        <v>0</v>
      </c>
      <c r="CE66" s="20">
        <f t="shared" si="85"/>
        <v>0</v>
      </c>
      <c r="CF66" s="20">
        <f t="shared" si="85"/>
        <v>0</v>
      </c>
      <c r="CG66" s="20">
        <f t="shared" si="85"/>
        <v>0</v>
      </c>
      <c r="CH66" s="20">
        <f t="shared" si="85"/>
        <v>0</v>
      </c>
      <c r="CI66" s="20">
        <f t="shared" si="85"/>
        <v>0</v>
      </c>
      <c r="CJ66" s="20">
        <f t="shared" si="85"/>
        <v>0</v>
      </c>
      <c r="CK66" s="20">
        <f t="shared" si="85"/>
        <v>0</v>
      </c>
      <c r="CL66" s="20">
        <f t="shared" si="85"/>
        <v>0</v>
      </c>
      <c r="CM66" s="20">
        <f t="shared" si="85"/>
        <v>0</v>
      </c>
      <c r="CN66" s="20">
        <f t="shared" si="85"/>
        <v>0</v>
      </c>
      <c r="CO66" s="20">
        <f t="shared" si="85"/>
        <v>0</v>
      </c>
      <c r="CP66" s="20">
        <f t="shared" si="85"/>
        <v>0</v>
      </c>
      <c r="CQ66" s="20">
        <f t="shared" si="85"/>
        <v>0</v>
      </c>
      <c r="CR66" s="20">
        <f t="shared" si="85"/>
        <v>0</v>
      </c>
      <c r="CS66" s="20">
        <f t="shared" si="85"/>
        <v>0</v>
      </c>
      <c r="CT66" s="20">
        <f t="shared" si="85"/>
        <v>0</v>
      </c>
      <c r="CU66" s="20">
        <f t="shared" si="85"/>
        <v>0</v>
      </c>
      <c r="CV66" s="20">
        <f t="shared" si="85"/>
        <v>0</v>
      </c>
      <c r="CW66" s="20">
        <f t="shared" si="85"/>
        <v>0</v>
      </c>
      <c r="CX66" s="20">
        <f t="shared" si="85"/>
        <v>0</v>
      </c>
      <c r="CY66" s="20">
        <f t="shared" si="85"/>
        <v>0</v>
      </c>
      <c r="CZ66" s="20">
        <f t="shared" si="85"/>
        <v>0</v>
      </c>
      <c r="DA66" s="20">
        <f t="shared" si="85"/>
        <v>0</v>
      </c>
      <c r="DB66" s="20">
        <f t="shared" si="85"/>
        <v>0</v>
      </c>
      <c r="DC66" s="20">
        <f t="shared" si="85"/>
        <v>0</v>
      </c>
      <c r="DD66" s="20">
        <f t="shared" si="85"/>
        <v>0</v>
      </c>
      <c r="DE66" s="20">
        <f t="shared" si="85"/>
        <v>0</v>
      </c>
      <c r="DF66" s="20">
        <f t="shared" si="85"/>
        <v>0</v>
      </c>
      <c r="DG66" s="20">
        <f t="shared" si="85"/>
        <v>0</v>
      </c>
      <c r="DH66" s="20">
        <f t="shared" si="85"/>
        <v>0</v>
      </c>
      <c r="DI66" s="20">
        <f t="shared" si="85"/>
        <v>0</v>
      </c>
      <c r="DJ66" s="20">
        <f t="shared" si="85"/>
        <v>0</v>
      </c>
      <c r="DK66" s="20">
        <f t="shared" si="85"/>
        <v>0</v>
      </c>
      <c r="DL66" s="20">
        <f t="shared" si="85"/>
        <v>0</v>
      </c>
      <c r="DM66" s="20">
        <f t="shared" si="85"/>
        <v>0</v>
      </c>
      <c r="DN66" s="20">
        <f t="shared" si="85"/>
        <v>0</v>
      </c>
      <c r="DO66" s="20">
        <f t="shared" si="85"/>
        <v>0</v>
      </c>
      <c r="DP66" s="20">
        <f t="shared" si="85"/>
        <v>0</v>
      </c>
      <c r="DQ66" s="20">
        <f t="shared" si="85"/>
        <v>0</v>
      </c>
      <c r="DR66" s="20">
        <f t="shared" si="85"/>
        <v>0</v>
      </c>
      <c r="DS66" s="20">
        <f t="shared" si="85"/>
        <v>0</v>
      </c>
      <c r="DT66" s="20">
        <f t="shared" si="85"/>
        <v>0</v>
      </c>
      <c r="DU66" s="95">
        <f t="shared" si="85"/>
        <v>0</v>
      </c>
    </row>
    <row r="67" spans="1:125" s="9" customFormat="1" x14ac:dyDescent="0.4">
      <c r="B67" s="32"/>
      <c r="C67" s="55" t="s">
        <v>60</v>
      </c>
      <c r="D67" s="58">
        <f>Assumptions!K6*Assumptions!K7*Assumptions!K23</f>
        <v>6600000</v>
      </c>
      <c r="E67" s="58">
        <f>D67+-E7*Assumptions!$K$23+E47</f>
        <v>6377000</v>
      </c>
      <c r="F67" s="58">
        <f>E67+-F7*Assumptions!$K$23+F47</f>
        <v>6154428.333333333</v>
      </c>
      <c r="G67" s="58">
        <f>F67+-G7*Assumptions!$K$23+G47</f>
        <v>5932259.3942222223</v>
      </c>
      <c r="H67" s="58">
        <f>G67+-H7*Assumptions!$K$23+H47</f>
        <v>5710467.5872451151</v>
      </c>
      <c r="I67" s="58">
        <f>H67+-I7*Assumptions!$K$23+I47</f>
        <v>5489027.3243356962</v>
      </c>
      <c r="J67" s="58">
        <f>I67+-J7*Assumptions!$K$23+J47</f>
        <v>5267913.0217784159</v>
      </c>
      <c r="K67" s="58">
        <f>J67+-K7*Assumptions!$K$23+K47</f>
        <v>5047099.0972001804</v>
      </c>
      <c r="L67" s="58">
        <f>K67+-L7*Assumptions!$K$23+L47</f>
        <v>4826559.966557838</v>
      </c>
      <c r="M67" s="58">
        <f>L67+-M7*Assumptions!$K$23+M47</f>
        <v>4606270.0411211094</v>
      </c>
      <c r="N67" s="58">
        <f>M67+-N7*Assumptions!$K$23+N47</f>
        <v>4386203.7244505901</v>
      </c>
      <c r="O67" s="58">
        <f>N67+-O7*Assumptions!$K$23+O47</f>
        <v>4166335.4093704652</v>
      </c>
      <c r="P67" s="58">
        <f>O67+-P7*Assumptions!$K$23+P47</f>
        <v>3946639.4749355796</v>
      </c>
      <c r="Q67" s="58">
        <f>P67+-Q7*Assumptions!$K$23+Q47</f>
        <v>3727090.2833924834</v>
      </c>
      <c r="R67" s="58">
        <f>Q67+-R7*Assumptions!$K$23+R47</f>
        <v>3507662.1771340994</v>
      </c>
      <c r="S67" s="58">
        <f>R67+-S7*Assumptions!$K$23+S47</f>
        <v>3288329.4756476372</v>
      </c>
      <c r="T67" s="58">
        <f>S67+-T7*Assumptions!$K$23+T47</f>
        <v>3069066.4724553851</v>
      </c>
      <c r="U67" s="58">
        <f>T67+-U7*Assumptions!$K$23+U47</f>
        <v>2849847.4320480125</v>
      </c>
      <c r="V67" s="58">
        <f>U67+-V7*Assumptions!$K$23+V47</f>
        <v>2630646.5868100058</v>
      </c>
      <c r="W67" s="58">
        <f>V67+-W7*Assumptions!$K$23+W47</f>
        <v>2411438.1339368694</v>
      </c>
      <c r="X67" s="58">
        <f>W67+-X7*Assumptions!$K$23+X47</f>
        <v>2192196.232343711</v>
      </c>
      <c r="Y67" s="58">
        <f>X67+-Y7*Assumptions!$K$23+Y47</f>
        <v>1972894.9995648386</v>
      </c>
      <c r="Z67" s="58">
        <f>Y67+-Z7*Assumptions!$K$23+Z47</f>
        <v>1753508.5086439904</v>
      </c>
      <c r="AA67" s="58">
        <f>Z67+-AA7*Assumptions!$K$23+AA47</f>
        <v>1534010.7850148149</v>
      </c>
      <c r="AB67" s="58">
        <f>AA67+-AB7*Assumptions!$K$23+AB47</f>
        <v>1314375.8033712222</v>
      </c>
      <c r="AC67" s="58">
        <f>AB67+-AC7*Assumptions!$K$23+AC47</f>
        <v>1094577.4845272223</v>
      </c>
      <c r="AD67" s="58">
        <f>AC67+-AD7*Assumptions!$K$23+AD47</f>
        <v>874589.692265864</v>
      </c>
      <c r="AE67" s="58">
        <f>AD67+-AE7*Assumptions!$K$23+AE47</f>
        <v>654386.23017688957</v>
      </c>
      <c r="AF67" s="58">
        <f>AE67+-AF7*Assumptions!$K$23+AF47</f>
        <v>433940.83848271449</v>
      </c>
      <c r="AG67" s="58">
        <f>AF67+-AG7*Assumptions!$K$23+AG47</f>
        <v>213227.19085234107</v>
      </c>
      <c r="AH67" s="58">
        <f>AG67+-AH7*Assumptions!$K$23+AH47</f>
        <v>0</v>
      </c>
      <c r="AI67" s="58">
        <f>AH67+-AI7*Assumptions!$K$23+AI47</f>
        <v>0</v>
      </c>
      <c r="AJ67" s="58">
        <f>AI67+-AJ7*Assumptions!$K$23+AJ47</f>
        <v>0</v>
      </c>
      <c r="AK67" s="58">
        <f>AJ67+-AK7*Assumptions!$K$23+AK47</f>
        <v>0</v>
      </c>
      <c r="AL67" s="58">
        <f>AK67+-AL7*Assumptions!$K$23+AL47</f>
        <v>0</v>
      </c>
      <c r="AM67" s="58">
        <f>AL67+-AM7*Assumptions!$K$23+AM47</f>
        <v>0</v>
      </c>
      <c r="AN67" s="58">
        <f>AM67+-AN7*Assumptions!$K$23+AN47</f>
        <v>0</v>
      </c>
      <c r="AO67" s="58">
        <f>AN67+-AO7*Assumptions!$K$23+AO47</f>
        <v>0</v>
      </c>
      <c r="AP67" s="58">
        <f>AO67+-AP7*Assumptions!$K$23+AP47</f>
        <v>0</v>
      </c>
      <c r="AQ67" s="58">
        <f>AP67+-AQ7*Assumptions!$K$23+AQ47</f>
        <v>0</v>
      </c>
      <c r="AR67" s="58">
        <f>AQ67+-AR7*Assumptions!$K$23+AR47</f>
        <v>0</v>
      </c>
      <c r="AS67" s="58">
        <f>AR67+-AS7*Assumptions!$K$23+AS47</f>
        <v>0</v>
      </c>
      <c r="AT67" s="58">
        <f>AS67+-AT7*Assumptions!$K$23+AT47</f>
        <v>0</v>
      </c>
      <c r="AU67" s="58">
        <f>AT67+-AU7*Assumptions!$K$23+AU47</f>
        <v>0</v>
      </c>
      <c r="AV67" s="58">
        <f>AU67+-AV7*Assumptions!$K$23+AV47</f>
        <v>0</v>
      </c>
      <c r="AW67" s="58">
        <f>AV67+-AW7*Assumptions!$K$23+AW47</f>
        <v>0</v>
      </c>
      <c r="AX67" s="58">
        <f>AW67+-AX7*Assumptions!$K$23+AX47</f>
        <v>0</v>
      </c>
      <c r="AY67" s="58">
        <f>AX67+-AY7*Assumptions!$K$23+AY47</f>
        <v>0</v>
      </c>
      <c r="AZ67" s="58">
        <f>AY67+-AZ7*Assumptions!$K$23+AZ47</f>
        <v>0</v>
      </c>
      <c r="BA67" s="58">
        <f>AZ67+-BA7*Assumptions!$K$23+BA47</f>
        <v>0</v>
      </c>
      <c r="BB67" s="58">
        <f>BA67+-BB7*Assumptions!$K$23+BB47</f>
        <v>0</v>
      </c>
      <c r="BC67" s="58">
        <f>BB67+-BC7*Assumptions!$K$23+BC47</f>
        <v>0</v>
      </c>
      <c r="BD67" s="58">
        <f>BC67+-BD7*Assumptions!$K$23+BD47</f>
        <v>0</v>
      </c>
      <c r="BE67" s="58">
        <f>BD67+-BE7*Assumptions!$K$23+BE47</f>
        <v>0</v>
      </c>
      <c r="BF67" s="58">
        <f>BE67+-BF7*Assumptions!$K$23+BF47</f>
        <v>0</v>
      </c>
      <c r="BG67" s="58">
        <f>BF67+-BG7*Assumptions!$K$23+BG47</f>
        <v>0</v>
      </c>
      <c r="BH67" s="58">
        <f>BG67+-BH7*Assumptions!$K$23+BH47</f>
        <v>0</v>
      </c>
      <c r="BI67" s="58">
        <f>BH67+-BI7*Assumptions!$K$23+BI47</f>
        <v>0</v>
      </c>
      <c r="BJ67" s="58">
        <f>BI67+-BJ7*Assumptions!$K$23+BJ47</f>
        <v>0</v>
      </c>
      <c r="BK67" s="58">
        <f>BJ67+-BK7*Assumptions!$K$23+BK47</f>
        <v>0</v>
      </c>
      <c r="BL67" s="58">
        <f>BK67+-BL7*Assumptions!$K$23+BL47</f>
        <v>0</v>
      </c>
      <c r="BM67" s="58">
        <f>BL67+-BM7*Assumptions!$K$23+BM47</f>
        <v>0</v>
      </c>
      <c r="BN67" s="58">
        <f>BM67+-BN7*Assumptions!$K$23+BN47</f>
        <v>0</v>
      </c>
      <c r="BO67" s="58">
        <f>BN67+-BO7*Assumptions!$K$23+BO47</f>
        <v>0</v>
      </c>
      <c r="BP67" s="58">
        <f>BO67+-BP7*Assumptions!$K$23+BP47</f>
        <v>0</v>
      </c>
      <c r="BQ67" s="58">
        <f>BP67+-BQ7*Assumptions!$K$23+BQ47</f>
        <v>0</v>
      </c>
      <c r="BR67" s="58">
        <f>BQ67+-BR7*Assumptions!$K$23+BR47</f>
        <v>0</v>
      </c>
      <c r="BS67" s="58">
        <f>BR67+-BS7*Assumptions!$K$23+BS47</f>
        <v>0</v>
      </c>
      <c r="BT67" s="58">
        <f>BS67+-BT7*Assumptions!$K$23+BT47</f>
        <v>0</v>
      </c>
      <c r="BU67" s="58">
        <f>BT67+-BU7*Assumptions!$K$23+BU47</f>
        <v>0</v>
      </c>
      <c r="BV67" s="58">
        <f>BU67+-BV7*Assumptions!$K$23+BV47</f>
        <v>0</v>
      </c>
      <c r="BW67" s="58">
        <f>BV67+-BW7*Assumptions!$K$23+BW47</f>
        <v>0</v>
      </c>
      <c r="BX67" s="58">
        <f>BW67+-BX7*Assumptions!$K$23+BX47</f>
        <v>0</v>
      </c>
      <c r="BY67" s="58">
        <f>BX67+-BY7*Assumptions!$K$23+BY47</f>
        <v>0</v>
      </c>
      <c r="BZ67" s="58">
        <f>BY67+-BZ7*Assumptions!$K$23+BZ47</f>
        <v>0</v>
      </c>
      <c r="CA67" s="58">
        <f>BZ67+-CA7*Assumptions!$K$23+CA47</f>
        <v>0</v>
      </c>
      <c r="CB67" s="58">
        <f>CA67+-CB7*Assumptions!$K$23+CB47</f>
        <v>0</v>
      </c>
      <c r="CC67" s="58">
        <f>CB67+-CC7*Assumptions!$K$23+CC47</f>
        <v>0</v>
      </c>
      <c r="CD67" s="58">
        <f>CC67+-CD7*Assumptions!$K$23+CD47</f>
        <v>0</v>
      </c>
      <c r="CE67" s="58">
        <f>CD67+-CE7*Assumptions!$K$23+CE47</f>
        <v>0</v>
      </c>
      <c r="CF67" s="58">
        <f>CE67+-CF7*Assumptions!$K$23+CF47</f>
        <v>0</v>
      </c>
      <c r="CG67" s="58">
        <f>CF67+-CG7*Assumptions!$K$23+CG47</f>
        <v>0</v>
      </c>
      <c r="CH67" s="58">
        <f>CG67+-CH7*Assumptions!$K$23+CH47</f>
        <v>0</v>
      </c>
      <c r="CI67" s="58">
        <f>CH67+-CI7*Assumptions!$K$23+CI47</f>
        <v>0</v>
      </c>
      <c r="CJ67" s="58">
        <f>CI67+-CJ7*Assumptions!$K$23+CJ47</f>
        <v>0</v>
      </c>
      <c r="CK67" s="58">
        <f>CJ67+-CK7*Assumptions!$K$23+CK47</f>
        <v>0</v>
      </c>
      <c r="CL67" s="58">
        <f>CK67+-CL7*Assumptions!$K$23+CL47</f>
        <v>0</v>
      </c>
      <c r="CM67" s="58">
        <f>CL67+-CM7*Assumptions!$K$23+CM47</f>
        <v>0</v>
      </c>
      <c r="CN67" s="58">
        <f>CM67+-CN7*Assumptions!$K$23+CN47</f>
        <v>0</v>
      </c>
      <c r="CO67" s="58">
        <f>CN67+-CO7*Assumptions!$K$23+CO47</f>
        <v>0</v>
      </c>
      <c r="CP67" s="58">
        <f>CO67+-CP7*Assumptions!$K$23+CP47</f>
        <v>0</v>
      </c>
      <c r="CQ67" s="58">
        <f>CP67+-CQ7*Assumptions!$K$23+CQ47</f>
        <v>0</v>
      </c>
      <c r="CR67" s="58">
        <f>CQ67+-CR7*Assumptions!$K$23+CR47</f>
        <v>0</v>
      </c>
      <c r="CS67" s="58">
        <f>CR67+-CS7*Assumptions!$K$23+CS47</f>
        <v>0</v>
      </c>
      <c r="CT67" s="58">
        <f>CS67+-CT7*Assumptions!$K$23+CT47</f>
        <v>0</v>
      </c>
      <c r="CU67" s="58">
        <f>CT67+-CU7*Assumptions!$K$23+CU47</f>
        <v>0</v>
      </c>
      <c r="CV67" s="58">
        <f>CU67+-CV7*Assumptions!$K$23+CV47</f>
        <v>0</v>
      </c>
      <c r="CW67" s="58">
        <f>CV67+-CW7*Assumptions!$K$23+CW47</f>
        <v>0</v>
      </c>
      <c r="CX67" s="58">
        <f>CW67+-CX7*Assumptions!$K$23+CX47</f>
        <v>0</v>
      </c>
      <c r="CY67" s="58">
        <f>CX67+-CY7*Assumptions!$K$23+CY47</f>
        <v>0</v>
      </c>
      <c r="CZ67" s="58">
        <f>CY67+-CZ7*Assumptions!$K$23+CZ47</f>
        <v>0</v>
      </c>
      <c r="DA67" s="58">
        <f>CZ67+-DA7*Assumptions!$K$23+DA47</f>
        <v>0</v>
      </c>
      <c r="DB67" s="58">
        <f>DA67+-DB7*Assumptions!$K$23+DB47</f>
        <v>0</v>
      </c>
      <c r="DC67" s="58">
        <f>DB67+-DC7*Assumptions!$K$23+DC47</f>
        <v>0</v>
      </c>
      <c r="DD67" s="58">
        <f>DC67+-DD7*Assumptions!$K$23+DD47</f>
        <v>0</v>
      </c>
      <c r="DE67" s="58">
        <f>DD67+-DE7*Assumptions!$K$23+DE47</f>
        <v>0</v>
      </c>
      <c r="DF67" s="58">
        <f>DE67+-DF7*Assumptions!$K$23+DF47</f>
        <v>0</v>
      </c>
      <c r="DG67" s="58">
        <f>DF67+-DG7*Assumptions!$K$23+DG47</f>
        <v>0</v>
      </c>
      <c r="DH67" s="58">
        <f>DG67+-DH7*Assumptions!$K$23+DH47</f>
        <v>0</v>
      </c>
      <c r="DI67" s="58">
        <f>DH67+-DI7*Assumptions!$K$23+DI47</f>
        <v>0</v>
      </c>
      <c r="DJ67" s="58">
        <f>DI67+-DJ7*Assumptions!$K$23+DJ47</f>
        <v>0</v>
      </c>
      <c r="DK67" s="58">
        <f>DJ67+-DK7*Assumptions!$K$23+DK47</f>
        <v>0</v>
      </c>
      <c r="DL67" s="58">
        <f>DK67+-DL7*Assumptions!$K$23+DL47</f>
        <v>0</v>
      </c>
      <c r="DM67" s="58">
        <f>DL67+-DM7*Assumptions!$K$23+DM47</f>
        <v>0</v>
      </c>
      <c r="DN67" s="58">
        <f>DM67+-DN7*Assumptions!$K$23+DN47</f>
        <v>0</v>
      </c>
      <c r="DO67" s="58">
        <f>DN67+-DO7*Assumptions!$K$23+DO47</f>
        <v>0</v>
      </c>
      <c r="DP67" s="58">
        <f>DO67+-DP7*Assumptions!$K$23+DP47</f>
        <v>0</v>
      </c>
      <c r="DQ67" s="58">
        <f>DP67+-DQ7*Assumptions!$K$23+DQ47</f>
        <v>0</v>
      </c>
      <c r="DR67" s="58">
        <f>DQ67+-DR7*Assumptions!$K$23+DR47</f>
        <v>0</v>
      </c>
      <c r="DS67" s="58">
        <f>DR67+-DS7*Assumptions!$K$23+DS47</f>
        <v>0</v>
      </c>
      <c r="DT67" s="58">
        <f>DS67+-DT7*Assumptions!$K$23+DT47</f>
        <v>0</v>
      </c>
      <c r="DU67" s="154">
        <f>DT67+-DU7*Assumptions!$K$23+DU47</f>
        <v>0</v>
      </c>
    </row>
    <row r="68" spans="1:125" s="9" customFormat="1" ht="13.5" thickBot="1" x14ac:dyDescent="0.45">
      <c r="B68" s="33"/>
      <c r="C68" s="96" t="s">
        <v>61</v>
      </c>
      <c r="D68" s="97">
        <f>Assumptions!L6*Assumptions!L7*Assumptions!L23</f>
        <v>770000</v>
      </c>
      <c r="E68" s="97">
        <f>D68+-E8*Assumptions!$L$23+E48</f>
        <v>743983.33333333337</v>
      </c>
      <c r="F68" s="97">
        <f>E68+-F8*Assumptions!$L$23+F48</f>
        <v>718016.63888888888</v>
      </c>
      <c r="G68" s="97">
        <f>F68+-G8*Assumptions!$L$23+G48</f>
        <v>692096.92932592588</v>
      </c>
      <c r="H68" s="97">
        <f>G68+-H8*Assumptions!$L$23+H48</f>
        <v>666221.21851192997</v>
      </c>
      <c r="I68" s="97">
        <f>H68+-I8*Assumptions!$L$23+I48</f>
        <v>640386.52117249777</v>
      </c>
      <c r="J68" s="97">
        <f>I68+-J8*Assumptions!$L$23+J48</f>
        <v>614589.85254081513</v>
      </c>
      <c r="K68" s="97">
        <f>J68+-K8*Assumptions!$L$23+K48</f>
        <v>588828.22800668771</v>
      </c>
      <c r="L68" s="97">
        <f>K68+-L8*Assumptions!$L$23+L48</f>
        <v>563098.66276508116</v>
      </c>
      <c r="M68" s="97">
        <f>L68+-M8*Assumptions!$L$23+M48</f>
        <v>537398.17146412958</v>
      </c>
      <c r="N68" s="97">
        <f>M68+-N8*Assumptions!$L$23+N48</f>
        <v>511723.76785256894</v>
      </c>
      <c r="O68" s="97">
        <f>N68+-O8*Assumptions!$L$23+O48</f>
        <v>486072.46442655439</v>
      </c>
      <c r="P68" s="97">
        <f>O68+-P8*Assumptions!$L$23+P48</f>
        <v>460441.27207581775</v>
      </c>
      <c r="Q68" s="97">
        <f>P68+-Q8*Assumptions!$L$23+Q48</f>
        <v>434827.19972912321</v>
      </c>
      <c r="R68" s="97">
        <f>Q68+-R8*Assumptions!$L$23+R48</f>
        <v>409227.25399897841</v>
      </c>
      <c r="S68" s="97">
        <f>R68+-S8*Assumptions!$L$23+S48</f>
        <v>383638.43882555782</v>
      </c>
      <c r="T68" s="97">
        <f>S68+-T8*Assumptions!$L$23+T48</f>
        <v>358057.7551197951</v>
      </c>
      <c r="U68" s="97">
        <f>T68+-U8*Assumptions!$L$23+U48</f>
        <v>332482.20040560159</v>
      </c>
      <c r="V68" s="97">
        <f>U68+-V8*Assumptions!$L$23+V48</f>
        <v>306908.76846116746</v>
      </c>
      <c r="W68" s="97">
        <f>V68+-W8*Assumptions!$L$23+W48</f>
        <v>281334.44895930152</v>
      </c>
      <c r="X68" s="97">
        <f>W68+-X8*Assumptions!$L$23+X48</f>
        <v>255756.22710676634</v>
      </c>
      <c r="Y68" s="97">
        <f>X68+-Y8*Assumptions!$L$23+Y48</f>
        <v>230171.08328256456</v>
      </c>
      <c r="Z68" s="97">
        <f>Y68+-Z8*Assumptions!$L$23+Z48</f>
        <v>204575.99267513226</v>
      </c>
      <c r="AA68" s="97">
        <f>Z68+-AA8*Assumptions!$L$23+AA48</f>
        <v>178967.92491839512</v>
      </c>
      <c r="AB68" s="97">
        <f>AA68+-AB8*Assumptions!$L$23+AB48</f>
        <v>153343.84372664266</v>
      </c>
      <c r="AC68" s="97">
        <f>AB68+-AC8*Assumptions!$L$23+AC48</f>
        <v>127700.706528176</v>
      </c>
      <c r="AD68" s="97">
        <f>AC68+-AD8*Assumptions!$L$23+AD48</f>
        <v>102035.46409768419</v>
      </c>
      <c r="AE68" s="97">
        <f>AD68+-AE8*Assumptions!$L$23+AE48</f>
        <v>76345.060187303854</v>
      </c>
      <c r="AF68" s="97">
        <f>AE68+-AF8*Assumptions!$L$23+AF48</f>
        <v>50626.431156316765</v>
      </c>
      <c r="AG68" s="97">
        <f>AF68+-AG8*Assumptions!$L$23+AG48</f>
        <v>24876.505599439864</v>
      </c>
      <c r="AH68" s="97">
        <f>AG68+-AH8*Assumptions!$L$23+AH48</f>
        <v>0</v>
      </c>
      <c r="AI68" s="97">
        <f>AH68+-AI8*Assumptions!$L$23+AI48</f>
        <v>0</v>
      </c>
      <c r="AJ68" s="97">
        <f>AI68+-AJ8*Assumptions!$L$23+AJ48</f>
        <v>0</v>
      </c>
      <c r="AK68" s="97">
        <f>AJ68+-AK8*Assumptions!$L$23+AK48</f>
        <v>0</v>
      </c>
      <c r="AL68" s="97">
        <f>AK68+-AL8*Assumptions!$L$23+AL48</f>
        <v>0</v>
      </c>
      <c r="AM68" s="97">
        <f>AL68+-AM8*Assumptions!$L$23+AM48</f>
        <v>0</v>
      </c>
      <c r="AN68" s="97">
        <f>AM68+-AN8*Assumptions!$L$23+AN48</f>
        <v>0</v>
      </c>
      <c r="AO68" s="97">
        <f>AN68+-AO8*Assumptions!$L$23+AO48</f>
        <v>0</v>
      </c>
      <c r="AP68" s="97">
        <f>AO68+-AP8*Assumptions!$L$23+AP48</f>
        <v>0</v>
      </c>
      <c r="AQ68" s="97">
        <f>AP68+-AQ8*Assumptions!$L$23+AQ48</f>
        <v>0</v>
      </c>
      <c r="AR68" s="97">
        <f>AQ68+-AR8*Assumptions!$L$23+AR48</f>
        <v>0</v>
      </c>
      <c r="AS68" s="97">
        <f>AR68+-AS8*Assumptions!$L$23+AS48</f>
        <v>0</v>
      </c>
      <c r="AT68" s="97">
        <f>AS68+-AT8*Assumptions!$L$23+AT48</f>
        <v>0</v>
      </c>
      <c r="AU68" s="97">
        <f>AT68+-AU8*Assumptions!$L$23+AU48</f>
        <v>0</v>
      </c>
      <c r="AV68" s="97">
        <f>AU68+-AV8*Assumptions!$L$23+AV48</f>
        <v>0</v>
      </c>
      <c r="AW68" s="97">
        <f>AV68+-AW8*Assumptions!$L$23+AW48</f>
        <v>0</v>
      </c>
      <c r="AX68" s="97">
        <f>AW68+-AX8*Assumptions!$L$23+AX48</f>
        <v>0</v>
      </c>
      <c r="AY68" s="97">
        <f>AX68+-AY8*Assumptions!$L$23+AY48</f>
        <v>0</v>
      </c>
      <c r="AZ68" s="97">
        <f>AY68+-AZ8*Assumptions!$L$23+AZ48</f>
        <v>0</v>
      </c>
      <c r="BA68" s="97">
        <f>AZ68+-BA8*Assumptions!$L$23+BA48</f>
        <v>0</v>
      </c>
      <c r="BB68" s="97">
        <f>BA68+-BB8*Assumptions!$L$23+BB48</f>
        <v>0</v>
      </c>
      <c r="BC68" s="97">
        <f>BB68+-BC8*Assumptions!$L$23+BC48</f>
        <v>0</v>
      </c>
      <c r="BD68" s="97">
        <f>BC68+-BD8*Assumptions!$L$23+BD48</f>
        <v>0</v>
      </c>
      <c r="BE68" s="97">
        <f>BD68+-BE8*Assumptions!$L$23+BE48</f>
        <v>0</v>
      </c>
      <c r="BF68" s="97">
        <f>BE68+-BF8*Assumptions!$L$23+BF48</f>
        <v>0</v>
      </c>
      <c r="BG68" s="97">
        <f>BF68+-BG8*Assumptions!$L$23+BG48</f>
        <v>0</v>
      </c>
      <c r="BH68" s="97">
        <f>BG68+-BH8*Assumptions!$L$23+BH48</f>
        <v>0</v>
      </c>
      <c r="BI68" s="97">
        <f>BH68+-BI8*Assumptions!$L$23+BI48</f>
        <v>0</v>
      </c>
      <c r="BJ68" s="97">
        <f>BI68+-BJ8*Assumptions!$L$23+BJ48</f>
        <v>0</v>
      </c>
      <c r="BK68" s="97">
        <f>BJ68+-BK8*Assumptions!$L$23+BK48</f>
        <v>0</v>
      </c>
      <c r="BL68" s="97">
        <f>BK68+-BL8*Assumptions!$L$23+BL48</f>
        <v>0</v>
      </c>
      <c r="BM68" s="97">
        <f>BL68+-BM8*Assumptions!$L$23+BM48</f>
        <v>0</v>
      </c>
      <c r="BN68" s="97">
        <f>BM68+-BN8*Assumptions!$L$23+BN48</f>
        <v>0</v>
      </c>
      <c r="BO68" s="97">
        <f>BN68+-BO8*Assumptions!$L$23+BO48</f>
        <v>0</v>
      </c>
      <c r="BP68" s="97">
        <f>BO68+-BP8*Assumptions!$L$23+BP48</f>
        <v>0</v>
      </c>
      <c r="BQ68" s="97">
        <f>BP68+-BQ8*Assumptions!$L$23+BQ48</f>
        <v>0</v>
      </c>
      <c r="BR68" s="97">
        <f>BQ68+-BR8*Assumptions!$L$23+BR48</f>
        <v>0</v>
      </c>
      <c r="BS68" s="97">
        <f>BR68+-BS8*Assumptions!$L$23+BS48</f>
        <v>0</v>
      </c>
      <c r="BT68" s="97">
        <f>BS68+-BT8*Assumptions!$L$23+BT48</f>
        <v>0</v>
      </c>
      <c r="BU68" s="97">
        <f>BT68+-BU8*Assumptions!$L$23+BU48</f>
        <v>0</v>
      </c>
      <c r="BV68" s="97">
        <f>BU68+-BV8*Assumptions!$L$23+BV48</f>
        <v>0</v>
      </c>
      <c r="BW68" s="97">
        <f>BV68+-BW8*Assumptions!$L$23+BW48</f>
        <v>0</v>
      </c>
      <c r="BX68" s="97">
        <f>BW68+-BX8*Assumptions!$L$23+BX48</f>
        <v>0</v>
      </c>
      <c r="BY68" s="97">
        <f>BX68+-BY8*Assumptions!$L$23+BY48</f>
        <v>0</v>
      </c>
      <c r="BZ68" s="97">
        <f>BY68+-BZ8*Assumptions!$L$23+BZ48</f>
        <v>0</v>
      </c>
      <c r="CA68" s="97">
        <f>BZ68+-CA8*Assumptions!$L$23+CA48</f>
        <v>0</v>
      </c>
      <c r="CB68" s="97">
        <f>CA68+-CB8*Assumptions!$L$23+CB48</f>
        <v>0</v>
      </c>
      <c r="CC68" s="97">
        <f>CB68+-CC8*Assumptions!$L$23+CC48</f>
        <v>0</v>
      </c>
      <c r="CD68" s="97">
        <f>CC68+-CD8*Assumptions!$L$23+CD48</f>
        <v>0</v>
      </c>
      <c r="CE68" s="97">
        <f>CD68+-CE8*Assumptions!$L$23+CE48</f>
        <v>0</v>
      </c>
      <c r="CF68" s="97">
        <f>CE68+-CF8*Assumptions!$L$23+CF48</f>
        <v>0</v>
      </c>
      <c r="CG68" s="97">
        <f>CF68+-CG8*Assumptions!$L$23+CG48</f>
        <v>0</v>
      </c>
      <c r="CH68" s="97">
        <f>CG68+-CH8*Assumptions!$L$23+CH48</f>
        <v>0</v>
      </c>
      <c r="CI68" s="97">
        <f>CH68+-CI8*Assumptions!$L$23+CI48</f>
        <v>0</v>
      </c>
      <c r="CJ68" s="97">
        <f>CI68+-CJ8*Assumptions!$L$23+CJ48</f>
        <v>0</v>
      </c>
      <c r="CK68" s="97">
        <f>CJ68+-CK8*Assumptions!$L$23+CK48</f>
        <v>0</v>
      </c>
      <c r="CL68" s="97">
        <f>CK68+-CL8*Assumptions!$L$23+CL48</f>
        <v>0</v>
      </c>
      <c r="CM68" s="97">
        <f>CL68+-CM8*Assumptions!$L$23+CM48</f>
        <v>0</v>
      </c>
      <c r="CN68" s="97">
        <f>CM68+-CN8*Assumptions!$L$23+CN48</f>
        <v>0</v>
      </c>
      <c r="CO68" s="97">
        <f>CN68+-CO8*Assumptions!$L$23+CO48</f>
        <v>0</v>
      </c>
      <c r="CP68" s="97">
        <f>CO68+-CP8*Assumptions!$L$23+CP48</f>
        <v>0</v>
      </c>
      <c r="CQ68" s="97">
        <f>CP68+-CQ8*Assumptions!$L$23+CQ48</f>
        <v>0</v>
      </c>
      <c r="CR68" s="97">
        <f>CQ68+-CR8*Assumptions!$L$23+CR48</f>
        <v>0</v>
      </c>
      <c r="CS68" s="97">
        <f>CR68+-CS8*Assumptions!$L$23+CS48</f>
        <v>0</v>
      </c>
      <c r="CT68" s="97">
        <f>CS68+-CT8*Assumptions!$L$23+CT48</f>
        <v>0</v>
      </c>
      <c r="CU68" s="97">
        <f>CT68+-CU8*Assumptions!$L$23+CU48</f>
        <v>0</v>
      </c>
      <c r="CV68" s="97">
        <f>CU68+-CV8*Assumptions!$L$23+CV48</f>
        <v>0</v>
      </c>
      <c r="CW68" s="97">
        <f>CV68+-CW8*Assumptions!$L$23+CW48</f>
        <v>0</v>
      </c>
      <c r="CX68" s="97">
        <f>CW68+-CX8*Assumptions!$L$23+CX48</f>
        <v>0</v>
      </c>
      <c r="CY68" s="97">
        <f>CX68+-CY8*Assumptions!$L$23+CY48</f>
        <v>0</v>
      </c>
      <c r="CZ68" s="97">
        <f>CY68+-CZ8*Assumptions!$L$23+CZ48</f>
        <v>0</v>
      </c>
      <c r="DA68" s="97">
        <f>CZ68+-DA8*Assumptions!$L$23+DA48</f>
        <v>0</v>
      </c>
      <c r="DB68" s="97">
        <f>DA68+-DB8*Assumptions!$L$23+DB48</f>
        <v>0</v>
      </c>
      <c r="DC68" s="97">
        <f>DB68+-DC8*Assumptions!$L$23+DC48</f>
        <v>0</v>
      </c>
      <c r="DD68" s="97">
        <f>DC68+-DD8*Assumptions!$L$23+DD48</f>
        <v>0</v>
      </c>
      <c r="DE68" s="97">
        <f>DD68+-DE8*Assumptions!$L$23+DE48</f>
        <v>0</v>
      </c>
      <c r="DF68" s="97">
        <f>DE68+-DF8*Assumptions!$L$23+DF48</f>
        <v>0</v>
      </c>
      <c r="DG68" s="97">
        <f>DF68+-DG8*Assumptions!$L$23+DG48</f>
        <v>0</v>
      </c>
      <c r="DH68" s="97">
        <f>DG68+-DH8*Assumptions!$L$23+DH48</f>
        <v>0</v>
      </c>
      <c r="DI68" s="97">
        <f>DH68+-DI8*Assumptions!$L$23+DI48</f>
        <v>0</v>
      </c>
      <c r="DJ68" s="97">
        <f>DI68+-DJ8*Assumptions!$L$23+DJ48</f>
        <v>0</v>
      </c>
      <c r="DK68" s="97">
        <f>DJ68+-DK8*Assumptions!$L$23+DK48</f>
        <v>0</v>
      </c>
      <c r="DL68" s="97">
        <f>DK68+-DL8*Assumptions!$L$23+DL48</f>
        <v>0</v>
      </c>
      <c r="DM68" s="97">
        <f>DL68+-DM8*Assumptions!$L$23+DM48</f>
        <v>0</v>
      </c>
      <c r="DN68" s="97">
        <f>DM68+-DN8*Assumptions!$L$23+DN48</f>
        <v>0</v>
      </c>
      <c r="DO68" s="97">
        <f>DN68+-DO8*Assumptions!$L$23+DO48</f>
        <v>0</v>
      </c>
      <c r="DP68" s="97">
        <f>DO68+-DP8*Assumptions!$L$23+DP48</f>
        <v>0</v>
      </c>
      <c r="DQ68" s="97">
        <f>DP68+-DQ8*Assumptions!$L$23+DQ48</f>
        <v>0</v>
      </c>
      <c r="DR68" s="97">
        <f>DQ68+-DR8*Assumptions!$L$23+DR48</f>
        <v>0</v>
      </c>
      <c r="DS68" s="97">
        <f>DR68+-DS8*Assumptions!$L$23+DS48</f>
        <v>0</v>
      </c>
      <c r="DT68" s="97">
        <f>DS68+-DT8*Assumptions!$L$23+DT48</f>
        <v>0</v>
      </c>
      <c r="DU68" s="155">
        <f>DT68+-DU8*Assumptions!$L$23+DU48</f>
        <v>0</v>
      </c>
    </row>
    <row r="69" spans="1:125" s="9" customFormat="1" x14ac:dyDescent="0.4">
      <c r="C69" s="5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44A4-9145-4035-80FC-ECE4348EBF52}">
  <sheetPr>
    <tabColor theme="9" tint="0.79998168889431442"/>
  </sheetPr>
  <dimension ref="A1:R66"/>
  <sheetViews>
    <sheetView showGridLines="0" zoomScaleNormal="100" workbookViewId="0"/>
  </sheetViews>
  <sheetFormatPr defaultColWidth="0" defaultRowHeight="13.15" zeroHeight="1" x14ac:dyDescent="0.4"/>
  <cols>
    <col min="1" max="1" width="2.625" style="1" customWidth="1"/>
    <col min="2" max="2" width="2.875" style="1" customWidth="1"/>
    <col min="3" max="3" width="31.3125" style="1" customWidth="1"/>
    <col min="4" max="8" width="13.375" style="1" bestFit="1" customWidth="1"/>
    <col min="9" max="9" width="13" style="1" bestFit="1" customWidth="1"/>
    <col min="10" max="14" width="14" style="1" bestFit="1" customWidth="1"/>
    <col min="15" max="15" width="14.1875" style="1" bestFit="1" customWidth="1"/>
    <col min="16" max="16" width="2.875" style="1" customWidth="1"/>
    <col min="17" max="18" width="0" style="1" hidden="1" customWidth="1"/>
    <col min="19" max="16384" width="10.875" style="1" hidden="1"/>
  </cols>
  <sheetData>
    <row r="1" spans="1:18" ht="13.5" thickBot="1" x14ac:dyDescent="0.45"/>
    <row r="2" spans="1:18" ht="13.5" thickBot="1" x14ac:dyDescent="0.45">
      <c r="B2" s="121"/>
      <c r="C2" s="17"/>
      <c r="D2" s="17"/>
      <c r="E2" s="17" t="s">
        <v>40</v>
      </c>
      <c r="F2" s="17" t="s">
        <v>41</v>
      </c>
      <c r="G2" s="17" t="s">
        <v>42</v>
      </c>
      <c r="H2" s="17" t="s">
        <v>43</v>
      </c>
      <c r="I2" s="17" t="s">
        <v>44</v>
      </c>
      <c r="J2" s="17" t="s">
        <v>45</v>
      </c>
      <c r="K2" s="17" t="s">
        <v>46</v>
      </c>
      <c r="L2" s="17" t="s">
        <v>47</v>
      </c>
      <c r="M2" s="17" t="s">
        <v>48</v>
      </c>
      <c r="N2" s="17" t="s">
        <v>49</v>
      </c>
      <c r="O2" s="18" t="s">
        <v>57</v>
      </c>
    </row>
    <row r="3" spans="1:18" x14ac:dyDescent="0.4">
      <c r="B3" s="39"/>
      <c r="C3" s="108"/>
      <c r="D3" s="108"/>
      <c r="E3" s="109" t="s">
        <v>19</v>
      </c>
      <c r="F3" s="109" t="s">
        <v>23</v>
      </c>
      <c r="G3" s="109" t="s">
        <v>24</v>
      </c>
      <c r="H3" s="109" t="s">
        <v>25</v>
      </c>
      <c r="I3" s="109" t="s">
        <v>26</v>
      </c>
      <c r="J3" s="109" t="s">
        <v>27</v>
      </c>
      <c r="K3" s="109" t="s">
        <v>28</v>
      </c>
      <c r="L3" s="109" t="s">
        <v>29</v>
      </c>
      <c r="M3" s="109" t="s">
        <v>30</v>
      </c>
      <c r="N3" s="108" t="s">
        <v>20</v>
      </c>
      <c r="O3" s="110" t="s">
        <v>21</v>
      </c>
    </row>
    <row r="4" spans="1:18" x14ac:dyDescent="0.4">
      <c r="B4" s="74" t="s">
        <v>10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2"/>
    </row>
    <row r="5" spans="1:18" x14ac:dyDescent="0.4">
      <c r="B5" s="74"/>
      <c r="C5" s="77" t="s">
        <v>16</v>
      </c>
      <c r="D5" s="21">
        <f>'50% Equity Scenario'!D5</f>
        <v>-14740000</v>
      </c>
      <c r="E5" s="59">
        <f>SUM('50% Equity Scenario'!E5:P5)</f>
        <v>0</v>
      </c>
      <c r="F5" s="59">
        <f>SUM('50% Equity Scenario'!Q5:AB5)</f>
        <v>0</v>
      </c>
      <c r="G5" s="59">
        <f>SUM('50% Equity Scenario'!AC5:AN5)</f>
        <v>0</v>
      </c>
      <c r="H5" s="59">
        <f>SUM('50% Equity Scenario'!AO5:AZ5)</f>
        <v>0</v>
      </c>
      <c r="I5" s="59">
        <f>SUM('50% Equity Scenario'!BA5:BL5)</f>
        <v>0</v>
      </c>
      <c r="J5" s="59">
        <f>SUM('50% Equity Scenario'!BM5:BX5)</f>
        <v>0</v>
      </c>
      <c r="K5" s="59">
        <f>SUM('50% Equity Scenario'!BY5:CJ5)</f>
        <v>0</v>
      </c>
      <c r="L5" s="59">
        <f>SUM('50% Equity Scenario'!CK5:CV5)</f>
        <v>0</v>
      </c>
      <c r="M5" s="59">
        <f>SUM('50% Equity Scenario'!CW5:DH5)</f>
        <v>0</v>
      </c>
      <c r="N5" s="59">
        <f>SUM('50% Equity Scenario'!DI5:DT5)</f>
        <v>0</v>
      </c>
      <c r="O5" s="60">
        <f>'50% Equity Scenario'!DU5</f>
        <v>0</v>
      </c>
    </row>
    <row r="6" spans="1:18" x14ac:dyDescent="0.4">
      <c r="B6" s="74"/>
      <c r="C6" s="77" t="s">
        <v>17</v>
      </c>
      <c r="D6" s="59">
        <f>'50% Equity Scenario'!D6</f>
        <v>0</v>
      </c>
      <c r="E6" s="59">
        <f>SUM('50% Equity Scenario'!E6:P6)</f>
        <v>0</v>
      </c>
      <c r="F6" s="58">
        <f>SUM('50% Equity Scenario'!Q6:AB6)</f>
        <v>0</v>
      </c>
      <c r="G6" s="59">
        <f>SUM('50% Equity Scenario'!AC6:AN6)</f>
        <v>0</v>
      </c>
      <c r="H6" s="59">
        <f>SUM('50% Equity Scenario'!AO6:AZ6)</f>
        <v>0</v>
      </c>
      <c r="I6" s="59">
        <f>SUM('50% Equity Scenario'!BA6:BL6)</f>
        <v>0</v>
      </c>
      <c r="J6" s="59">
        <f>SUM('50% Equity Scenario'!BM6:BX6)</f>
        <v>0</v>
      </c>
      <c r="K6" s="59">
        <f>SUM('50% Equity Scenario'!BY6:CJ6)</f>
        <v>0</v>
      </c>
      <c r="L6" s="59">
        <f>SUM('50% Equity Scenario'!CK6:CV6)</f>
        <v>0</v>
      </c>
      <c r="M6" s="59">
        <f>SUM('50% Equity Scenario'!CW6:DH6)</f>
        <v>0</v>
      </c>
      <c r="N6" s="59">
        <f>SUM('50% Equity Scenario'!DI6:DT6)</f>
        <v>0</v>
      </c>
      <c r="O6" s="60">
        <f>'50% Equity Scenario'!DU6</f>
        <v>0</v>
      </c>
    </row>
    <row r="7" spans="1:18" x14ac:dyDescent="0.4">
      <c r="B7" s="39"/>
      <c r="C7" s="77" t="s">
        <v>5</v>
      </c>
      <c r="D7" s="59">
        <f>'50% Equity Scenario'!D9</f>
        <v>-100000</v>
      </c>
      <c r="E7" s="59">
        <f>SUM('50% Equity Scenario'!E9:P9)</f>
        <v>0</v>
      </c>
      <c r="F7" s="59">
        <f>SUM('50% Equity Scenario'!Q9:AB9)</f>
        <v>0</v>
      </c>
      <c r="G7" s="59">
        <f>SUM('50% Equity Scenario'!AC9:AN9)</f>
        <v>0</v>
      </c>
      <c r="H7" s="59">
        <f>SUM('50% Equity Scenario'!AO9:AZ9)</f>
        <v>0</v>
      </c>
      <c r="I7" s="59">
        <f>SUM('50% Equity Scenario'!BA9:BL9)</f>
        <v>0</v>
      </c>
      <c r="J7" s="59">
        <f>SUM('50% Equity Scenario'!BM9:BX9)</f>
        <v>0</v>
      </c>
      <c r="K7" s="59">
        <f>SUM('50% Equity Scenario'!BY9:CJ9)</f>
        <v>0</v>
      </c>
      <c r="L7" s="59">
        <f>SUM('50% Equity Scenario'!CK9:CV9)</f>
        <v>0</v>
      </c>
      <c r="M7" s="59">
        <f>SUM('50% Equity Scenario'!CW9:DH9)</f>
        <v>0</v>
      </c>
      <c r="N7" s="59">
        <f>SUM('50% Equity Scenario'!DI9:DT9)</f>
        <v>0</v>
      </c>
      <c r="O7" s="60">
        <f>'50% Equity Scenario'!DU9</f>
        <v>0</v>
      </c>
    </row>
    <row r="8" spans="1:18" x14ac:dyDescent="0.4">
      <c r="A8" s="1" t="s">
        <v>36</v>
      </c>
      <c r="B8" s="78" t="s">
        <v>33</v>
      </c>
      <c r="C8" s="6"/>
      <c r="D8" s="7">
        <f t="shared" ref="D8:O8" si="0">SUM(D5:D7)</f>
        <v>-14840000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7">
        <f t="shared" si="0"/>
        <v>0</v>
      </c>
      <c r="N8" s="7">
        <f t="shared" si="0"/>
        <v>0</v>
      </c>
      <c r="O8" s="79">
        <f t="shared" si="0"/>
        <v>0</v>
      </c>
      <c r="Q8" s="7">
        <f>SUM(Q5:Q7)</f>
        <v>0</v>
      </c>
      <c r="R8" s="7">
        <f>SUM(R5:R7)</f>
        <v>0</v>
      </c>
    </row>
    <row r="9" spans="1:18" x14ac:dyDescent="0.4">
      <c r="B9" s="39"/>
      <c r="C9" s="77"/>
      <c r="D9" s="59"/>
      <c r="E9" s="59"/>
      <c r="F9" s="59">
        <f>SUM('50% Equity Scenario'!Q11:AB11)</f>
        <v>0</v>
      </c>
      <c r="G9" s="59">
        <f>SUM('50% Equity Scenario'!AC11:AN11)</f>
        <v>0</v>
      </c>
      <c r="H9" s="59">
        <f>SUM('50% Equity Scenario'!AO11:AZ11)</f>
        <v>0</v>
      </c>
      <c r="I9" s="59">
        <f>SUM('50% Equity Scenario'!BA11:BL11)</f>
        <v>0</v>
      </c>
      <c r="J9" s="59">
        <f>SUM('50% Equity Scenario'!BM11:BX11)</f>
        <v>0</v>
      </c>
      <c r="K9" s="59">
        <f>SUM('50% Equity Scenario'!BY11:CJ11)</f>
        <v>0</v>
      </c>
      <c r="L9" s="59">
        <f>SUM('50% Equity Scenario'!CK11:CV11)</f>
        <v>0</v>
      </c>
      <c r="M9" s="59">
        <f>SUM('50% Equity Scenario'!CW11:DH11)</f>
        <v>0</v>
      </c>
      <c r="N9" s="59">
        <f>SUM('50% Equity Scenario'!DI11:DT11)</f>
        <v>0</v>
      </c>
      <c r="O9" s="60">
        <f>'50% Equity Scenario'!DU11</f>
        <v>0</v>
      </c>
    </row>
    <row r="10" spans="1:18" x14ac:dyDescent="0.4">
      <c r="B10" s="74" t="s">
        <v>11</v>
      </c>
      <c r="C10" s="77"/>
      <c r="D10" s="59"/>
      <c r="E10" s="59"/>
      <c r="F10" s="59">
        <f>SUM('50% Equity Scenario'!Q12:AB12)</f>
        <v>0</v>
      </c>
      <c r="G10" s="59">
        <f>SUM('50% Equity Scenario'!AC12:AN12)</f>
        <v>0</v>
      </c>
      <c r="H10" s="59">
        <f>SUM('50% Equity Scenario'!AO12:AZ12)</f>
        <v>0</v>
      </c>
      <c r="I10" s="59">
        <f>SUM('50% Equity Scenario'!BA12:BL12)</f>
        <v>0</v>
      </c>
      <c r="J10" s="59">
        <f>SUM('50% Equity Scenario'!BM12:BX12)</f>
        <v>0</v>
      </c>
      <c r="K10" s="59">
        <f>SUM('50% Equity Scenario'!BY12:CJ12)</f>
        <v>0</v>
      </c>
      <c r="L10" s="59">
        <f>SUM('50% Equity Scenario'!CK12:CV12)</f>
        <v>0</v>
      </c>
      <c r="M10" s="59">
        <f>SUM('50% Equity Scenario'!CW12:DH12)</f>
        <v>0</v>
      </c>
      <c r="N10" s="59">
        <f>SUM('50% Equity Scenario'!DI12:DT12)</f>
        <v>0</v>
      </c>
      <c r="O10" s="60">
        <f>'50% Equity Scenario'!DU12</f>
        <v>0</v>
      </c>
    </row>
    <row r="11" spans="1:18" x14ac:dyDescent="0.4">
      <c r="B11" s="39"/>
      <c r="C11" s="77" t="s">
        <v>12</v>
      </c>
      <c r="D11" s="59"/>
      <c r="E11" s="59">
        <f>SUM('50% Equity Scenario'!E13:P13)</f>
        <v>7608078.0320282839</v>
      </c>
      <c r="F11" s="59">
        <f>SUM('50% Equity Scenario'!Q13:AB13)</f>
        <v>6735515.6461350657</v>
      </c>
      <c r="G11" s="59">
        <f>SUM('50% Equity Scenario'!AC13:AN13)</f>
        <v>5963026.513180431</v>
      </c>
      <c r="H11" s="59">
        <f>SUM('50% Equity Scenario'!AO13:AZ13)</f>
        <v>5279133.3381129159</v>
      </c>
      <c r="I11" s="59">
        <f>SUM('50% Equity Scenario'!BA13:BL13)</f>
        <v>4673675.1446558507</v>
      </c>
      <c r="J11" s="59">
        <f>SUM('50% Equity Scenario'!BM13:BX13)</f>
        <v>4137656.3081056764</v>
      </c>
      <c r="K11" s="59">
        <f>SUM('50% Equity Scenario'!BY13:CJ13)</f>
        <v>3663112.9023982142</v>
      </c>
      <c r="L11" s="59">
        <f>SUM('50% Equity Scenario'!CK13:CV13)</f>
        <v>3242994.3756879019</v>
      </c>
      <c r="M11" s="59">
        <f>SUM('50% Equity Scenario'!CW13:DH13)</f>
        <v>2871058.7964291102</v>
      </c>
      <c r="N11" s="59">
        <f>SUM('50% Equity Scenario'!DI13:DT13)</f>
        <v>2541780.1135731163</v>
      </c>
      <c r="O11" s="60">
        <f>'50% Equity Scenario'!DU13</f>
        <v>0</v>
      </c>
    </row>
    <row r="12" spans="1:18" x14ac:dyDescent="0.4">
      <c r="B12" s="39"/>
      <c r="C12" s="1" t="s">
        <v>13</v>
      </c>
      <c r="D12" s="59"/>
      <c r="E12" s="59">
        <f>SUM('50% Equity Scenario'!E16:P16)</f>
        <v>0</v>
      </c>
      <c r="F12" s="59">
        <f>SUM('50% Equity Scenario'!Q16:AB16)</f>
        <v>0</v>
      </c>
      <c r="G12" s="59">
        <f>SUM('50% Equity Scenario'!AC16:AN16)</f>
        <v>0</v>
      </c>
      <c r="H12" s="59">
        <f>SUM('50% Equity Scenario'!AO16:AZ16)</f>
        <v>0</v>
      </c>
      <c r="I12" s="59">
        <f>SUM('50% Equity Scenario'!BA16:BL16)</f>
        <v>0</v>
      </c>
      <c r="J12" s="59">
        <f>SUM('50% Equity Scenario'!BM16:BX16)</f>
        <v>0</v>
      </c>
      <c r="K12" s="59">
        <f>SUM('50% Equity Scenario'!BY16:CJ16)</f>
        <v>0</v>
      </c>
      <c r="L12" s="59">
        <f>SUM('50% Equity Scenario'!CK16:CV16)</f>
        <v>0</v>
      </c>
      <c r="M12" s="59">
        <f>SUM('50% Equity Scenario'!CW16:DH16)</f>
        <v>0</v>
      </c>
      <c r="N12" s="59">
        <f>SUM('50% Equity Scenario'!DI16:DT16)</f>
        <v>0</v>
      </c>
      <c r="O12" s="60">
        <f>'50% Equity Scenario'!DU16</f>
        <v>1201140.0253353093</v>
      </c>
    </row>
    <row r="13" spans="1:18" x14ac:dyDescent="0.4">
      <c r="A13" s="1" t="s">
        <v>36</v>
      </c>
      <c r="B13" s="78" t="s">
        <v>34</v>
      </c>
      <c r="C13" s="12"/>
      <c r="D13" s="14"/>
      <c r="E13" s="15">
        <f>SUM(E11:E12)</f>
        <v>7608078.0320282839</v>
      </c>
      <c r="F13" s="15">
        <f t="shared" ref="F13:O13" si="1">SUM(F11:F12)</f>
        <v>6735515.6461350657</v>
      </c>
      <c r="G13" s="15">
        <f t="shared" si="1"/>
        <v>5963026.513180431</v>
      </c>
      <c r="H13" s="15">
        <f t="shared" si="1"/>
        <v>5279133.3381129159</v>
      </c>
      <c r="I13" s="15">
        <f t="shared" si="1"/>
        <v>4673675.1446558507</v>
      </c>
      <c r="J13" s="15">
        <f t="shared" si="1"/>
        <v>4137656.3081056764</v>
      </c>
      <c r="K13" s="15">
        <f t="shared" si="1"/>
        <v>3663112.9023982142</v>
      </c>
      <c r="L13" s="15">
        <f t="shared" si="1"/>
        <v>3242994.3756879019</v>
      </c>
      <c r="M13" s="15">
        <f t="shared" si="1"/>
        <v>2871058.7964291102</v>
      </c>
      <c r="N13" s="15">
        <f t="shared" si="1"/>
        <v>2541780.1135731163</v>
      </c>
      <c r="O13" s="113">
        <f t="shared" si="1"/>
        <v>1201140.0253353093</v>
      </c>
    </row>
    <row r="14" spans="1:18" x14ac:dyDescent="0.4">
      <c r="B14" s="39"/>
      <c r="C14" s="77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0"/>
    </row>
    <row r="15" spans="1:18" x14ac:dyDescent="0.4">
      <c r="B15" s="74" t="s">
        <v>22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</row>
    <row r="16" spans="1:18" x14ac:dyDescent="0.4">
      <c r="B16" s="74"/>
      <c r="C16" s="1" t="s">
        <v>92</v>
      </c>
      <c r="D16" s="59"/>
      <c r="E16" s="59">
        <f>SUM('50% Equity Scenario'!E22:P22)</f>
        <v>0</v>
      </c>
      <c r="F16" s="59">
        <f>SUM('50% Equity Scenario'!Q22:AB22)</f>
        <v>0</v>
      </c>
      <c r="G16" s="59">
        <f>SUM('50% Equity Scenario'!AC22:AN22)</f>
        <v>0</v>
      </c>
      <c r="H16" s="59">
        <f>SUM('50% Equity Scenario'!AO22:AZ22)</f>
        <v>0</v>
      </c>
      <c r="I16" s="59">
        <f>SUM('50% Equity Scenario'!BA22:BL22)</f>
        <v>0</v>
      </c>
      <c r="J16" s="59">
        <f>SUM('50% Equity Scenario'!BM22:BX22)</f>
        <v>0</v>
      </c>
      <c r="K16" s="59">
        <f>SUM('50% Equity Scenario'!BY22:CJ22)</f>
        <v>0</v>
      </c>
      <c r="L16" s="59">
        <f>SUM('50% Equity Scenario'!CK22:CV22)</f>
        <v>0</v>
      </c>
      <c r="M16" s="59">
        <f>SUM('50% Equity Scenario'!CW22:DH22)</f>
        <v>0</v>
      </c>
      <c r="N16" s="59">
        <f>SUM('50% Equity Scenario'!DI22:DT22)</f>
        <v>0</v>
      </c>
      <c r="O16" s="60">
        <f>'50% Equity Scenario'!DU22</f>
        <v>0</v>
      </c>
    </row>
    <row r="17" spans="1:15" x14ac:dyDescent="0.4">
      <c r="B17" s="39"/>
      <c r="C17" s="77" t="s">
        <v>14</v>
      </c>
      <c r="D17" s="59"/>
      <c r="E17" s="59">
        <f>SUM('50% Equity Scenario'!E43:P43)</f>
        <v>-841119.76302553958</v>
      </c>
      <c r="F17" s="59">
        <f>SUM('50% Equity Scenario'!Q43:AB43)</f>
        <v>-428396.72315399896</v>
      </c>
      <c r="G17" s="59">
        <f>SUM('50% Equity Scenario'!AC43:AN43)</f>
        <v>-59733.627928004535</v>
      </c>
      <c r="H17" s="59">
        <f>SUM('50% Equity Scenario'!AO43:AZ43)</f>
        <v>0</v>
      </c>
      <c r="I17" s="59">
        <f>SUM('50% Equity Scenario'!BA43:BL43)</f>
        <v>0</v>
      </c>
      <c r="J17" s="59">
        <f>SUM('50% Equity Scenario'!BM43:BX43)</f>
        <v>0</v>
      </c>
      <c r="K17" s="59">
        <f>SUM('50% Equity Scenario'!BY43:CJ43)</f>
        <v>0</v>
      </c>
      <c r="L17" s="59">
        <f>SUM('50% Equity Scenario'!CK43:CV43)</f>
        <v>0</v>
      </c>
      <c r="M17" s="59">
        <f>SUM('50% Equity Scenario'!CW43:DH43)</f>
        <v>0</v>
      </c>
      <c r="N17" s="59">
        <f>SUM('50% Equity Scenario'!DI43:DT43)</f>
        <v>0</v>
      </c>
      <c r="O17" s="60">
        <f>'50% Equity Scenario'!DU43</f>
        <v>0</v>
      </c>
    </row>
    <row r="18" spans="1:15" x14ac:dyDescent="0.4">
      <c r="B18" s="39"/>
      <c r="C18" s="1" t="s">
        <v>50</v>
      </c>
      <c r="D18" s="59"/>
      <c r="E18" s="59">
        <f>SUM('50% Equity Scenario'!E46:P46)</f>
        <v>-2962919.252988602</v>
      </c>
      <c r="F18" s="59">
        <f>SUM('50% Equity Scenario'!Q46:AB46)</f>
        <v>-2939361.0999135333</v>
      </c>
      <c r="G18" s="59">
        <f>SUM('50% Equity Scenario'!AC46:AN46)</f>
        <v>-1467719.6470978649</v>
      </c>
      <c r="H18" s="59">
        <f>SUM('50% Equity Scenario'!AO46:AZ46)</f>
        <v>0</v>
      </c>
      <c r="I18" s="59">
        <f>SUM('50% Equity Scenario'!BA46:BL46)</f>
        <v>0</v>
      </c>
      <c r="J18" s="59">
        <f>SUM('50% Equity Scenario'!BM46:BX46)</f>
        <v>0</v>
      </c>
      <c r="K18" s="59">
        <f>SUM('50% Equity Scenario'!BY46:CJ46)</f>
        <v>0</v>
      </c>
      <c r="L18" s="59">
        <f>SUM('50% Equity Scenario'!CK46:CV46)</f>
        <v>0</v>
      </c>
      <c r="M18" s="59">
        <f>SUM('50% Equity Scenario'!CW46:DH46)</f>
        <v>0</v>
      </c>
      <c r="N18" s="59">
        <f>SUM('50% Equity Scenario'!DI46:DT46)</f>
        <v>0</v>
      </c>
      <c r="O18" s="60">
        <f>'50% Equity Scenario'!DU46</f>
        <v>0</v>
      </c>
    </row>
    <row r="19" spans="1:15" ht="12.95" customHeight="1" x14ac:dyDescent="0.4">
      <c r="B19" s="3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1:15" s="4" customFormat="1" ht="12.95" customHeight="1" x14ac:dyDescent="0.4">
      <c r="B20" s="74" t="s">
        <v>56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88"/>
    </row>
    <row r="21" spans="1:15" x14ac:dyDescent="0.4">
      <c r="B21" s="39" t="s">
        <v>38</v>
      </c>
      <c r="C21" s="1" t="s">
        <v>75</v>
      </c>
      <c r="D21" s="59"/>
      <c r="E21" s="59">
        <f>(SUM('50% Equity Scenario'!E50:P50))*-1</f>
        <v>-3804039.016014142</v>
      </c>
      <c r="F21" s="59">
        <f>(SUM('50% Equity Scenario'!Q50:AB50))*-1</f>
        <v>-3367757.8230675329</v>
      </c>
      <c r="G21" s="59">
        <f>(SUM('50% Equity Scenario'!AC50:AN50))*-1</f>
        <v>-2981513.2565902155</v>
      </c>
      <c r="H21" s="59">
        <f>(SUM('50% Equity Scenario'!AO50:AZ50))*-1</f>
        <v>-2639566.6690564579</v>
      </c>
      <c r="I21" s="59">
        <f>(SUM('50% Equity Scenario'!BA50:BL50))*-1</f>
        <v>-2336837.5723279254</v>
      </c>
      <c r="J21" s="59">
        <f>(SUM('50% Equity Scenario'!BM50:BX50))*-1</f>
        <v>-2068828.1540528382</v>
      </c>
      <c r="K21" s="59">
        <f>(SUM('50% Equity Scenario'!BY50:CJ50))*-1</f>
        <v>-1831556.4511991071</v>
      </c>
      <c r="L21" s="59">
        <f>(SUM('50% Equity Scenario'!CK50:CV50))*-1</f>
        <v>-1621497.1878439509</v>
      </c>
      <c r="M21" s="59">
        <f>(SUM('50% Equity Scenario'!CW50:DH50))*-1</f>
        <v>-1435529.3982145551</v>
      </c>
      <c r="N21" s="59">
        <f>(SUM('50% Equity Scenario'!DI50:DT50))*-1</f>
        <v>-1270890.0567865581</v>
      </c>
      <c r="O21" s="60">
        <f>('50% Equity Scenario'!DU50)*-1</f>
        <v>-600570.01266765466</v>
      </c>
    </row>
    <row r="22" spans="1:15" x14ac:dyDescent="0.4">
      <c r="B22" s="39" t="s">
        <v>37</v>
      </c>
      <c r="C22" s="1" t="s">
        <v>74</v>
      </c>
      <c r="D22" s="156"/>
      <c r="E22" s="59">
        <f>(SUM('50% Equity Scenario'!E53:P53))*-1</f>
        <v>0</v>
      </c>
      <c r="F22" s="59">
        <f>(SUM('50% Equity Scenario'!Q53:AB53))*-1</f>
        <v>0</v>
      </c>
      <c r="G22" s="59">
        <f>(SUM('50% Equity Scenario'!AC53:AN53))*-1</f>
        <v>-1454059.9815643465</v>
      </c>
      <c r="H22" s="59">
        <f>(SUM('50% Equity Scenario'!AO53:AZ53))*-1</f>
        <v>-2639566.6690564579</v>
      </c>
      <c r="I22" s="59">
        <f>(SUM('50% Equity Scenario'!BA53:BL53))*-1</f>
        <v>-2336837.5723279254</v>
      </c>
      <c r="J22" s="59">
        <f>(SUM('50% Equity Scenario'!BM53:BX53))*-1</f>
        <v>-2068828.1540528382</v>
      </c>
      <c r="K22" s="59">
        <f>(SUM('50% Equity Scenario'!BY53:CJ53))*-1</f>
        <v>-1831556.4511991071</v>
      </c>
      <c r="L22" s="59">
        <f>(SUM('50% Equity Scenario'!CK53:CV53))*-1</f>
        <v>-1621497.1878439509</v>
      </c>
      <c r="M22" s="59">
        <f>(SUM('50% Equity Scenario'!CW53:DH53))*-1</f>
        <v>-1435529.3982145551</v>
      </c>
      <c r="N22" s="59">
        <f>(SUM('50% Equity Scenario'!DI53:DT53))*-1</f>
        <v>-1270890.0567865581</v>
      </c>
      <c r="O22" s="60">
        <f>('50% Equity Scenario'!DU53)*-1</f>
        <v>-600570.01266765466</v>
      </c>
    </row>
    <row r="23" spans="1:15" ht="4.5" customHeight="1" x14ac:dyDescent="0.4">
      <c r="B23" s="3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0"/>
    </row>
    <row r="24" spans="1:15" x14ac:dyDescent="0.4">
      <c r="A24" s="1" t="s">
        <v>36</v>
      </c>
      <c r="B24" s="74" t="s">
        <v>15</v>
      </c>
      <c r="D24" s="59"/>
      <c r="E24" s="59">
        <f>SUM('50% Equity Scenario'!E65:P65)</f>
        <v>0</v>
      </c>
      <c r="F24" s="59">
        <f>SUM('50% Equity Scenario'!Q65:AB65)</f>
        <v>0</v>
      </c>
      <c r="G24" s="59">
        <f>SUM('50% Equity Scenario'!AC65:AN65)</f>
        <v>0</v>
      </c>
      <c r="H24" s="59">
        <f>SUM('50% Equity Scenario'!AO65:AZ65)</f>
        <v>0</v>
      </c>
      <c r="I24" s="59">
        <f>SUM('50% Equity Scenario'!BA65:BL65)</f>
        <v>0</v>
      </c>
      <c r="J24" s="59">
        <f>SUM('50% Equity Scenario'!BM65:BX65)</f>
        <v>0</v>
      </c>
      <c r="K24" s="59">
        <f>SUM('50% Equity Scenario'!BY65:CJ65)</f>
        <v>0</v>
      </c>
      <c r="L24" s="59">
        <f>SUM('50% Equity Scenario'!CK65:CV65)</f>
        <v>0</v>
      </c>
      <c r="M24" s="59">
        <f>SUM('50% Equity Scenario'!CW65:DH65)</f>
        <v>0</v>
      </c>
      <c r="N24" s="59">
        <f>SUM('50% Equity Scenario'!DI65:DT65)</f>
        <v>0</v>
      </c>
      <c r="O24" s="60">
        <f>'50% Equity Scenario'!DU65</f>
        <v>0</v>
      </c>
    </row>
    <row r="25" spans="1:15" x14ac:dyDescent="0.4">
      <c r="B25" s="39"/>
      <c r="C25" s="4" t="s">
        <v>8</v>
      </c>
      <c r="D25" s="59"/>
      <c r="E25" s="59">
        <f>MAX('50% Equity Scenario'!D66:P66)</f>
        <v>7370000</v>
      </c>
      <c r="F25" s="59">
        <f>MAX('50% Equity Scenario'!Q66:AB66)</f>
        <v>4161917.4831216065</v>
      </c>
      <c r="G25" s="59">
        <f>MAX('50% Equity Scenario'!AC66:AN66)</f>
        <v>1222278.1910553984</v>
      </c>
      <c r="H25" s="59">
        <f>MAX('50% Equity Scenario'!AO66:AZ66)</f>
        <v>0</v>
      </c>
      <c r="I25" s="59">
        <f>MAX('50% Equity Scenario'!BA66:BL66)</f>
        <v>0</v>
      </c>
      <c r="J25" s="59">
        <f>SUM('50% Equity Scenario'!BM66:BX66)</f>
        <v>0</v>
      </c>
      <c r="K25" s="59">
        <f>SUM('50% Equity Scenario'!BY66:CJ66)</f>
        <v>0</v>
      </c>
      <c r="L25" s="59">
        <f>SUM('50% Equity Scenario'!CK66:CV66)</f>
        <v>0</v>
      </c>
      <c r="M25" s="59">
        <f>SUM('50% Equity Scenario'!CW66:DH66)</f>
        <v>0</v>
      </c>
      <c r="N25" s="59">
        <f>SUM('50% Equity Scenario'!DI66:DT66)</f>
        <v>0</v>
      </c>
      <c r="O25" s="60">
        <f>'50% Equity Scenario'!DU66</f>
        <v>0</v>
      </c>
    </row>
    <row r="26" spans="1:15" s="13" customFormat="1" ht="3.6" customHeight="1" x14ac:dyDescent="0.4">
      <c r="B26" s="114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x14ac:dyDescent="0.4">
      <c r="B27" s="94" t="s">
        <v>38</v>
      </c>
      <c r="C27" s="19" t="s">
        <v>107</v>
      </c>
      <c r="D27" s="19"/>
      <c r="E27" s="20">
        <f>'50% Equity Scenario'!P58</f>
        <v>-3665960.983985858</v>
      </c>
      <c r="F27" s="20">
        <f>'50% Equity Scenario'!AB58</f>
        <v>-298203.16091832554</v>
      </c>
      <c r="G27" s="20">
        <f>'50% Equity Scenario'!AN58</f>
        <v>2683310.0956718908</v>
      </c>
      <c r="H27" s="20">
        <f>'50% Equity Scenario'!AZ58</f>
        <v>5322876.7647283506</v>
      </c>
      <c r="I27" s="20">
        <f>'50% Equity Scenario'!BL58</f>
        <v>7659714.3370562755</v>
      </c>
      <c r="J27" s="20">
        <f>'50% Equity Scenario'!BX58</f>
        <v>9728542.4911091123</v>
      </c>
      <c r="K27" s="20">
        <f>'50% Equity Scenario'!CJ58</f>
        <v>11560098.942308219</v>
      </c>
      <c r="L27" s="20">
        <f>'50% Equity Scenario'!CV58</f>
        <v>13181596.130152173</v>
      </c>
      <c r="M27" s="20">
        <f>'50% Equity Scenario'!DH58</f>
        <v>14617125.528366731</v>
      </c>
      <c r="N27" s="20">
        <f>'50% Equity Scenario'!DT58</f>
        <v>15888015.585153289</v>
      </c>
      <c r="O27" s="95">
        <f>'50% Equity Scenario'!DU58</f>
        <v>16488585.597820943</v>
      </c>
    </row>
    <row r="28" spans="1:15" ht="13.5" thickBot="1" x14ac:dyDescent="0.45">
      <c r="B28" s="29" t="s">
        <v>37</v>
      </c>
      <c r="C28" s="117" t="s">
        <v>125</v>
      </c>
      <c r="D28" s="117"/>
      <c r="E28" s="118">
        <f>'50% Equity Scenario'!P61</f>
        <v>0</v>
      </c>
      <c r="F28" s="118">
        <f>'50% Equity Scenario'!AB61</f>
        <v>0</v>
      </c>
      <c r="G28" s="118">
        <f>'50% Equity Scenario'!AN61</f>
        <v>1454059.9815643465</v>
      </c>
      <c r="H28" s="118">
        <f>'50% Equity Scenario'!AZ61</f>
        <v>4093626.650620806</v>
      </c>
      <c r="I28" s="118">
        <f>'50% Equity Scenario'!BL61</f>
        <v>6430464.2229487309</v>
      </c>
      <c r="J28" s="118">
        <f>'50% Equity Scenario'!BX61</f>
        <v>8499292.3770015705</v>
      </c>
      <c r="K28" s="118">
        <f>'50% Equity Scenario'!CJ61</f>
        <v>10330848.828200677</v>
      </c>
      <c r="L28" s="118">
        <f>'50% Equity Scenario'!CV61</f>
        <v>11952346.016044632</v>
      </c>
      <c r="M28" s="118">
        <f>'50% Equity Scenario'!DH61</f>
        <v>13387875.41425919</v>
      </c>
      <c r="N28" s="118">
        <f>'50% Equity Scenario'!DT61</f>
        <v>14658765.471045746</v>
      </c>
      <c r="O28" s="119">
        <f>'50% Equity Scenario'!DU61</f>
        <v>15259335.4837134</v>
      </c>
    </row>
    <row r="29" spans="1:15" x14ac:dyDescent="0.4"/>
    <row r="30" spans="1:15" ht="13.5" thickBot="1" x14ac:dyDescent="0.45">
      <c r="D30" s="13">
        <v>0</v>
      </c>
      <c r="E30" s="13">
        <f>D30+1</f>
        <v>1</v>
      </c>
      <c r="F30" s="13">
        <f t="shared" ref="F30:O30" si="2">E30+1</f>
        <v>2</v>
      </c>
      <c r="G30" s="13">
        <f t="shared" si="2"/>
        <v>3</v>
      </c>
      <c r="H30" s="13">
        <f t="shared" si="2"/>
        <v>4</v>
      </c>
      <c r="I30" s="13">
        <f t="shared" si="2"/>
        <v>5</v>
      </c>
      <c r="J30" s="13">
        <f t="shared" si="2"/>
        <v>6</v>
      </c>
      <c r="K30" s="13">
        <f t="shared" si="2"/>
        <v>7</v>
      </c>
      <c r="L30" s="13">
        <f t="shared" si="2"/>
        <v>8</v>
      </c>
      <c r="M30" s="13">
        <f t="shared" si="2"/>
        <v>9</v>
      </c>
      <c r="N30" s="13">
        <f t="shared" si="2"/>
        <v>10</v>
      </c>
      <c r="O30" s="13">
        <f t="shared" si="2"/>
        <v>11</v>
      </c>
    </row>
    <row r="31" spans="1:15" ht="13.5" thickBot="1" x14ac:dyDescent="0.45">
      <c r="C31" s="4" t="s">
        <v>90</v>
      </c>
      <c r="E31" s="16" t="s">
        <v>40</v>
      </c>
      <c r="F31" s="17" t="s">
        <v>41</v>
      </c>
      <c r="G31" s="17" t="s">
        <v>42</v>
      </c>
      <c r="H31" s="17" t="s">
        <v>43</v>
      </c>
      <c r="I31" s="17" t="s">
        <v>44</v>
      </c>
      <c r="J31" s="17" t="s">
        <v>45</v>
      </c>
      <c r="K31" s="17" t="s">
        <v>46</v>
      </c>
      <c r="L31" s="17" t="s">
        <v>47</v>
      </c>
      <c r="M31" s="17" t="s">
        <v>48</v>
      </c>
      <c r="N31" s="17" t="s">
        <v>49</v>
      </c>
      <c r="O31" s="18" t="s">
        <v>57</v>
      </c>
    </row>
    <row r="32" spans="1:15" ht="4.05" customHeight="1" thickBot="1" x14ac:dyDescent="0.45"/>
    <row r="33" spans="3:15" x14ac:dyDescent="0.4">
      <c r="C33" s="160" t="s">
        <v>98</v>
      </c>
      <c r="D33" s="26">
        <f>'50% Equity Scenario'!D58</f>
        <v>-7470000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2"/>
    </row>
    <row r="34" spans="3:15" x14ac:dyDescent="0.4">
      <c r="C34" s="162" t="s">
        <v>99</v>
      </c>
      <c r="D34" s="59"/>
      <c r="E34" s="59">
        <f>'50% Equity Scenario'!K7*(1-Assumptions!$K$23)+'50% Equity Scenario'!K8*(1-Assumptions!$L$23)</f>
        <v>0</v>
      </c>
      <c r="F34" s="59">
        <f>'50% Equity Scenario'!Q7*(1-Assumptions!$K$23)+'50% Equity Scenario'!Q8*(1-Assumptions!$L$23)</f>
        <v>0</v>
      </c>
      <c r="G34" s="59">
        <f>'50% Equity Scenario'!AC7*(1-Assumptions!$K$23)+'50% Equity Scenario'!AC8*(1-Assumptions!$L$23)</f>
        <v>0</v>
      </c>
      <c r="H34" s="59">
        <f>'50% Equity Scenario'!AO7*(1-Assumptions!$K$23)+'50% Equity Scenario'!AO8*(1-Assumptions!$L$23)</f>
        <v>0</v>
      </c>
      <c r="O34" s="42"/>
    </row>
    <row r="35" spans="3:15" x14ac:dyDescent="0.4">
      <c r="C35" s="161" t="s">
        <v>100</v>
      </c>
      <c r="D35" s="59">
        <f>-'50% Equity Scenario'!D66</f>
        <v>-7370000</v>
      </c>
      <c r="F35" s="59"/>
      <c r="G35" s="59"/>
      <c r="H35" s="59"/>
      <c r="O35" s="42"/>
    </row>
    <row r="36" spans="3:15" x14ac:dyDescent="0.4">
      <c r="C36" s="162" t="s">
        <v>101</v>
      </c>
      <c r="D36" s="59"/>
      <c r="F36" s="59">
        <f>'50% Equity Scenario'!Q7*(Assumptions!$K$23)+'50% Equity Scenario'!Q8*(Assumptions!$L$23)</f>
        <v>0</v>
      </c>
      <c r="G36" s="59">
        <f>'50% Equity Scenario'!AC7*(Assumptions!$K$23)+'50% Equity Scenario'!AC8*(Assumptions!$L$23)</f>
        <v>0</v>
      </c>
      <c r="H36" s="59">
        <f>'50% Equity Scenario'!AO7*(Assumptions!$K$23)+'50% Equity Scenario'!AO8*(Assumptions!$L$23)</f>
        <v>0</v>
      </c>
      <c r="O36" s="42"/>
    </row>
    <row r="37" spans="3:15" x14ac:dyDescent="0.4">
      <c r="C37" s="163" t="s">
        <v>104</v>
      </c>
      <c r="D37" s="15">
        <f>D33+D34+D35+D36</f>
        <v>-14840000</v>
      </c>
      <c r="E37" s="15">
        <f t="shared" ref="E37:O37" si="3">E33+E34+E35+E36</f>
        <v>0</v>
      </c>
      <c r="F37" s="15">
        <f t="shared" si="3"/>
        <v>0</v>
      </c>
      <c r="G37" s="15">
        <f t="shared" si="3"/>
        <v>0</v>
      </c>
      <c r="H37" s="15">
        <f t="shared" si="3"/>
        <v>0</v>
      </c>
      <c r="I37" s="15">
        <f t="shared" si="3"/>
        <v>0</v>
      </c>
      <c r="J37" s="15">
        <f t="shared" si="3"/>
        <v>0</v>
      </c>
      <c r="K37" s="15">
        <f t="shared" si="3"/>
        <v>0</v>
      </c>
      <c r="L37" s="15">
        <f t="shared" si="3"/>
        <v>0</v>
      </c>
      <c r="M37" s="15">
        <f t="shared" si="3"/>
        <v>0</v>
      </c>
      <c r="N37" s="15">
        <f t="shared" si="3"/>
        <v>0</v>
      </c>
      <c r="O37" s="113">
        <f t="shared" si="3"/>
        <v>0</v>
      </c>
    </row>
    <row r="38" spans="3:15" x14ac:dyDescent="0.4">
      <c r="C38" s="161" t="s">
        <v>102</v>
      </c>
      <c r="D38" s="59"/>
      <c r="E38" s="59">
        <f>-E17</f>
        <v>841119.76302553958</v>
      </c>
      <c r="F38" s="59">
        <f t="shared" ref="F38:O38" si="4">-F17</f>
        <v>428396.72315399896</v>
      </c>
      <c r="G38" s="59">
        <f t="shared" si="4"/>
        <v>59733.627928004535</v>
      </c>
      <c r="H38" s="59">
        <f t="shared" si="4"/>
        <v>0</v>
      </c>
      <c r="I38" s="59">
        <f t="shared" si="4"/>
        <v>0</v>
      </c>
      <c r="J38" s="59">
        <f t="shared" si="4"/>
        <v>0</v>
      </c>
      <c r="K38" s="59">
        <f t="shared" si="4"/>
        <v>0</v>
      </c>
      <c r="L38" s="59">
        <f t="shared" si="4"/>
        <v>0</v>
      </c>
      <c r="M38" s="59">
        <f t="shared" si="4"/>
        <v>0</v>
      </c>
      <c r="N38" s="59">
        <f t="shared" si="4"/>
        <v>0</v>
      </c>
      <c r="O38" s="60">
        <f t="shared" si="4"/>
        <v>0</v>
      </c>
    </row>
    <row r="39" spans="3:15" x14ac:dyDescent="0.4">
      <c r="C39" s="161" t="s">
        <v>103</v>
      </c>
      <c r="D39" s="59"/>
      <c r="E39" s="59">
        <f>-E18</f>
        <v>2962919.252988602</v>
      </c>
      <c r="F39" s="59">
        <f t="shared" ref="F39:O39" si="5">-F18</f>
        <v>2939361.0999135333</v>
      </c>
      <c r="G39" s="59">
        <f t="shared" si="5"/>
        <v>1467719.6470978649</v>
      </c>
      <c r="H39" s="59">
        <f t="shared" si="5"/>
        <v>0</v>
      </c>
      <c r="I39" s="59">
        <f t="shared" si="5"/>
        <v>0</v>
      </c>
      <c r="J39" s="59">
        <f t="shared" si="5"/>
        <v>0</v>
      </c>
      <c r="K39" s="59">
        <f t="shared" si="5"/>
        <v>0</v>
      </c>
      <c r="L39" s="59">
        <f t="shared" si="5"/>
        <v>0</v>
      </c>
      <c r="M39" s="59">
        <f t="shared" si="5"/>
        <v>0</v>
      </c>
      <c r="N39" s="59">
        <f t="shared" si="5"/>
        <v>0</v>
      </c>
      <c r="O39" s="60">
        <f t="shared" si="5"/>
        <v>0</v>
      </c>
    </row>
    <row r="40" spans="3:15" x14ac:dyDescent="0.4">
      <c r="C40" s="28" t="s">
        <v>105</v>
      </c>
      <c r="E40" s="3">
        <f t="shared" ref="E40:O40" si="6">-E21</f>
        <v>3804039.016014142</v>
      </c>
      <c r="F40" s="3">
        <f t="shared" si="6"/>
        <v>3367757.8230675329</v>
      </c>
      <c r="G40" s="3">
        <f t="shared" si="6"/>
        <v>2981513.2565902155</v>
      </c>
      <c r="H40" s="3">
        <f t="shared" si="6"/>
        <v>2639566.6690564579</v>
      </c>
      <c r="I40" s="3">
        <f t="shared" si="6"/>
        <v>2336837.5723279254</v>
      </c>
      <c r="J40" s="3">
        <f t="shared" si="6"/>
        <v>2068828.1540528382</v>
      </c>
      <c r="K40" s="3">
        <f t="shared" si="6"/>
        <v>1831556.4511991071</v>
      </c>
      <c r="L40" s="3">
        <f t="shared" si="6"/>
        <v>1621497.1878439509</v>
      </c>
      <c r="M40" s="3">
        <f t="shared" si="6"/>
        <v>1435529.3982145551</v>
      </c>
      <c r="N40" s="3">
        <f t="shared" si="6"/>
        <v>1270890.0567865581</v>
      </c>
      <c r="O40" s="120">
        <f t="shared" si="6"/>
        <v>600570.01266765466</v>
      </c>
    </row>
    <row r="41" spans="3:15" ht="13.5" thickBot="1" x14ac:dyDescent="0.45">
      <c r="C41" s="164" t="s">
        <v>106</v>
      </c>
      <c r="D41" s="11"/>
      <c r="E41" s="168">
        <f>SUM(E38:E40)</f>
        <v>7608078.0320282839</v>
      </c>
      <c r="F41" s="168">
        <f t="shared" ref="F41:O41" si="7">SUM(F38:F40)</f>
        <v>6735515.6461350657</v>
      </c>
      <c r="G41" s="168">
        <f t="shared" si="7"/>
        <v>4508966.5316160852</v>
      </c>
      <c r="H41" s="168">
        <f t="shared" si="7"/>
        <v>2639566.6690564579</v>
      </c>
      <c r="I41" s="168">
        <f t="shared" si="7"/>
        <v>2336837.5723279254</v>
      </c>
      <c r="J41" s="168">
        <f t="shared" si="7"/>
        <v>2068828.1540528382</v>
      </c>
      <c r="K41" s="168">
        <f t="shared" si="7"/>
        <v>1831556.4511991071</v>
      </c>
      <c r="L41" s="168">
        <f t="shared" si="7"/>
        <v>1621497.1878439509</v>
      </c>
      <c r="M41" s="168">
        <f t="shared" si="7"/>
        <v>1435529.3982145551</v>
      </c>
      <c r="N41" s="168">
        <f t="shared" si="7"/>
        <v>1270890.0567865581</v>
      </c>
      <c r="O41" s="169">
        <f t="shared" si="7"/>
        <v>600570.01266765466</v>
      </c>
    </row>
    <row r="42" spans="3:15" ht="13.5" thickBot="1" x14ac:dyDescent="0.45">
      <c r="C42" s="165" t="s">
        <v>53</v>
      </c>
      <c r="D42" s="166">
        <f>D37+D41</f>
        <v>-14840000</v>
      </c>
      <c r="E42" s="166">
        <f t="shared" ref="E42:O42" si="8">E37+E41</f>
        <v>7608078.0320282839</v>
      </c>
      <c r="F42" s="166">
        <f t="shared" si="8"/>
        <v>6735515.6461350657</v>
      </c>
      <c r="G42" s="166">
        <f t="shared" si="8"/>
        <v>4508966.5316160852</v>
      </c>
      <c r="H42" s="166">
        <f t="shared" si="8"/>
        <v>2639566.6690564579</v>
      </c>
      <c r="I42" s="166">
        <f t="shared" si="8"/>
        <v>2336837.5723279254</v>
      </c>
      <c r="J42" s="166">
        <f t="shared" si="8"/>
        <v>2068828.1540528382</v>
      </c>
      <c r="K42" s="166">
        <f t="shared" si="8"/>
        <v>1831556.4511991071</v>
      </c>
      <c r="L42" s="166">
        <f t="shared" si="8"/>
        <v>1621497.1878439509</v>
      </c>
      <c r="M42" s="166">
        <f t="shared" si="8"/>
        <v>1435529.3982145551</v>
      </c>
      <c r="N42" s="166">
        <f t="shared" si="8"/>
        <v>1270890.0567865581</v>
      </c>
      <c r="O42" s="167">
        <f t="shared" si="8"/>
        <v>600570.01266765466</v>
      </c>
    </row>
    <row r="43" spans="3:15" x14ac:dyDescent="0.4"/>
    <row r="44" spans="3:15" ht="13.5" thickBot="1" x14ac:dyDescent="0.45">
      <c r="C44" s="4" t="s">
        <v>90</v>
      </c>
    </row>
    <row r="45" spans="3:15" ht="15.75" x14ac:dyDescent="0.5">
      <c r="C45" s="23" t="s">
        <v>56</v>
      </c>
      <c r="D45" s="153">
        <f>O27</f>
        <v>16488585.597820943</v>
      </c>
      <c r="F45" s="3"/>
      <c r="G45" s="3"/>
      <c r="H45"/>
      <c r="I45"/>
      <c r="J45"/>
      <c r="K45"/>
      <c r="L45"/>
      <c r="M45"/>
      <c r="N45"/>
    </row>
    <row r="46" spans="3:15" ht="15.75" x14ac:dyDescent="0.5">
      <c r="C46" s="35" t="s">
        <v>108</v>
      </c>
      <c r="D46" s="157">
        <f>SUM(D35:O36,E38:O39)</f>
        <v>1329250.1141075438</v>
      </c>
      <c r="F46" s="3"/>
      <c r="G46" s="3"/>
      <c r="H46"/>
      <c r="I46"/>
      <c r="J46"/>
      <c r="K46"/>
      <c r="L46"/>
      <c r="M46"/>
      <c r="N46"/>
    </row>
    <row r="47" spans="3:15" ht="15.75" x14ac:dyDescent="0.5">
      <c r="C47" s="170" t="s">
        <v>53</v>
      </c>
      <c r="D47" s="171">
        <f>SUM(D45:D46)</f>
        <v>17817835.711928487</v>
      </c>
      <c r="F47" s="3" t="s">
        <v>76</v>
      </c>
      <c r="G47" s="3"/>
      <c r="H47"/>
      <c r="I47"/>
      <c r="J47"/>
      <c r="K47"/>
      <c r="L47"/>
      <c r="M47"/>
      <c r="N47"/>
    </row>
    <row r="48" spans="3:15" ht="15.75" x14ac:dyDescent="0.5">
      <c r="C48" s="35" t="s">
        <v>54</v>
      </c>
      <c r="D48" s="152">
        <f>IRR(D42:O42)</f>
        <v>0.29221804343211577</v>
      </c>
      <c r="F48" s="62"/>
      <c r="G48" s="3"/>
      <c r="H48"/>
      <c r="I48"/>
      <c r="J48"/>
      <c r="K48"/>
      <c r="L48"/>
      <c r="M48"/>
      <c r="N48"/>
    </row>
    <row r="49" spans="3:15" ht="15.75" x14ac:dyDescent="0.5">
      <c r="C49" s="35" t="s">
        <v>124</v>
      </c>
      <c r="D49" s="175">
        <f>LOOKUP(0,D59:O59,D30:O30-D59:O59/E42:O42)</f>
        <v>2.1100931484755843</v>
      </c>
      <c r="F49" s="62"/>
      <c r="G49" s="3"/>
      <c r="H49"/>
      <c r="I49"/>
      <c r="J49"/>
      <c r="K49"/>
      <c r="L49"/>
      <c r="M49"/>
      <c r="N49"/>
    </row>
    <row r="50" spans="3:15" ht="16.149999999999999" thickBot="1" x14ac:dyDescent="0.55000000000000004">
      <c r="C50" s="24" t="s">
        <v>55</v>
      </c>
      <c r="D50" s="25">
        <f>(O27-D33+SUM(E38:O39))/-D42</f>
        <v>2.2006627838226742</v>
      </c>
      <c r="F50" s="3"/>
      <c r="H50"/>
      <c r="I50"/>
      <c r="J50"/>
      <c r="K50"/>
      <c r="L50"/>
      <c r="M50"/>
      <c r="N50"/>
    </row>
    <row r="51" spans="3:15" ht="15.75" x14ac:dyDescent="0.5">
      <c r="H51"/>
      <c r="I51"/>
      <c r="J51"/>
      <c r="K51"/>
      <c r="L51"/>
      <c r="M51"/>
      <c r="N51"/>
    </row>
    <row r="52" spans="3:15" ht="16.149999999999999" thickBot="1" x14ac:dyDescent="0.55000000000000004">
      <c r="C52" s="4" t="s">
        <v>87</v>
      </c>
      <c r="H52"/>
      <c r="I52"/>
      <c r="J52"/>
      <c r="K52"/>
      <c r="L52"/>
      <c r="M52"/>
      <c r="N52"/>
    </row>
    <row r="53" spans="3:15" ht="15.75" x14ac:dyDescent="0.5">
      <c r="C53" s="23" t="s">
        <v>56</v>
      </c>
      <c r="D53" s="153">
        <f>O28</f>
        <v>15259335.4837134</v>
      </c>
      <c r="H53"/>
      <c r="I53"/>
      <c r="J53"/>
      <c r="K53"/>
      <c r="L53"/>
      <c r="M53"/>
      <c r="N53"/>
    </row>
    <row r="54" spans="3:15" ht="15.75" x14ac:dyDescent="0.5">
      <c r="C54" s="35" t="s">
        <v>93</v>
      </c>
      <c r="D54" s="157">
        <f>-SUM(E16:O16)</f>
        <v>0</v>
      </c>
      <c r="H54"/>
      <c r="I54"/>
      <c r="J54"/>
      <c r="K54"/>
      <c r="L54"/>
      <c r="M54"/>
      <c r="N54"/>
    </row>
    <row r="55" spans="3:15" ht="16.149999999999999" thickBot="1" x14ac:dyDescent="0.55000000000000004">
      <c r="C55" s="158" t="s">
        <v>53</v>
      </c>
      <c r="D55" s="159">
        <f>SUM(D53:D54)</f>
        <v>15259335.4837134</v>
      </c>
      <c r="H55"/>
      <c r="I55"/>
      <c r="J55"/>
      <c r="K55"/>
      <c r="L55"/>
      <c r="M55"/>
      <c r="N55"/>
    </row>
    <row r="56" spans="3:15" ht="15.75" x14ac:dyDescent="0.5">
      <c r="H56"/>
      <c r="I56"/>
      <c r="J56"/>
      <c r="K56"/>
      <c r="L56"/>
      <c r="M56"/>
      <c r="N56"/>
    </row>
    <row r="57" spans="3:15" hidden="1" x14ac:dyDescent="0.4">
      <c r="J57" s="5"/>
      <c r="K57" s="5"/>
    </row>
    <row r="58" spans="3:15" x14ac:dyDescent="0.4"/>
    <row r="59" spans="3:15" x14ac:dyDescent="0.4">
      <c r="C59" s="1" t="s">
        <v>128</v>
      </c>
      <c r="D59" s="3">
        <f>D42</f>
        <v>-14840000</v>
      </c>
      <c r="E59" s="3">
        <f>D59+E42</f>
        <v>-7231921.9679717161</v>
      </c>
      <c r="F59" s="3">
        <f t="shared" ref="F59:O59" si="9">E59+F42</f>
        <v>-496406.32183665037</v>
      </c>
      <c r="G59" s="3">
        <f t="shared" si="9"/>
        <v>4012560.2097794348</v>
      </c>
      <c r="H59" s="3">
        <f t="shared" si="9"/>
        <v>6652126.8788358923</v>
      </c>
      <c r="I59" s="3">
        <f t="shared" si="9"/>
        <v>8988964.4511638172</v>
      </c>
      <c r="J59" s="3">
        <f t="shared" si="9"/>
        <v>11057792.605216656</v>
      </c>
      <c r="K59" s="3">
        <f t="shared" si="9"/>
        <v>12889349.056415763</v>
      </c>
      <c r="L59" s="3">
        <f t="shared" si="9"/>
        <v>14510846.244259713</v>
      </c>
      <c r="M59" s="3">
        <f t="shared" si="9"/>
        <v>15946375.642474268</v>
      </c>
      <c r="N59" s="3">
        <f t="shared" si="9"/>
        <v>17217265.699260827</v>
      </c>
      <c r="O59" s="3">
        <f t="shared" si="9"/>
        <v>17817835.711928483</v>
      </c>
    </row>
    <row r="64" spans="3:15" hidden="1" x14ac:dyDescent="0.4">
      <c r="H64" s="3"/>
      <c r="J64" s="3"/>
      <c r="K64" s="3"/>
    </row>
    <row r="65" x14ac:dyDescent="0.4"/>
    <row r="66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Dynamic Comparison</vt:lpstr>
      <vt:lpstr>Static Scenarios</vt:lpstr>
      <vt:lpstr>Assumptions</vt:lpstr>
      <vt:lpstr>All Equity Scenario</vt:lpstr>
      <vt:lpstr>Summary (All Equity)</vt:lpstr>
      <vt:lpstr>50% Equity Scenario</vt:lpstr>
      <vt:lpstr>Summary (50% Equity)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Flicker</dc:creator>
  <cp:lastModifiedBy>Colton Moraine</cp:lastModifiedBy>
  <dcterms:created xsi:type="dcterms:W3CDTF">2025-07-10T17:58:02Z</dcterms:created>
  <dcterms:modified xsi:type="dcterms:W3CDTF">2025-12-16T20:36:28Z</dcterms:modified>
</cp:coreProperties>
</file>