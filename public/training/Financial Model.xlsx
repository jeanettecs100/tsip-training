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800"/>
  </bookViews>
  <sheets>
    <sheet r:id="rId1" name="Model Template" sheetId="1"/>
  </sheets>
  <definedNames>
    <definedName name="____key2">#REF!</definedName>
    <definedName name="____new2">#REF!</definedName>
    <definedName name="____qtr2">#REF!</definedName>
    <definedName name="___123456Graph_DGLXTHER">#REF!</definedName>
    <definedName name="__10__123Graph_LBL_ACHART_3">#REF!</definedName>
    <definedName name="__11__123Graph_LBL_DCHART_1">#REF!</definedName>
    <definedName name="__123Graph_A">#REF!</definedName>
    <definedName name="__123Graph_ACOMMISSION">#REF!</definedName>
    <definedName name="__123Graph_ACOMPANYMAT">#REF!</definedName>
    <definedName name="__123Graph_AGLXMARG">#REF!</definedName>
    <definedName name="__123Graph_AGLXTHER">#REF!</definedName>
    <definedName name="__123Graph_AGRAPH1">#REF!</definedName>
    <definedName name="__123Graph_AGRAPH2">#REF!</definedName>
    <definedName name="__123Graph_AINC2">#REF!</definedName>
    <definedName name="__123Graph_AINC3">#REF!</definedName>
    <definedName name="__123Graph_ARENTROLL">#REF!</definedName>
    <definedName name="__123Graph_B">#REF!</definedName>
    <definedName name="__123Graph_BCOMMISSION">#REF!</definedName>
    <definedName name="__123Graph_BGLXMARG">#REF!</definedName>
    <definedName name="__123Graph_BGLXTHER">#REF!</definedName>
    <definedName name="__123Graph_BGRAPH1">#REF!</definedName>
    <definedName name="__123Graph_BINC2">#REF!</definedName>
    <definedName name="__123Graph_BRENTROLL">#REF!</definedName>
    <definedName name="__123Graph_C">#REF!</definedName>
    <definedName name="__123Graph_CGLXMARG">#REF!</definedName>
    <definedName name="__123Graph_CGLXTHER">#REF!</definedName>
    <definedName name="__123Graph_CGRAPH1">#REF!</definedName>
    <definedName name="__123Graph_CGRAPH3">#REF!</definedName>
    <definedName name="__123Graph_CINC2">#REF!</definedName>
    <definedName name="__123Graph_cinc2_1">#REF!</definedName>
    <definedName name="__123Graph_D">#REF!</definedName>
    <definedName name="__123Graph_DGLXMARG">#REF!</definedName>
    <definedName name="__123Graph_DGLXTHER">#REF!</definedName>
    <definedName name="__123Graph_DGLXTHER_V1">#REF!</definedName>
    <definedName name="__123Graph_DGRAPH1">#REF!</definedName>
    <definedName name="__123Graph_DGRAPH3">#REF!</definedName>
    <definedName name="__123Graph_DINC2">#REF!</definedName>
    <definedName name="__123Graph_E">#REF!</definedName>
    <definedName name="__123Graph_EGLXMARG">#REF!</definedName>
    <definedName name="__123Graph_EGLXMARG1">#REF!</definedName>
    <definedName name="__123Graph_EGLXMARG2">#REF!</definedName>
    <definedName name="__123Graph_EGLXTHER">#REF!</definedName>
    <definedName name="__123Graph_EGLXTHER1">#REF!</definedName>
    <definedName name="__123Graph_EGLXTHER2">#REF!</definedName>
    <definedName name="__123Graph_EINC2">#REF!</definedName>
    <definedName name="__123Graph_F">#REF!</definedName>
    <definedName name="__123Graph_F1">#REF!</definedName>
    <definedName name="__123Graph_FGLXMARG">#REF!</definedName>
    <definedName name="__123Graph_FGLXTHER">#REF!</definedName>
    <definedName name="__123Graph_LBL_AGRAPH1">#REF!</definedName>
    <definedName name="__123Graph_LBL_AGRAPH2">#REF!</definedName>
    <definedName name="__123Graph_LBL_BGRAPH1">#REF!</definedName>
    <definedName name="__123Graph_LBL_CGRAPH1">#REF!</definedName>
    <definedName name="__123Graph_LBL_CGRAPH3">#REF!</definedName>
    <definedName name="__123Graph_LBL_DGRAPH1">#REF!</definedName>
    <definedName name="__123Graph_LBL_DGRAPH3">#REF!</definedName>
    <definedName name="__123Graph_X">#REF!</definedName>
    <definedName name="__123Graph_X1">#REF!</definedName>
    <definedName name="__123Graph_XGLXMARG">#REF!</definedName>
    <definedName name="__123Graph_XGLXMARG1">#REF!</definedName>
    <definedName name="__123Graph_XGLXTHER">#REF!</definedName>
    <definedName name="__123Graph_XGLXTHER2">#REF!</definedName>
    <definedName name="__123Graph_XGRAPH1">#REF!</definedName>
    <definedName name="__123Graph_XGRAPH2">#REF!</definedName>
    <definedName name="__123Graph_XGRAPH3">#REF!</definedName>
    <definedName name="__123Graph_XINC3">#REF!</definedName>
    <definedName name="__14_0_0Cwvu.GREY_A">#REF!</definedName>
    <definedName name="__4__123Graph_ACHART_1">#REF!</definedName>
    <definedName name="__5__123Graph_ACHART_3">#REF!</definedName>
    <definedName name="__6__123Graph_BCHART_1">#REF!</definedName>
    <definedName name="__7__123Graph_BCHART_3">#REF!</definedName>
    <definedName name="__8__123Graph_DCHART_1">#REF!</definedName>
    <definedName name="__9__123Graph_LBL_ACHART_1">#REF!</definedName>
    <definedName name="__FDS_HYPERLINK_TOGGLE_STATE__">"ON"</definedName>
    <definedName name="__FDS_UNIQUE_RANGE_ID_GENERATOR_COUNTER">4</definedName>
    <definedName name="__fy97">{#N/A,#N/A,FALSE,"FY97";#N/A,#N/A,FALSE,"FY98";#N/A,#N/A,FALSE,"FY99";#N/A,#N/A,FALSE,"FY00";#N/A,#N/A,FALSE,"FY01"}</definedName>
    <definedName name="__fy97_1">{#N/A,#N/A,FALSE,"FY97";#N/A,#N/A,FALSE,"FY98";#N/A,#N/A,FALSE,"FY99";#N/A,#N/A,FALSE,"FY00";#N/A,#N/A,FALSE,"FY01"}</definedName>
    <definedName name="__fy97_1_1">{#N/A,#N/A,FALSE,"FY97";#N/A,#N/A,FALSE,"FY98";#N/A,#N/A,FALSE,"FY99";#N/A,#N/A,FALSE,"FY00";#N/A,#N/A,FALSE,"FY01"}</definedName>
    <definedName name="__fy97_1_1_1">{#N/A,#N/A,FALSE,"FY97";#N/A,#N/A,FALSE,"FY98";#N/A,#N/A,FALSE,"FY99";#N/A,#N/A,FALSE,"FY00";#N/A,#N/A,FALSE,"FY01"}</definedName>
    <definedName name="__fy97_1_2">{#N/A,#N/A,FALSE,"FY97";#N/A,#N/A,FALSE,"FY98";#N/A,#N/A,FALSE,"FY99";#N/A,#N/A,FALSE,"FY00";#N/A,#N/A,FALSE,"FY01"}</definedName>
    <definedName name="__fy97_2">{#N/A,#N/A,FALSE,"FY97";#N/A,#N/A,FALSE,"FY98";#N/A,#N/A,FALSE,"FY99";#N/A,#N/A,FALSE,"FY00";#N/A,#N/A,FALSE,"FY01"}</definedName>
    <definedName name="__fy97_2_1">{#N/A,#N/A,FALSE,"FY97";#N/A,#N/A,FALSE,"FY98";#N/A,#N/A,FALSE,"FY99";#N/A,#N/A,FALSE,"FY00";#N/A,#N/A,FALSE,"FY01"}</definedName>
    <definedName name="__fy97_3">{#N/A,#N/A,FALSE,"FY97";#N/A,#N/A,FALSE,"FY98";#N/A,#N/A,FALSE,"FY99";#N/A,#N/A,FALSE,"FY00";#N/A,#N/A,FALSE,"FY01"}</definedName>
    <definedName name="__fy97_3_1">{#N/A,#N/A,FALSE,"FY97";#N/A,#N/A,FALSE,"FY98";#N/A,#N/A,FALSE,"FY99";#N/A,#N/A,FALSE,"FY00";#N/A,#N/A,FALSE,"FY01"}</definedName>
    <definedName name="__fy97_4">{#N/A,#N/A,FALSE,"FY97";#N/A,#N/A,FALSE,"FY98";#N/A,#N/A,FALSE,"FY99";#N/A,#N/A,FALSE,"FY00";#N/A,#N/A,FALSE,"FY01"}</definedName>
    <definedName name="__fy97_4_1">{#N/A,#N/A,FALSE,"FY97";#N/A,#N/A,FALSE,"FY98";#N/A,#N/A,FALSE,"FY99";#N/A,#N/A,FALSE,"FY00";#N/A,#N/A,FALSE,"FY01"}</definedName>
    <definedName name="__glx1">#REF!</definedName>
    <definedName name="__key2">#REF!</definedName>
    <definedName name="__na2">{"FCB_ALL",#N/A,FALSE,"FCB";"GREY_ALL",#N/A,FALSE,"GREY"}</definedName>
    <definedName name="__na2_1">{"FCB_ALL",#N/A,FALSE,"FCB";"GREY_ALL",#N/A,FALSE,"GREY"}</definedName>
    <definedName name="__na2_1_1">{"FCB_ALL",#N/A,FALSE,"FCB";"GREY_ALL",#N/A,FALSE,"GREY"}</definedName>
    <definedName name="__na2_1_1_1">{"FCB_ALL",#N/A,FALSE,"FCB";"GREY_ALL",#N/A,FALSE,"GREY"}</definedName>
    <definedName name="__na2_1_2">{"FCB_ALL",#N/A,FALSE,"FCB";"GREY_ALL",#N/A,FALSE,"GREY"}</definedName>
    <definedName name="__na2_2">{"FCB_ALL",#N/A,FALSE,"FCB";"GREY_ALL",#N/A,FALSE,"GREY"}</definedName>
    <definedName name="__na2_2_1">{"FCB_ALL",#N/A,FALSE,"FCB";"GREY_ALL",#N/A,FALSE,"GREY"}</definedName>
    <definedName name="__na2_3">{"FCB_ALL",#N/A,FALSE,"FCB";"GREY_ALL",#N/A,FALSE,"GREY"}</definedName>
    <definedName name="__na2_3_1">{"FCB_ALL",#N/A,FALSE,"FCB";"GREY_ALL",#N/A,FALSE,"GREY"}</definedName>
    <definedName name="__na2_4">{"FCB_ALL",#N/A,FALSE,"FCB";"GREY_ALL",#N/A,FALSE,"GREY"}</definedName>
    <definedName name="__na2_4_1">{"FCB_ALL",#N/A,FALSE,"FCB";"GREY_ALL",#N/A,FALSE,"GREY"}</definedName>
    <definedName name="__na3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na3_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na3_1_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na3_1_1_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na3_1_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na3_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na3_2_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na3_3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na3_3_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na3_4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na3_4_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new2">#REF!</definedName>
    <definedName name="__qtr2">#REF!</definedName>
    <definedName name="__r">{"consolidated",#N/A,FALSE,"Sheet1";"cms",#N/A,FALSE,"Sheet1";"fse",#N/A,FALSE,"Sheet1"}</definedName>
    <definedName name="__r_1">{"consolidated",#N/A,FALSE,"Sheet1";"cms",#N/A,FALSE,"Sheet1";"fse",#N/A,FALSE,"Sheet1"}</definedName>
    <definedName name="__r_1_1">{"consolidated",#N/A,FALSE,"Sheet1";"cms",#N/A,FALSE,"Sheet1";"fse",#N/A,FALSE,"Sheet1"}</definedName>
    <definedName name="__r_1_1_1">{"consolidated",#N/A,FALSE,"Sheet1";"cms",#N/A,FALSE,"Sheet1";"fse",#N/A,FALSE,"Sheet1"}</definedName>
    <definedName name="__r_1_2">{"consolidated",#N/A,FALSE,"Sheet1";"cms",#N/A,FALSE,"Sheet1";"fse",#N/A,FALSE,"Sheet1"}</definedName>
    <definedName name="__r_2">{"consolidated",#N/A,FALSE,"Sheet1";"cms",#N/A,FALSE,"Sheet1";"fse",#N/A,FALSE,"Sheet1"}</definedName>
    <definedName name="__r_2_1">{"consolidated",#N/A,FALSE,"Sheet1";"cms",#N/A,FALSE,"Sheet1";"fse",#N/A,FALSE,"Sheet1"}</definedName>
    <definedName name="__r_3">{"consolidated",#N/A,FALSE,"Sheet1";"cms",#N/A,FALSE,"Sheet1";"fse",#N/A,FALSE,"Sheet1"}</definedName>
    <definedName name="__r_3_1">{"consolidated",#N/A,FALSE,"Sheet1";"cms",#N/A,FALSE,"Sheet1";"fse",#N/A,FALSE,"Sheet1"}</definedName>
    <definedName name="__r_4">{"consolidated",#N/A,FALSE,"Sheet1";"cms",#N/A,FALSE,"Sheet1";"fse",#N/A,FALSE,"Sheet1"}</definedName>
    <definedName name="__r_4_1">{"consolidated",#N/A,FALSE,"Sheet1";"cms",#N/A,FALSE,"Sheet1";"fse",#N/A,FALSE,"Sheet1"}</definedName>
    <definedName name="__TBOct">#REF!</definedName>
    <definedName name="__TBOCT1">#REF!</definedName>
    <definedName name="__wrn1">{#N/A,#N/A,FALSE,"DCF";#N/A,#N/A,FALSE,"WACC";#N/A,#N/A,FALSE,"Sales_EBIT";#N/A,#N/A,FALSE,"Capex_Depreciation";#N/A,#N/A,FALSE,"WC";#N/A,#N/A,FALSE,"Interest";#N/A,#N/A,FALSE,"Assumptions"}</definedName>
    <definedName name="__wrn1_1">{#N/A,#N/A,FALSE,"DCF";#N/A,#N/A,FALSE,"WACC";#N/A,#N/A,FALSE,"Sales_EBIT";#N/A,#N/A,FALSE,"Capex_Depreciation";#N/A,#N/A,FALSE,"WC";#N/A,#N/A,FALSE,"Interest";#N/A,#N/A,FALSE,"Assumptions"}</definedName>
    <definedName name="__wrn1_1_1">{#N/A,#N/A,FALSE,"DCF";#N/A,#N/A,FALSE,"WACC";#N/A,#N/A,FALSE,"Sales_EBIT";#N/A,#N/A,FALSE,"Capex_Depreciation";#N/A,#N/A,FALSE,"WC";#N/A,#N/A,FALSE,"Interest";#N/A,#N/A,FALSE,"Assumptions"}</definedName>
    <definedName name="__wrn1_1_1_1">{#N/A,#N/A,FALSE,"DCF";#N/A,#N/A,FALSE,"WACC";#N/A,#N/A,FALSE,"Sales_EBIT";#N/A,#N/A,FALSE,"Capex_Depreciation";#N/A,#N/A,FALSE,"WC";#N/A,#N/A,FALSE,"Interest";#N/A,#N/A,FALSE,"Assumptions"}</definedName>
    <definedName name="__wrn1_1_2">{#N/A,#N/A,FALSE,"DCF";#N/A,#N/A,FALSE,"WACC";#N/A,#N/A,FALSE,"Sales_EBIT";#N/A,#N/A,FALSE,"Capex_Depreciation";#N/A,#N/A,FALSE,"WC";#N/A,#N/A,FALSE,"Interest";#N/A,#N/A,FALSE,"Assumptions"}</definedName>
    <definedName name="__wrn1_2">{#N/A,#N/A,FALSE,"DCF";#N/A,#N/A,FALSE,"WACC";#N/A,#N/A,FALSE,"Sales_EBIT";#N/A,#N/A,FALSE,"Capex_Depreciation";#N/A,#N/A,FALSE,"WC";#N/A,#N/A,FALSE,"Interest";#N/A,#N/A,FALSE,"Assumptions"}</definedName>
    <definedName name="__wrn1_2_1">{#N/A,#N/A,FALSE,"DCF";#N/A,#N/A,FALSE,"WACC";#N/A,#N/A,FALSE,"Sales_EBIT";#N/A,#N/A,FALSE,"Capex_Depreciation";#N/A,#N/A,FALSE,"WC";#N/A,#N/A,FALSE,"Interest";#N/A,#N/A,FALSE,"Assumptions"}</definedName>
    <definedName name="__wrn1_3">{#N/A,#N/A,FALSE,"DCF";#N/A,#N/A,FALSE,"WACC";#N/A,#N/A,FALSE,"Sales_EBIT";#N/A,#N/A,FALSE,"Capex_Depreciation";#N/A,#N/A,FALSE,"WC";#N/A,#N/A,FALSE,"Interest";#N/A,#N/A,FALSE,"Assumptions"}</definedName>
    <definedName name="__wrn1_3_1">{#N/A,#N/A,FALSE,"DCF";#N/A,#N/A,FALSE,"WACC";#N/A,#N/A,FALSE,"Sales_EBIT";#N/A,#N/A,FALSE,"Capex_Depreciation";#N/A,#N/A,FALSE,"WC";#N/A,#N/A,FALSE,"Interest";#N/A,#N/A,FALSE,"Assumptions"}</definedName>
    <definedName name="__wrn1_4">{#N/A,#N/A,FALSE,"DCF";#N/A,#N/A,FALSE,"WACC";#N/A,#N/A,FALSE,"Sales_EBIT";#N/A,#N/A,FALSE,"Capex_Depreciation";#N/A,#N/A,FALSE,"WC";#N/A,#N/A,FALSE,"Interest";#N/A,#N/A,FALSE,"Assumptions"}</definedName>
    <definedName name="__wrn1_4_1">{#N/A,#N/A,FALSE,"DCF";#N/A,#N/A,FALSE,"WACC";#N/A,#N/A,FALSE,"Sales_EBIT";#N/A,#N/A,FALSE,"Capex_Depreciation";#N/A,#N/A,FALSE,"WC";#N/A,#N/A,FALSE,"Interest";#N/A,#N/A,FALSE,"Assumptions"}</definedName>
    <definedName name="__wrn2">{#N/A,#N/A,FALSE,"ASSUMPTIONS";#N/A,#N/A,FALSE,"Valuation Summary";"page1",#N/A,FALSE,"PRESENTATION";"page2",#N/A,FALSE,"PRESENTATION";#N/A,#N/A,FALSE,"ORIGINAL_ROLLBACK"}</definedName>
    <definedName name="__wrn2_1">{#N/A,#N/A,FALSE,"ASSUMPTIONS";#N/A,#N/A,FALSE,"Valuation Summary";"page1",#N/A,FALSE,"PRESENTATION";"page2",#N/A,FALSE,"PRESENTATION";#N/A,#N/A,FALSE,"ORIGINAL_ROLLBACK"}</definedName>
    <definedName name="__wrn2_1_1">{#N/A,#N/A,FALSE,"ASSUMPTIONS";#N/A,#N/A,FALSE,"Valuation Summary";"page1",#N/A,FALSE,"PRESENTATION";"page2",#N/A,FALSE,"PRESENTATION";#N/A,#N/A,FALSE,"ORIGINAL_ROLLBACK"}</definedName>
    <definedName name="__wrn2_1_1_1">{#N/A,#N/A,FALSE,"ASSUMPTIONS";#N/A,#N/A,FALSE,"Valuation Summary";"page1",#N/A,FALSE,"PRESENTATION";"page2",#N/A,FALSE,"PRESENTATION";#N/A,#N/A,FALSE,"ORIGINAL_ROLLBACK"}</definedName>
    <definedName name="__wrn2_1_2">{#N/A,#N/A,FALSE,"ASSUMPTIONS";#N/A,#N/A,FALSE,"Valuation Summary";"page1",#N/A,FALSE,"PRESENTATION";"page2",#N/A,FALSE,"PRESENTATION";#N/A,#N/A,FALSE,"ORIGINAL_ROLLBACK"}</definedName>
    <definedName name="__wrn2_2">{#N/A,#N/A,FALSE,"ASSUMPTIONS";#N/A,#N/A,FALSE,"Valuation Summary";"page1",#N/A,FALSE,"PRESENTATION";"page2",#N/A,FALSE,"PRESENTATION";#N/A,#N/A,FALSE,"ORIGINAL_ROLLBACK"}</definedName>
    <definedName name="__wrn2_2_1">{#N/A,#N/A,FALSE,"ASSUMPTIONS";#N/A,#N/A,FALSE,"Valuation Summary";"page1",#N/A,FALSE,"PRESENTATION";"page2",#N/A,FALSE,"PRESENTATION";#N/A,#N/A,FALSE,"ORIGINAL_ROLLBACK"}</definedName>
    <definedName name="__wrn2_3">{#N/A,#N/A,FALSE,"ASSUMPTIONS";#N/A,#N/A,FALSE,"Valuation Summary";"page1",#N/A,FALSE,"PRESENTATION";"page2",#N/A,FALSE,"PRESENTATION";#N/A,#N/A,FALSE,"ORIGINAL_ROLLBACK"}</definedName>
    <definedName name="__wrn2_3_1">{#N/A,#N/A,FALSE,"ASSUMPTIONS";#N/A,#N/A,FALSE,"Valuation Summary";"page1",#N/A,FALSE,"PRESENTATION";"page2",#N/A,FALSE,"PRESENTATION";#N/A,#N/A,FALSE,"ORIGINAL_ROLLBACK"}</definedName>
    <definedName name="__wrn2_4">{#N/A,#N/A,FALSE,"ASSUMPTIONS";#N/A,#N/A,FALSE,"Valuation Summary";"page1",#N/A,FALSE,"PRESENTATION";"page2",#N/A,FALSE,"PRESENTATION";#N/A,#N/A,FALSE,"ORIGINAL_ROLLBACK"}</definedName>
    <definedName name="__wrn2_4_1">{#N/A,#N/A,FALSE,"ASSUMPTIONS";#N/A,#N/A,FALSE,"Valuation Summary";"page1",#N/A,FALSE,"PRESENTATION";"page2",#N/A,FALSE,"PRESENTATION";#N/A,#N/A,FALSE,"ORIGINAL_ROLLBACK"}</definedName>
    <definedName name="__wrn3">{#N/A,#N/A,FALSE,"ASSUMPTIONS";#N/A,#N/A,FALSE,"Valuation Summary";"page1",#N/A,FALSE,"PRESENTATION";"page2",#N/A,FALSE,"PRESENTATION";#N/A,#N/A,FALSE,"ORIGINAL_ROLLBACK"}</definedName>
    <definedName name="__wrn3_1">{#N/A,#N/A,FALSE,"ASSUMPTIONS";#N/A,#N/A,FALSE,"Valuation Summary";"page1",#N/A,FALSE,"PRESENTATION";"page2",#N/A,FALSE,"PRESENTATION";#N/A,#N/A,FALSE,"ORIGINAL_ROLLBACK"}</definedName>
    <definedName name="__wrn3_1_1">{#N/A,#N/A,FALSE,"ASSUMPTIONS";#N/A,#N/A,FALSE,"Valuation Summary";"page1",#N/A,FALSE,"PRESENTATION";"page2",#N/A,FALSE,"PRESENTATION";#N/A,#N/A,FALSE,"ORIGINAL_ROLLBACK"}</definedName>
    <definedName name="__wrn3_1_1_1">{#N/A,#N/A,FALSE,"ASSUMPTIONS";#N/A,#N/A,FALSE,"Valuation Summary";"page1",#N/A,FALSE,"PRESENTATION";"page2",#N/A,FALSE,"PRESENTATION";#N/A,#N/A,FALSE,"ORIGINAL_ROLLBACK"}</definedName>
    <definedName name="__wrn3_1_2">{#N/A,#N/A,FALSE,"ASSUMPTIONS";#N/A,#N/A,FALSE,"Valuation Summary";"page1",#N/A,FALSE,"PRESENTATION";"page2",#N/A,FALSE,"PRESENTATION";#N/A,#N/A,FALSE,"ORIGINAL_ROLLBACK"}</definedName>
    <definedName name="__wrn3_2">{#N/A,#N/A,FALSE,"ASSUMPTIONS";#N/A,#N/A,FALSE,"Valuation Summary";"page1",#N/A,FALSE,"PRESENTATION";"page2",#N/A,FALSE,"PRESENTATION";#N/A,#N/A,FALSE,"ORIGINAL_ROLLBACK"}</definedName>
    <definedName name="__wrn3_2_1">{#N/A,#N/A,FALSE,"ASSUMPTIONS";#N/A,#N/A,FALSE,"Valuation Summary";"page1",#N/A,FALSE,"PRESENTATION";"page2",#N/A,FALSE,"PRESENTATION";#N/A,#N/A,FALSE,"ORIGINAL_ROLLBACK"}</definedName>
    <definedName name="__wrn3_3">{#N/A,#N/A,FALSE,"ASSUMPTIONS";#N/A,#N/A,FALSE,"Valuation Summary";"page1",#N/A,FALSE,"PRESENTATION";"page2",#N/A,FALSE,"PRESENTATION";#N/A,#N/A,FALSE,"ORIGINAL_ROLLBACK"}</definedName>
    <definedName name="__wrn3_3_1">{#N/A,#N/A,FALSE,"ASSUMPTIONS";#N/A,#N/A,FALSE,"Valuation Summary";"page1",#N/A,FALSE,"PRESENTATION";"page2",#N/A,FALSE,"PRESENTATION";#N/A,#N/A,FALSE,"ORIGINAL_ROLLBACK"}</definedName>
    <definedName name="__wrn3_4">{#N/A,#N/A,FALSE,"ASSUMPTIONS";#N/A,#N/A,FALSE,"Valuation Summary";"page1",#N/A,FALSE,"PRESENTATION";"page2",#N/A,FALSE,"PRESENTATION";#N/A,#N/A,FALSE,"ORIGINAL_ROLLBACK"}</definedName>
    <definedName name="__wrn3_4_1">{#N/A,#N/A,FALSE,"ASSUMPTIONS";#N/A,#N/A,FALSE,"Valuation Summary";"page1",#N/A,FALSE,"PRESENTATION";"page2",#N/A,FALSE,"PRESENTATION";#N/A,#N/A,FALSE,"ORIGINAL_ROLLBACK"}</definedName>
    <definedName name="_1__FDSAUDITLINK__">{"fdsup://directions/FAT Viewer?action=UPDATE&amp;creator=factset&amp;DYN_ARGS=TRUE&amp;DOC_NAME=FAT:FQL_AUDITING_CLIENT_TEMPLATE.FAT&amp;display_string=Audit&amp;VAR:KEY=ORCLQNUDUV&amp;VAR:QUERY=RkZfREVCVChRVFIsNDEwNzEsLCwsVVNEKQ==&amp;WINDOW=FIRST_POPUP&amp;HEIGHT=450&amp;WIDTH=450&amp;START_MA","XIMIZED=FALSE&amp;VAR:CALENDAR=US&amp;VAR:SYMBOL=MASI&amp;VAR:INDEX=0"}</definedName>
    <definedName name="_1__FDSAUDITLINK___1">{"fdsup://directions/FAT Viewer?action=UPDATE&amp;creator=factset&amp;DYN_ARGS=TRUE&amp;DOC_NAME=FAT:FQL_AUDITING_CLIENT_TEMPLATE.FAT&amp;display_string=Audit&amp;VAR:KEY=ORCLQNUDUV&amp;VAR:QUERY=RkZfREVCVChRVFIsNDEwNzEsLCwsVVNEKQ==&amp;WINDOW=FIRST_POPUP&amp;HEIGHT=450&amp;WIDTH=450&amp;START_MA","XIMIZED=FALSE&amp;VAR:CALENDAR=US&amp;VAR:SYMBOL=MASI&amp;VAR:INDEX=0"}</definedName>
    <definedName name="_1__FDSAUDITLINK___1_1">{"fdsup://directions/FAT Viewer?action=UPDATE&amp;creator=factset&amp;DYN_ARGS=TRUE&amp;DOC_NAME=FAT:FQL_AUDITING_CLIENT_TEMPLATE.FAT&amp;display_string=Audit&amp;VAR:KEY=ORCLQNUDUV&amp;VAR:QUERY=RkZfREVCVChRVFIsNDEwNzEsLCwsVVNEKQ==&amp;WINDOW=FIRST_POPUP&amp;HEIGHT=450&amp;WIDTH=450&amp;START_MA","XIMIZED=FALSE&amp;VAR:CALENDAR=US&amp;VAR:SYMBOL=MASI&amp;VAR:INDEX=0"}</definedName>
    <definedName name="_1__FDSAUDITLINK___2">{"fdsup://directions/FAT Viewer?action=UPDATE&amp;creator=factset&amp;DYN_ARGS=TRUE&amp;DOC_NAME=FAT:FQL_AUDITING_CLIENT_TEMPLATE.FAT&amp;display_string=Audit&amp;VAR:KEY=ORCLQNUDUV&amp;VAR:QUERY=RkZfREVCVChRVFIsNDEwNzEsLCwsVVNEKQ==&amp;WINDOW=FIRST_POPUP&amp;HEIGHT=450&amp;WIDTH=450&amp;START_MA","XIMIZED=FALSE&amp;VAR:CALENDAR=US&amp;VAR:SYMBOL=MASI&amp;VAR:INDEX=0"}</definedName>
    <definedName name="_10__123Graph_BCHART_3">#REF!</definedName>
    <definedName name="_10__123Graph_LBL_ACHART_3">#REF!</definedName>
    <definedName name="_10__FDSAUDITLINK__">{"fdsup://IBCentral/FAT Viewer?action=UPDATE&amp;creator=factset&amp;DOC_NAME=fat:reuters_qtrly_source_window.fat&amp;display_string=Audit&amp;DYN_ARGS=TRUE&amp;VAR:ID1=90329340&amp;VAR:RCODE=STLD&amp;VAR:SDATE=20091299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__FDSAUDITLINK___1">{"fdsup://IBCentral/FAT Viewer?action=UPDATE&amp;creator=factset&amp;DOC_NAME=fat:reuters_qtrly_source_window.fat&amp;display_string=Audit&amp;DYN_ARGS=TRUE&amp;VAR:ID1=90329340&amp;VAR:RCODE=STLD&amp;VAR:SDATE=20091299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__FDSAUDITLINK___1_1">{"fdsup://IBCentral/FAT Viewer?action=UPDATE&amp;creator=factset&amp;DOC_NAME=fat:reuters_qtrly_source_window.fat&amp;display_string=Audit&amp;DYN_ARGS=TRUE&amp;VAR:ID1=90329340&amp;VAR:RCODE=STLD&amp;VAR:SDATE=20091299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__FDSAUDITLINK___2">{"fdsup://IBCentral/FAT Viewer?action=UPDATE&amp;creator=factset&amp;DOC_NAME=fat:reuters_qtrly_source_window.fat&amp;display_string=Audit&amp;DYN_ARGS=TRUE&amp;VAR:ID1=90329340&amp;VAR:RCODE=STLD&amp;VAR:SDATE=20091299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__123Graph_LBL_DCHART_1">#REF!</definedName>
    <definedName name="_11__FDSAUDITLINK__">{"fdsup://IBCentral/FAT Viewer?action=UPDATE&amp;creator=factset&amp;DOC_NAME=fat:reuters_qtrly_source_window.fat&amp;display_string=Audit&amp;DYN_ARGS=TRUE&amp;VAR:ID1=90329340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__FDSAUDITLINK___1">{"fdsup://IBCentral/FAT Viewer?action=UPDATE&amp;creator=factset&amp;DOC_NAME=fat:reuters_qtrly_source_window.fat&amp;display_string=Audit&amp;DYN_ARGS=TRUE&amp;VAR:ID1=90329340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__FDSAUDITLINK___1_1">{"fdsup://IBCentral/FAT Viewer?action=UPDATE&amp;creator=factset&amp;DOC_NAME=fat:reuters_qtrly_source_window.fat&amp;display_string=Audit&amp;DYN_ARGS=TRUE&amp;VAR:ID1=90329340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__FDSAUDITLINK___2">{"fdsup://IBCentral/FAT Viewer?action=UPDATE&amp;creator=factset&amp;DOC_NAME=fat:reuters_qtrly_source_window.fat&amp;display_string=Audit&amp;DYN_ARGS=TRUE&amp;VAR:ID1=90329340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__FDSAUDITLINK__">{"fdsup://IBCentral/FAT Viewer?action=UPDATE&amp;creator=factset&amp;DOC_NAME=fat:reuters_qtrly_source_window.fat&amp;display_string=Audit&amp;DYN_ARGS=TRUE&amp;VAR:ID1=90329340&amp;VAR:RCODE=SCS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_FDSAUDITLINK___1">{"fdsup://IBCentral/FAT Viewer?action=UPDATE&amp;creator=factset&amp;DOC_NAME=fat:reuters_qtrly_source_window.fat&amp;display_string=Audit&amp;DYN_ARGS=TRUE&amp;VAR:ID1=90329340&amp;VAR:RCODE=SCS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_FDSAUDITLINK___1_1">{"fdsup://IBCentral/FAT Viewer?action=UPDATE&amp;creator=factset&amp;DOC_NAME=fat:reuters_qtrly_source_window.fat&amp;display_string=Audit&amp;DYN_ARGS=TRUE&amp;VAR:ID1=90329340&amp;VAR:RCODE=SCS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_FDSAUDITLINK___2">{"fdsup://IBCentral/FAT Viewer?action=UPDATE&amp;creator=factset&amp;DOC_NAME=fat:reuters_qtrly_source_window.fat&amp;display_string=Audit&amp;DYN_ARGS=TRUE&amp;VAR:ID1=90329340&amp;VAR:RCODE=SCS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Graph_BB">#REF!</definedName>
    <definedName name="_13__FDSAUDITLINK__">{"fdsup://IBCentral/FAT Viewer?action=UPDATE&amp;creator=factset&amp;DOC_NAME=fat:reuters_qtrly_source_window.fat&amp;display_string=Audit&amp;DYN_ARGS=TRUE&amp;VAR:ID1=90329340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_1">{"fdsup://IBCentral/FAT Viewer?action=UPDATE&amp;creator=factset&amp;DOC_NAME=fat:reuters_qtrly_source_window.fat&amp;display_string=Audit&amp;DYN_ARGS=TRUE&amp;VAR:ID1=90329340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_1_1">{"fdsup://IBCentral/FAT Viewer?action=UPDATE&amp;creator=factset&amp;DOC_NAME=fat:reuters_qtrly_source_window.fat&amp;display_string=Audit&amp;DYN_ARGS=TRUE&amp;VAR:ID1=90329340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_2">{"fdsup://IBCentral/FAT Viewer?action=UPDATE&amp;creator=factset&amp;DOC_NAME=fat:reuters_qtrly_source_window.fat&amp;display_string=Audit&amp;DYN_ARGS=TRUE&amp;VAR:ID1=90329340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_123Graph_DCHART_1">#REF!</definedName>
    <definedName name="_14__FDSAUDITLINK__">{"fdsup://IBCentral/FAT Viewer?action=UPDATE&amp;creator=factset&amp;DOC_NAME=fat:reuters_qtrly_shs_src_window.fat&amp;display_string=Audit&amp;DYN_ARGS=TRUE&amp;VAR:ID1=90329340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__FDSAUDITLINK___1">{"fdsup://IBCentral/FAT Viewer?action=UPDATE&amp;creator=factset&amp;DOC_NAME=fat:reuters_qtrly_shs_src_window.fat&amp;display_string=Audit&amp;DYN_ARGS=TRUE&amp;VAR:ID1=90329340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__FDSAUDITLINK___1_1">{"fdsup://IBCentral/FAT Viewer?action=UPDATE&amp;creator=factset&amp;DOC_NAME=fat:reuters_qtrly_shs_src_window.fat&amp;display_string=Audit&amp;DYN_ARGS=TRUE&amp;VAR:ID1=90329340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__FDSAUDITLINK___2">{"fdsup://IBCentral/FAT Viewer?action=UPDATE&amp;creator=factset&amp;DOC_NAME=fat:reuters_qtrly_shs_src_window.fat&amp;display_string=Audit&amp;DYN_ARGS=TRUE&amp;VAR:ID1=90329340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_0_0Cwvu.GREY_A">#REF!</definedName>
    <definedName name="_15__FDSAUDITLINK__">{"fdsup://IBCentral/FAT Viewer?action=UPDATE&amp;creator=factset&amp;DOC_NAME=fat:reuters_qtrly_source_window.fat&amp;display_string=Audit&amp;DYN_ARGS=TRUE&amp;VAR:ID1=85461610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__FDSAUDITLINK___1">{"fdsup://IBCentral/FAT Viewer?action=UPDATE&amp;creator=factset&amp;DOC_NAME=fat:reuters_qtrly_source_window.fat&amp;display_string=Audit&amp;DYN_ARGS=TRUE&amp;VAR:ID1=85461610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__FDSAUDITLINK___1_1">{"fdsup://IBCentral/FAT Viewer?action=UPDATE&amp;creator=factset&amp;DOC_NAME=fat:reuters_qtrly_source_window.fat&amp;display_string=Audit&amp;DYN_ARGS=TRUE&amp;VAR:ID1=85461610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__FDSAUDITLINK___2">{"fdsup://IBCentral/FAT Viewer?action=UPDATE&amp;creator=factset&amp;DOC_NAME=fat:reuters_qtrly_source_window.fat&amp;display_string=Audit&amp;DYN_ARGS=TRUE&amp;VAR:ID1=85461610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__FDSAUDITLINK__">{"fdsup://IBCentral/FAT Viewer?action=UPDATE&amp;creator=factset&amp;DOC_NAME=fat:reuters_qtrly_source_window.fat&amp;display_string=Audit&amp;DYN_ARGS=TRUE&amp;VAR:ID1=60819010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_FDSAUDITLINK___1">{"fdsup://IBCentral/FAT Viewer?action=UPDATE&amp;creator=factset&amp;DOC_NAME=fat:reuters_qtrly_source_window.fat&amp;display_string=Audit&amp;DYN_ARGS=TRUE&amp;VAR:ID1=60819010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_FDSAUDITLINK___1_1">{"fdsup://IBCentral/FAT Viewer?action=UPDATE&amp;creator=factset&amp;DOC_NAME=fat:reuters_qtrly_source_window.fat&amp;display_string=Audit&amp;DYN_ARGS=TRUE&amp;VAR:ID1=60819010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_FDSAUDITLINK___2">{"fdsup://IBCentral/FAT Viewer?action=UPDATE&amp;creator=factset&amp;DOC_NAME=fat:reuters_qtrly_source_window.fat&amp;display_string=Audit&amp;DYN_ARGS=TRUE&amp;VAR:ID1=60819010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_FDSAUDITLINK__">{"fdsup://IBCentral/FAT Viewer?action=UPDATE&amp;creator=factset&amp;DOC_NAME=fat:reuters_qtrly_source_window.fat&amp;display_string=Audit&amp;DYN_ARGS=TRUE&amp;VAR:ID1=60819010&amp;VAR:RCODE=STLD&amp;VAR:SDATE=20090999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__FDSAUDITLINK___1">{"fdsup://IBCentral/FAT Viewer?action=UPDATE&amp;creator=factset&amp;DOC_NAME=fat:reuters_qtrly_source_window.fat&amp;display_string=Audit&amp;DYN_ARGS=TRUE&amp;VAR:ID1=60819010&amp;VAR:RCODE=STLD&amp;VAR:SDATE=20090999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__FDSAUDITLINK___1_1">{"fdsup://IBCentral/FAT Viewer?action=UPDATE&amp;creator=factset&amp;DOC_NAME=fat:reuters_qtrly_source_window.fat&amp;display_string=Audit&amp;DYN_ARGS=TRUE&amp;VAR:ID1=60819010&amp;VAR:RCODE=STLD&amp;VAR:SDATE=20090999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__FDSAUDITLINK___2">{"fdsup://IBCentral/FAT Viewer?action=UPDATE&amp;creator=factset&amp;DOC_NAME=fat:reuters_qtrly_source_window.fat&amp;display_string=Audit&amp;DYN_ARGS=TRUE&amp;VAR:ID1=60819010&amp;VAR:RCODE=STLD&amp;VAR:SDATE=20090999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__123Graph_LBL_ACHART_1">#REF!</definedName>
    <definedName name="_18__FDSAUDITLINK__">{"fdsup://IBCentral/FAT Viewer?action=UPDATE&amp;creator=factset&amp;DOC_NAME=fat:reuters_qtrly_source_window.fat&amp;display_string=Audit&amp;DYN_ARGS=TRUE&amp;VAR:ID1=60819010&amp;VAR:RCODE=SCSI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_FDSAUDITLINK___1">{"fdsup://IBCentral/FAT Viewer?action=UPDATE&amp;creator=factset&amp;DOC_NAME=fat:reuters_qtrly_source_window.fat&amp;display_string=Audit&amp;DYN_ARGS=TRUE&amp;VAR:ID1=60819010&amp;VAR:RCODE=SCSI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_FDSAUDITLINK___1_1">{"fdsup://IBCentral/FAT Viewer?action=UPDATE&amp;creator=factset&amp;DOC_NAME=fat:reuters_qtrly_source_window.fat&amp;display_string=Audit&amp;DYN_ARGS=TRUE&amp;VAR:ID1=60819010&amp;VAR:RCODE=SCSI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_FDSAUDITLINK___2">{"fdsup://IBCentral/FAT Viewer?action=UPDATE&amp;creator=factset&amp;DOC_NAME=fat:reuters_qtrly_source_window.fat&amp;display_string=Audit&amp;DYN_ARGS=TRUE&amp;VAR:ID1=60819010&amp;VAR:RCODE=SCSI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_123Graph_LBL_ACHART_3">#REF!</definedName>
    <definedName name="_19__FDSAUDITLINK__">{"fdsup://IBCentral/FAT Viewer?action=UPDATE&amp;creator=factset&amp;DOC_NAME=fat:reuters_qtrly_shs_src_window.fat&amp;display_string=Audit&amp;DYN_ARGS=TRUE&amp;VAR:ID1=60819010&amp;VAR:RCODE=FDSSHSOUTDEPS&amp;VAR:SDATE=20090999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__FDSAUDITLINK___1">{"fdsup://IBCentral/FAT Viewer?action=UPDATE&amp;creator=factset&amp;DOC_NAME=fat:reuters_qtrly_shs_src_window.fat&amp;display_string=Audit&amp;DYN_ARGS=TRUE&amp;VAR:ID1=60819010&amp;VAR:RCODE=FDSSHSOUTDEPS&amp;VAR:SDATE=20090999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__FDSAUDITLINK___1_1">{"fdsup://IBCentral/FAT Viewer?action=UPDATE&amp;creator=factset&amp;DOC_NAME=fat:reuters_qtrly_shs_src_window.fat&amp;display_string=Audit&amp;DYN_ARGS=TRUE&amp;VAR:ID1=60819010&amp;VAR:RCODE=FDSSHSOUTDEPS&amp;VAR:SDATE=20090999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__FDSAUDITLINK___2">{"fdsup://IBCentral/FAT Viewer?action=UPDATE&amp;creator=factset&amp;DOC_NAME=fat:reuters_qtrly_shs_src_window.fat&amp;display_string=Audit&amp;DYN_ARGS=TRUE&amp;VAR:ID1=60819010&amp;VAR:RCODE=FDSSHSOUTDEPS&amp;VAR:SDATE=20090999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__FDSAUDITLINK__">{"fdsup://directions/FAT Viewer?action=UPDATE&amp;creator=factset&amp;DYN_ARGS=TRUE&amp;DOC_NAME=FAT:FQL_AUDITING_CLIENT_TEMPLATE.FAT&amp;display_string=Audit&amp;VAR:KEY=GNOFCVWDMN&amp;VAR:QUERY=RkZfREVCVChRVFIsNDEwNzEsLCwsVVNEKQ==&amp;WINDOW=FIRST_POPUP&amp;HEIGHT=450&amp;WIDTH=450&amp;START_MA","XIMIZED=FALSE&amp;VAR:CALENDAR=US&amp;VAR:SYMBOL=NXTM&amp;VAR:INDEX=0"}</definedName>
    <definedName name="_2__FDSAUDITLINK___1">{"fdsup://directions/FAT Viewer?action=UPDATE&amp;creator=factset&amp;DYN_ARGS=TRUE&amp;DOC_NAME=FAT:FQL_AUDITING_CLIENT_TEMPLATE.FAT&amp;display_string=Audit&amp;VAR:KEY=GNOFCVWDMN&amp;VAR:QUERY=RkZfREVCVChRVFIsNDEwNzEsLCwsVVNEKQ==&amp;WINDOW=FIRST_POPUP&amp;HEIGHT=450&amp;WIDTH=450&amp;START_MA","XIMIZED=FALSE&amp;VAR:CALENDAR=US&amp;VAR:SYMBOL=NXTM&amp;VAR:INDEX=0"}</definedName>
    <definedName name="_2__FDSAUDITLINK___1_1">{"fdsup://directions/FAT Viewer?action=UPDATE&amp;creator=factset&amp;DYN_ARGS=TRUE&amp;DOC_NAME=FAT:FQL_AUDITING_CLIENT_TEMPLATE.FAT&amp;display_string=Audit&amp;VAR:KEY=GNOFCVWDMN&amp;VAR:QUERY=RkZfREVCVChRVFIsNDEwNzEsLCwsVVNEKQ==&amp;WINDOW=FIRST_POPUP&amp;HEIGHT=450&amp;WIDTH=450&amp;START_MA","XIMIZED=FALSE&amp;VAR:CALENDAR=US&amp;VAR:SYMBOL=NXTM&amp;VAR:INDEX=0"}</definedName>
    <definedName name="_2__FDSAUDITLINK___2">{"fdsup://directions/FAT Viewer?action=UPDATE&amp;creator=factset&amp;DYN_ARGS=TRUE&amp;DOC_NAME=FAT:FQL_AUDITING_CLIENT_TEMPLATE.FAT&amp;display_string=Audit&amp;VAR:KEY=GNOFCVWDMN&amp;VAR:QUERY=RkZfREVCVChRVFIsNDEwNzEsLCwsVVNEKQ==&amp;WINDOW=FIRST_POPUP&amp;HEIGHT=450&amp;WIDTH=450&amp;START_MA","XIMIZED=FALSE&amp;VAR:CALENDAR=US&amp;VAR:SYMBOL=NXTM&amp;VAR:INDEX=0"}</definedName>
    <definedName name="_20__FDSAUDITLINK__">{"fdsup://IBCentral/FAT Viewer?action=UPDATE&amp;creator=factset&amp;DOC_NAME=fat:reuters_qtrly_source_window.fat&amp;display_string=Audit&amp;DYN_ARGS=TRUE&amp;VAR:ID1=82434810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_FDSAUDITLINK___1">{"fdsup://IBCentral/FAT Viewer?action=UPDATE&amp;creator=factset&amp;DOC_NAME=fat:reuters_qtrly_source_window.fat&amp;display_string=Audit&amp;DYN_ARGS=TRUE&amp;VAR:ID1=82434810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_FDSAUDITLINK___1_1">{"fdsup://IBCentral/FAT Viewer?action=UPDATE&amp;creator=factset&amp;DOC_NAME=fat:reuters_qtrly_source_window.fat&amp;display_string=Audit&amp;DYN_ARGS=TRUE&amp;VAR:ID1=82434810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_FDSAUDITLINK___2">{"fdsup://IBCentral/FAT Viewer?action=UPDATE&amp;creator=factset&amp;DOC_NAME=fat:reuters_qtrly_source_window.fat&amp;display_string=Audit&amp;DYN_ARGS=TRUE&amp;VAR:ID1=82434810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_FDSAUDITLINK__">{"fdsup://IBCentral/FAT Viewer?action=UPDATE&amp;creator=factset&amp;DOC_NAME=fat:reuters_qtrly_source_window.fat&amp;display_string=Audit&amp;DYN_ARGS=TRUE&amp;VAR:ID1=82434810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1__FDSAUDITLINK___1">{"fdsup://IBCentral/FAT Viewer?action=UPDATE&amp;creator=factset&amp;DOC_NAME=fat:reuters_qtrly_source_window.fat&amp;display_string=Audit&amp;DYN_ARGS=TRUE&amp;VAR:ID1=82434810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1__FDSAUDITLINK___1_1">{"fdsup://IBCentral/FAT Viewer?action=UPDATE&amp;creator=factset&amp;DOC_NAME=fat:reuters_qtrly_source_window.fat&amp;display_string=Audit&amp;DYN_ARGS=TRUE&amp;VAR:ID1=82434810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1__FDSAUDITLINK___2">{"fdsup://IBCentral/FAT Viewer?action=UPDATE&amp;creator=factset&amp;DOC_NAME=fat:reuters_qtrly_source_window.fat&amp;display_string=Audit&amp;DYN_ARGS=TRUE&amp;VAR:ID1=82434810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2__FDSAUDITLINK__">{"fdsup://IBCentral/FAT Viewer?action=UPDATE&amp;creator=factset&amp;DOC_NAME=fat:reuters_qtrly_shs_src_window.fat&amp;display_string=Audit&amp;DYN_ARGS=TRUE&amp;VAR:ID1=82434810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2__FDSAUDITLINK___1">{"fdsup://IBCentral/FAT Viewer?action=UPDATE&amp;creator=factset&amp;DOC_NAME=fat:reuters_qtrly_shs_src_window.fat&amp;display_string=Audit&amp;DYN_ARGS=TRUE&amp;VAR:ID1=82434810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2__FDSAUDITLINK___1_1">{"fdsup://IBCentral/FAT Viewer?action=UPDATE&amp;creator=factset&amp;DOC_NAME=fat:reuters_qtrly_shs_src_window.fat&amp;display_string=Audit&amp;DYN_ARGS=TRUE&amp;VAR:ID1=82434810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2__FDSAUDITLINK___2">{"fdsup://IBCentral/FAT Viewer?action=UPDATE&amp;creator=factset&amp;DOC_NAME=fat:reuters_qtrly_shs_src_window.fat&amp;display_string=Audit&amp;DYN_ARGS=TRUE&amp;VAR:ID1=82434810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3__123Graph_LBL_DCHART_1">#REF!</definedName>
    <definedName name="_23__FDSAUDITLINK__">{"fdsup://IBCentral/FAT Viewer?action=UPDATE&amp;creator=factset&amp;DOC_NAME=fat:reuters_qtrly_source_window.fat&amp;display_string=Audit&amp;DYN_ARGS=TRUE&amp;VAR:ID1=57459910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">{"fdsup://IBCentral/FAT Viewer?action=UPDATE&amp;creator=factset&amp;DOC_NAME=fat:reuters_qtrly_source_window.fat&amp;display_string=Audit&amp;DYN_ARGS=TRUE&amp;VAR:ID1=57459910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1">{"fdsup://IBCentral/FAT Viewer?action=UPDATE&amp;creator=factset&amp;DOC_NAME=fat:reuters_qtrly_source_window.fat&amp;display_string=Audit&amp;DYN_ARGS=TRUE&amp;VAR:ID1=57459910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">{"fdsup://IBCentral/FAT Viewer?action=UPDATE&amp;creator=factset&amp;DOC_NAME=fat:reuters_qtrly_source_window.fat&amp;display_string=Audit&amp;DYN_ARGS=TRUE&amp;VAR:ID1=57459910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4__FDSAUDITLINK__">{"fdsup://IBCentral/FAT Viewer?action=UPDATE&amp;creator=factset&amp;DOC_NAME=fat:reuters_qtrly_source_window.fat&amp;display_string=Audit&amp;DYN_ARGS=TRUE&amp;VAR:ID1=57459910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4__FDSAUDITLINK___1">{"fdsup://IBCentral/FAT Viewer?action=UPDATE&amp;creator=factset&amp;DOC_NAME=fat:reuters_qtrly_source_window.fat&amp;display_string=Audit&amp;DYN_ARGS=TRUE&amp;VAR:ID1=57459910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4__FDSAUDITLINK___1_1">{"fdsup://IBCentral/FAT Viewer?action=UPDATE&amp;creator=factset&amp;DOC_NAME=fat:reuters_qtrly_source_window.fat&amp;display_string=Audit&amp;DYN_ARGS=TRUE&amp;VAR:ID1=57459910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4__FDSAUDITLINK___2">{"fdsup://IBCentral/FAT Viewer?action=UPDATE&amp;creator=factset&amp;DOC_NAME=fat:reuters_qtrly_source_window.fat&amp;display_string=Audit&amp;DYN_ARGS=TRUE&amp;VAR:ID1=57459910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5__FDSAUDITLINK__">{"fdsup://IBCentral/FAT Viewer?action=UPDATE&amp;creator=factset&amp;DOC_NAME=fat:reuters_qtrly_source_window.fat&amp;display_string=Audit&amp;DYN_ARGS=TRUE&amp;VAR:ID1=57459910&amp;VAR:RCODE=STLD&amp;VAR:SDATE=20091299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5__FDSAUDITLINK___1">{"fdsup://IBCentral/FAT Viewer?action=UPDATE&amp;creator=factset&amp;DOC_NAME=fat:reuters_qtrly_source_window.fat&amp;display_string=Audit&amp;DYN_ARGS=TRUE&amp;VAR:ID1=57459910&amp;VAR:RCODE=STLD&amp;VAR:SDATE=20091299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5__FDSAUDITLINK___1_1">{"fdsup://IBCentral/FAT Viewer?action=UPDATE&amp;creator=factset&amp;DOC_NAME=fat:reuters_qtrly_source_window.fat&amp;display_string=Audit&amp;DYN_ARGS=TRUE&amp;VAR:ID1=57459910&amp;VAR:RCODE=STLD&amp;VAR:SDATE=20091299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5__FDSAUDITLINK___2">{"fdsup://IBCentral/FAT Viewer?action=UPDATE&amp;creator=factset&amp;DOC_NAME=fat:reuters_qtrly_source_window.fat&amp;display_string=Audit&amp;DYN_ARGS=TRUE&amp;VAR:ID1=57459910&amp;VAR:RCODE=STLD&amp;VAR:SDATE=20091299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6__FDSAUDITLINK__">{"fdsup://IBCentral/FAT Viewer?action=UPDATE&amp;creator=factset&amp;DOC_NAME=fat:reuters_qtrly_source_window.fat&amp;display_string=Audit&amp;DYN_ARGS=TRUE&amp;VAR:ID1=57459910&amp;VAR:RCODE=SCS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6__FDSAUDITLINK___1">{"fdsup://IBCentral/FAT Viewer?action=UPDATE&amp;creator=factset&amp;DOC_NAME=fat:reuters_qtrly_source_window.fat&amp;display_string=Audit&amp;DYN_ARGS=TRUE&amp;VAR:ID1=57459910&amp;VAR:RCODE=SCS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6__FDSAUDITLINK___1_1">{"fdsup://IBCentral/FAT Viewer?action=UPDATE&amp;creator=factset&amp;DOC_NAME=fat:reuters_qtrly_source_window.fat&amp;display_string=Audit&amp;DYN_ARGS=TRUE&amp;VAR:ID1=57459910&amp;VAR:RCODE=SCS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6__FDSAUDITLINK___2">{"fdsup://IBCentral/FAT Viewer?action=UPDATE&amp;creator=factset&amp;DOC_NAME=fat:reuters_qtrly_source_window.fat&amp;display_string=Audit&amp;DYN_ARGS=TRUE&amp;VAR:ID1=57459910&amp;VAR:RCODE=SCS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__FDSAUDITLINK__">{"fdsup://IBCentral/FAT Viewer?action=UPDATE&amp;creator=factset&amp;DOC_NAME=fat:reuters_qtrly_shs_src_window.fat&amp;display_string=Audit&amp;DYN_ARGS=TRUE&amp;VAR:ID1=57459910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7__FDSAUDITLINK___1">{"fdsup://IBCentral/FAT Viewer?action=UPDATE&amp;creator=factset&amp;DOC_NAME=fat:reuters_qtrly_shs_src_window.fat&amp;display_string=Audit&amp;DYN_ARGS=TRUE&amp;VAR:ID1=57459910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7__FDSAUDITLINK___1_1">{"fdsup://IBCentral/FAT Viewer?action=UPDATE&amp;creator=factset&amp;DOC_NAME=fat:reuters_qtrly_shs_src_window.fat&amp;display_string=Audit&amp;DYN_ARGS=TRUE&amp;VAR:ID1=57459910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7__FDSAUDITLINK___2">{"fdsup://IBCentral/FAT Viewer?action=UPDATE&amp;creator=factset&amp;DOC_NAME=fat:reuters_qtrly_shs_src_window.fat&amp;display_string=Audit&amp;DYN_ARGS=TRUE&amp;VAR:ID1=57459910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__FDSAUDITLINK__">{"fdsup://IBCentral/FAT Viewer?action=UPDATE&amp;creator=factset&amp;DOC_NAME=fat:reuters_qtrly_source_window.fat&amp;display_string=Audit&amp;DYN_ARGS=TRUE&amp;VAR:ID1=04247X10&amp;VAR:RCODE=STLD&amp;VAR:SDATE=20090999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__FDSAUDITLINK___1">{"fdsup://IBCentral/FAT Viewer?action=UPDATE&amp;creator=factset&amp;DOC_NAME=fat:reuters_qtrly_source_window.fat&amp;display_string=Audit&amp;DYN_ARGS=TRUE&amp;VAR:ID1=04247X10&amp;VAR:RCODE=STLD&amp;VAR:SDATE=20090999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__FDSAUDITLINK___1_1">{"fdsup://IBCentral/FAT Viewer?action=UPDATE&amp;creator=factset&amp;DOC_NAME=fat:reuters_qtrly_source_window.fat&amp;display_string=Audit&amp;DYN_ARGS=TRUE&amp;VAR:ID1=04247X10&amp;VAR:RCODE=STLD&amp;VAR:SDATE=20090999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__FDSAUDITLINK___2">{"fdsup://IBCentral/FAT Viewer?action=UPDATE&amp;creator=factset&amp;DOC_NAME=fat:reuters_qtrly_source_window.fat&amp;display_string=Audit&amp;DYN_ARGS=TRUE&amp;VAR:ID1=04247X10&amp;VAR:RCODE=STLD&amp;VAR:SDATE=20090999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__123Graph_ACHART_1">#REF!</definedName>
    <definedName name="_4__FDSAUDITLINK__">{"fdsup://IBCentral/FAT Viewer?action=UPDATE&amp;creator=factset&amp;DOC_NAME=fat:reuters_qtrly_source_window.fat&amp;display_string=Audit&amp;DYN_ARGS=TRUE&amp;VAR:ID1=04247X10&amp;VAR:RCODE=SCSI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1">{"fdsup://IBCentral/FAT Viewer?action=UPDATE&amp;creator=factset&amp;DOC_NAME=fat:reuters_qtrly_source_window.fat&amp;display_string=Audit&amp;DYN_ARGS=TRUE&amp;VAR:ID1=04247X10&amp;VAR:RCODE=SCSI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1_1">{"fdsup://IBCentral/FAT Viewer?action=UPDATE&amp;creator=factset&amp;DOC_NAME=fat:reuters_qtrly_source_window.fat&amp;display_string=Audit&amp;DYN_ARGS=TRUE&amp;VAR:ID1=04247X10&amp;VAR:RCODE=SCSI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2">{"fdsup://IBCentral/FAT Viewer?action=UPDATE&amp;creator=factset&amp;DOC_NAME=fat:reuters_qtrly_source_window.fat&amp;display_string=Audit&amp;DYN_ARGS=TRUE&amp;VAR:ID1=04247X10&amp;VAR:RCODE=SCSI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_123Graph_ACHART_3">#REF!</definedName>
    <definedName name="_5__FDSAUDITLINK__">{"fdsup://IBCentral/FAT Viewer?action=UPDATE&amp;creator=factset&amp;DOC_NAME=fat:reuters_qtrly_shs_src_window.fat&amp;display_string=Audit&amp;DYN_ARGS=TRUE&amp;VAR:ID1=04247X10&amp;VAR:RCODE=FDSSHSOUTDEPS&amp;VAR:SDATE=20090999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__FDSAUDITLINK___1">{"fdsup://IBCentral/FAT Viewer?action=UPDATE&amp;creator=factset&amp;DOC_NAME=fat:reuters_qtrly_shs_src_window.fat&amp;display_string=Audit&amp;DYN_ARGS=TRUE&amp;VAR:ID1=04247X10&amp;VAR:RCODE=FDSSHSOUTDEPS&amp;VAR:SDATE=20090999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__FDSAUDITLINK___1_1">{"fdsup://IBCentral/FAT Viewer?action=UPDATE&amp;creator=factset&amp;DOC_NAME=fat:reuters_qtrly_shs_src_window.fat&amp;display_string=Audit&amp;DYN_ARGS=TRUE&amp;VAR:ID1=04247X10&amp;VAR:RCODE=FDSSHSOUTDEPS&amp;VAR:SDATE=20090999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5__FDSAUDITLINK___2">{"fdsup://IBCentral/FAT Viewer?action=UPDATE&amp;creator=factset&amp;DOC_NAME=fat:reuters_qtrly_shs_src_window.fat&amp;display_string=Audit&amp;DYN_ARGS=TRUE&amp;VAR:ID1=04247X10&amp;VAR:RCODE=FDSSHSOUTDEPS&amp;VAR:SDATE=20090999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__123Graph_BCHART_1">#REF!</definedName>
    <definedName name="_6__FDSAUDITLINK__">{"fdsup://IBCentral/FAT Viewer?action=UPDATE&amp;creator=factset&amp;DOC_NAME=fat:reuters_qtrly_source_window.fat&amp;display_string=Audit&amp;DYN_ARGS=TRUE&amp;VAR:ID1=26969P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__FDSAUDITLINK___1">{"fdsup://IBCentral/FAT Viewer?action=UPDATE&amp;creator=factset&amp;DOC_NAME=fat:reuters_qtrly_source_window.fat&amp;display_string=Audit&amp;DYN_ARGS=TRUE&amp;VAR:ID1=26969P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__FDSAUDITLINK___1_1">{"fdsup://IBCentral/FAT Viewer?action=UPDATE&amp;creator=factset&amp;DOC_NAME=fat:reuters_qtrly_source_window.fat&amp;display_string=Audit&amp;DYN_ARGS=TRUE&amp;VAR:ID1=26969P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__FDSAUDITLINK___2">{"fdsup://IBCentral/FAT Viewer?action=UPDATE&amp;creator=factset&amp;DOC_NAME=fat:reuters_qtrly_source_window.fat&amp;display_string=Audit&amp;DYN_ARGS=TRUE&amp;VAR:ID1=26969P10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__123Graph_BCHART_3">#REF!</definedName>
    <definedName name="_7__FDSAUDITLINK__">{"fdsup://IBCentral/FAT Viewer?action=UPDATE&amp;creator=factset&amp;DOC_NAME=fat:reuters_qtrly_source_window.fat&amp;display_string=Audit&amp;DYN_ARGS=TRUE&amp;VAR:ID1=26969P10&amp;VAR:RCODE=STLD&amp;VAR:SDATE=20091299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__FDSAUDITLINK___1">{"fdsup://IBCentral/FAT Viewer?action=UPDATE&amp;creator=factset&amp;DOC_NAME=fat:reuters_qtrly_source_window.fat&amp;display_string=Audit&amp;DYN_ARGS=TRUE&amp;VAR:ID1=26969P10&amp;VAR:RCODE=STLD&amp;VAR:SDATE=20091299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__FDSAUDITLINK___1_1">{"fdsup://IBCentral/FAT Viewer?action=UPDATE&amp;creator=factset&amp;DOC_NAME=fat:reuters_qtrly_source_window.fat&amp;display_string=Audit&amp;DYN_ARGS=TRUE&amp;VAR:ID1=26969P10&amp;VAR:RCODE=STLD&amp;VAR:SDATE=20091299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__FDSAUDITLINK___2">{"fdsup://IBCentral/FAT Viewer?action=UPDATE&amp;creator=factset&amp;DOC_NAME=fat:reuters_qtrly_source_window.fat&amp;display_string=Audit&amp;DYN_ARGS=TRUE&amp;VAR:ID1=26969P10&amp;VAR:RCODE=STLD&amp;VAR:SDATE=20091299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__123Graph_DCHART_1">#REF!</definedName>
    <definedName name="_8__FDSAUDITLINK__">{"fdsup://IBCentral/FAT Viewer?action=UPDATE&amp;creator=factset&amp;DOC_NAME=fat:reuters_qtrly_source_window.fat&amp;display_string=Audit&amp;DYN_ARGS=TRUE&amp;VAR:ID1=26969P10&amp;VAR:RCODE=SCS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_FDSAUDITLINK___1">{"fdsup://IBCentral/FAT Viewer?action=UPDATE&amp;creator=factset&amp;DOC_NAME=fat:reuters_qtrly_source_window.fat&amp;display_string=Audit&amp;DYN_ARGS=TRUE&amp;VAR:ID1=26969P10&amp;VAR:RCODE=SCS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_FDSAUDITLINK___1_1">{"fdsup://IBCentral/FAT Viewer?action=UPDATE&amp;creator=factset&amp;DOC_NAME=fat:reuters_qtrly_source_window.fat&amp;display_string=Audit&amp;DYN_ARGS=TRUE&amp;VAR:ID1=26969P10&amp;VAR:RCODE=SCS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_FDSAUDITLINK___2">{"fdsup://IBCentral/FAT Viewer?action=UPDATE&amp;creator=factset&amp;DOC_NAME=fat:reuters_qtrly_source_window.fat&amp;display_string=Audit&amp;DYN_ARGS=TRUE&amp;VAR:ID1=26969P10&amp;VAR:RCODE=SCS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123Graph_BCHART_1">#REF!</definedName>
    <definedName name="_9__123Graph_LBL_ACHART_1">#REF!</definedName>
    <definedName name="_9__FDSAUDITLINK__">{"fdsup://IBCentral/FAT Viewer?action=UPDATE&amp;creator=factset&amp;DOC_NAME=fat:reuters_qtrly_shs_src_window.fat&amp;display_string=Audit&amp;DYN_ARGS=TRUE&amp;VAR:ID1=26969P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__FDSAUDITLINK___1">{"fdsup://IBCentral/FAT Viewer?action=UPDATE&amp;creator=factset&amp;DOC_NAME=fat:reuters_qtrly_shs_src_window.fat&amp;display_string=Audit&amp;DYN_ARGS=TRUE&amp;VAR:ID1=26969P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__FDSAUDITLINK___1_1">{"fdsup://IBCentral/FAT Viewer?action=UPDATE&amp;creator=factset&amp;DOC_NAME=fat:reuters_qtrly_shs_src_window.fat&amp;display_string=Audit&amp;DYN_ARGS=TRUE&amp;VAR:ID1=26969P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__FDSAUDITLINK___2">{"fdsup://IBCentral/FAT Viewer?action=UPDATE&amp;creator=factset&amp;DOC_NAME=fat:reuters_qtrly_shs_src_window.fat&amp;display_string=Audit&amp;DYN_ARGS=TRUE&amp;VAR:ID1=26969P10&amp;VAR:RCODE=FDSSHSOUTDEPS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bdm.052CD9AE08DC4A8EBEE1E4F068A7EC67.edm">#REF!</definedName>
    <definedName name="_bdm.0A6E49B0C88A44B8B7C9F60C54AE26C1.edm">#REF!</definedName>
    <definedName name="_bdm.0b6ffb446f1f48f4bd0b103ea1755ece.edm">#REF!</definedName>
    <definedName name="_bdm.0C9F29E5A4E34626B789213B70CAE926.edm">#REF!</definedName>
    <definedName name="_bdm.0CD4A6ECD0A94BFE96B2AFA2EA5F5380.edm">#REF!</definedName>
    <definedName name="_bdm.0E0D02C646424ED099994B40FE097B7F.edm">#REF!</definedName>
    <definedName name="_bdm.0E63BE9FBF9C426CA3A10E5B9600D023.edm">#REF!</definedName>
    <definedName name="_bdm.0E9D570D3B2A4FE6B2D913FF837D3C23.edm">#REF!</definedName>
    <definedName name="_bdm.0F0A15E4B52C4A94BE3090ACA5028830.edm">#REF!</definedName>
    <definedName name="_bdm.10DFB72FA7A4407BAB859ACAA75F96F8.edm">#REF!</definedName>
    <definedName name="_bdm.133D071C92224A4CBE4FB65566D1EEA5.edm">#REF!</definedName>
    <definedName name="_bdm.186BC2F7E4344B83809972255A343930.edm">#REF!</definedName>
    <definedName name="_bdm.18AB5210DFD04171A15FFD6E2818FC3F.edm">#REF!</definedName>
    <definedName name="_bdm.196C747387A742BC9ACC11B46046808C.edm">#REF!</definedName>
    <definedName name="_bdm.199080E3278040B6BEFC66FCC74BCBC4.edm">#REF!</definedName>
    <definedName name="_bdm.1B9AAD25947A42578559E5E82B47B807.edm">#REF!</definedName>
    <definedName name="_bdm.21d0287c8edf4e269dcf3f7091f7c586.edm">#REF!</definedName>
    <definedName name="_bdm.22740332BF9147E193110C174C2EBE01.edm">#REF!</definedName>
    <definedName name="_bdm.24b21e994d9a437683cc4dc0dc9dc31b.edm">#REF!</definedName>
    <definedName name="_bdm.24EC001BEEF04118AFB038F89E233B50.edm">#REF!</definedName>
    <definedName name="_bdm.2862F4E3F17449FFAD0F27BC0CE837FD.edm">#REF!</definedName>
    <definedName name="_bdm.2B0EDB09BE7C45FE9D92ED80DE910959.edm">#REF!</definedName>
    <definedName name="_bdm.2BF25D59EFB340F08A3084802AA230A7.edm">#REF!</definedName>
    <definedName name="_bdm.2D77C75274F6473F9D63AE8EE75B8517.edm">#REF!</definedName>
    <definedName name="_bdm.316A445B573C45BCA2A3B23F9714EC18.edm">#REF!</definedName>
    <definedName name="_bdm.3227671C4ED04C878B48CB0B850F85E4.edm">#REF!</definedName>
    <definedName name="_bdm.34750afde4844cab9fdd3dd7d0c97068.edm">#REF!</definedName>
    <definedName name="_bdm.353FB02B4FE34DB9A4204B556869F2F7.edm">#REF!</definedName>
    <definedName name="_bdm.365476B839D14571B68585657C3B18DA.edm">#REF!</definedName>
    <definedName name="_bdm.36ab4c2ac50d4328a498ff8f19f699ee.edm">#REF!</definedName>
    <definedName name="_bdm.374296D789484F50B12070CA45286F7B.edm">#REF!</definedName>
    <definedName name="_bdm.397F23E545574BADA76777B9E104D7CA.edm">#REF!</definedName>
    <definedName name="_bdm.3A7759DF2E16448A9009C7FA5634E773.edm">#REF!</definedName>
    <definedName name="_bdm.3BC19AF2248142BDBC1FD2483CBD0ACC.edm">#REF!</definedName>
    <definedName name="_bdm.3ce337a3796343da8413744b8c6431bb.edm">#REF!</definedName>
    <definedName name="_bdm.3D5FB0CA5B9741008843979EA2F11E4E.edm">#REF!</definedName>
    <definedName name="_bdm.3D9436B85C1B417082AB7D6A5B325B78.edm">#REF!</definedName>
    <definedName name="_bdm.3e7fba7d9c0c49b2a7683fb535957182.edm">#REF!</definedName>
    <definedName name="_bdm.3E9EEE284D9F444DB461BC61A3F38748.edm">#REF!</definedName>
    <definedName name="_bdm.4091e2f02e1a4ecb8479b19649ed1348.edm">#REF!</definedName>
    <definedName name="_bdm.417213C2EE3F41D2B009CBC7634AF910.edm">#REF!</definedName>
    <definedName name="_bdm.43DADCE6BF0044FFAEAB3CB10EC24427.edm">#REF!</definedName>
    <definedName name="_bdm.46F03FC0095347AEA5C993E900CB407C.edm">#REF!</definedName>
    <definedName name="_bdm.48AF4153901E488E95A2D49ED3DE2E49.edm">#REF!</definedName>
    <definedName name="_bdm.494FF106504D40708A77CC0E21F2C01F.edm">#REF!</definedName>
    <definedName name="_bdm.49FB18F767CD4CE88EBFF7C7DE11EC8A.edm">#REF!</definedName>
    <definedName name="_bdm.4A85C8C0C36A4709B458EAFD7AD86DCB.edm">#REF!</definedName>
    <definedName name="_bdm.4B69CDCB806348CB94959030C0B7BD52.edm">#REF!</definedName>
    <definedName name="_bdm.4B8A417B0045478AB6320D2281822C4B.edm">#REF!</definedName>
    <definedName name="_bdm.4D0224462BC545959E18E83985C53BA1.edm">#REF!</definedName>
    <definedName name="_bdm.4DB904FE181F4E49B95A60B1503E8045.edm">#REF!</definedName>
    <definedName name="_bdm.4fcdef223e0143ad9112786694d5c3db.edm">#REF!</definedName>
    <definedName name="_bdm.5205294621dc4aa1948f0b96528d6a6e.edm">#REF!</definedName>
    <definedName name="_bdm.532C6596AD4E4D54A9A8A0DED3EE90B3.edm">#REF!</definedName>
    <definedName name="_bdm.5A99E6B9B19D429D99FA6C09100E35DA.edm">#REF!</definedName>
    <definedName name="_bdm.5B492ACA398F43A1A8CC62FBB97BFBA3.edm">#REF!</definedName>
    <definedName name="_bdm.5c39364e9bb344b3824f7f27951f9dea.edm">#REF!</definedName>
    <definedName name="_bdm.5c723806aac64827b3ed1044fa33db2d.edm">#REF!</definedName>
    <definedName name="_bdm.60D7C1BE2BE44E25A94F7C5266D671E2.edm">#REF!</definedName>
    <definedName name="_bdm.611E54443BC5400D8D41FB98262F9DC4.edm">#REF!</definedName>
    <definedName name="_bdm.6137EC33449A44259F3FA433FFC68704.edm">#REF!</definedName>
    <definedName name="_bdm.63C6C41FFC5F45648C16B707E69D5628.edm">#REF!</definedName>
    <definedName name="_bdm.6554947E2886451989D1954271EC086B.edm">#REF!</definedName>
    <definedName name="_bdm.6574FBB6FF3F4384858B348FF3ECBB27.edm">#REF!</definedName>
    <definedName name="_bdm.65b33fae8c3b4a909628c021d171e7aa.edm">#REF!</definedName>
    <definedName name="_bdm.66699B344F39411294B2D71040DC5A23.edm">#REF!</definedName>
    <definedName name="_bdm.680a0d08c0684c6e93972127c45bd514.edm">#REF!</definedName>
    <definedName name="_bdm.697199DF70D34E6884728C27DB1EBD5C.edm">#REF!</definedName>
    <definedName name="_bdm.6AB621BC4E8C41DFBF52498E058FDA8C.edm">#REF!</definedName>
    <definedName name="_bdm.6BB84D295BEA47F69969B869DDE6AA70.edm">#REF!</definedName>
    <definedName name="_bdm.6C5AF1A682CF4831BC44B26FC2609E1B.edm">#REF!</definedName>
    <definedName name="_bdm.6DFAF6F1C53A448C849B3F8DE77E581A.edm">#REF!</definedName>
    <definedName name="_bdm.6e38514ab3d5488186f777b23af26040.edm">#REF!</definedName>
    <definedName name="_bdm.6EDF753AB7AF4301A38D289A010D7F16.edm">#REF!</definedName>
    <definedName name="_bdm.704308C377124AC59FD3504352D189F9.edm">#REF!</definedName>
    <definedName name="_bdm.71BF9F3DF89C4CD0B31200F6B63A6503.edm">#REF!</definedName>
    <definedName name="_bdm.74929B0D963544CDBD2C1145E49450D6.edm">#REF!</definedName>
    <definedName name="_bdm.7578435EF80D4811BBB4CEE15DAA7C42.edm">#REF!</definedName>
    <definedName name="_bdm.78362CE273C645CF97DC3D877DE53B06.edm">#REF!</definedName>
    <definedName name="_bdm.786d7ef0bab64f779ba79e3fc83c3693.edm">#REF!</definedName>
    <definedName name="_bdm.7a1190a6a48b49658f3cf01b79b03307.edm">#REF!</definedName>
    <definedName name="_bdm.7A54C68A188B4495B5AD0615E0959F50.edm">#REF!</definedName>
    <definedName name="_bdm.7c44fb7b070b4aaf8ea65edaca9932a4.edm">#REF!</definedName>
    <definedName name="_bdm.7D4DF249C7E8496CACAA5861D0A97004.edm">#REF!</definedName>
    <definedName name="_bdm.808994c408d14ffcbe54b89be9244abc.edm">#REF!</definedName>
    <definedName name="_bdm.81E406FE74364B048DFB4F36557A9E94.edm">#REF!</definedName>
    <definedName name="_bdm.8246CC37A97A481FB6A247AC31E0B8A0.edm">#REF!</definedName>
    <definedName name="_bdm.835db5912d29465d9e55aa6247d8e563.edm">#REF!</definedName>
    <definedName name="_bdm.83E656A20B0B4835B1DE674850F70118.edm">#REF!</definedName>
    <definedName name="_bdm.84F3BC1297A74657B79717F73786427F.edm">#REF!</definedName>
    <definedName name="_bdm.84f4b4b232614ce6a4aea4a3d4e44e6d.edm">#REF!</definedName>
    <definedName name="_bdm.86A42FAF289511D7B6C8000347BA9174.edm">#REF!</definedName>
    <definedName name="_bdm.8ac102f919e24f64924760895c04d20a.edm">#REF!</definedName>
    <definedName name="_bdm.8b5da06e9aba4c5cba6668c0c68a3631.edm">#REF!</definedName>
    <definedName name="_bdm.8d475574546f434aab3b75437199be6d.edm">#REF!</definedName>
    <definedName name="_bdm.8ebfcfaf85f744ff9e7f75a78aad15a9.edm">#REF!</definedName>
    <definedName name="_bdm.915EF825CD914FC584D731CCEF857705.edm">#REF!</definedName>
    <definedName name="_bdm.924630C070354DFB9B831888B4E01DB4.edm">#REF!</definedName>
    <definedName name="_bdm.934CFDB944324D43A39B87749392EF2E.edm">#REF!</definedName>
    <definedName name="_bdm.9421A1E808A542F8B0C14C8BF33F13D4.edm">#REF!</definedName>
    <definedName name="_bdm.9468A81DA4904D9E8ACC479DC1799540.edm">#REF!</definedName>
    <definedName name="_bdm.95172B7F331548F890FF07D71F72CF46.edm">#REF!</definedName>
    <definedName name="_bdm.956A1AD6CF5547D58368796D6865F1CC.edm">#REF!</definedName>
    <definedName name="_bdm.95C47AF310284A0CA74A6E5006A0D773.edm">#REF!</definedName>
    <definedName name="_bdm.960D9BE6E921422198E8AFDD9B7E7283.edm">#REF!</definedName>
    <definedName name="_bdm.965D27C23F8F4E759D87DFC87A3A5ABB.edm">#REF!</definedName>
    <definedName name="_bdm.96B978CFED40497EAB77C36F1649D5A0.edm">#REF!</definedName>
    <definedName name="_bdm.9863AFB8A56148D2955D179379B60861.edm">#REF!</definedName>
    <definedName name="_bdm.98E931B22B724585B1F8FB6707F55D49.edm">#REF!</definedName>
    <definedName name="_bdm.998CF131C50A4DC3B8E91C32F963DCC9.edm">#REF!</definedName>
    <definedName name="_bdm.9a2992de2b5e48119598eb1b06d29187.edm">#REF!</definedName>
    <definedName name="_bdm.9aa9b898c7874a83ab203083f0bc27f6.edm">#REF!</definedName>
    <definedName name="_bdm.9c809ebdec2e4d969cea73e0ee4d1a6e.edm">#REF!</definedName>
    <definedName name="_bdm.9D3F61C82A6244C9A5F56AF5B0D372E3.edm">#REF!</definedName>
    <definedName name="_bdm.a0b526769d5e47d08c7187f254921ea0.edm">#REF!</definedName>
    <definedName name="_bdm.a0e1be7608c643f8bbd441780c2f0a6a.edm">#REF!</definedName>
    <definedName name="_bdm.a3e171664a36413093a5c54bd6ecc446.edm">#REF!</definedName>
    <definedName name="_bdm.a62b945a34ee42ebb0d897b6c7fe58c0.edm">#REF!</definedName>
    <definedName name="_bdm.A7AF0F08D12D4D2AB8C60D313F2573D8.edm">#REF!</definedName>
    <definedName name="_bdm.a7bb45baee2b45c6998b7955bd79c47d.edm">#REF!</definedName>
    <definedName name="_bdm.A839F9F91DC744E9A7BA48C0735807B4.edm">#REF!</definedName>
    <definedName name="_bdm.AB85DAB9B73344B799EB969ED8BDD0BA.edm">#REF!</definedName>
    <definedName name="_bdm.ADECBB41717B41CBB1D307CB01100900.edm">#REF!</definedName>
    <definedName name="_bdm.ADF70A32E3A3480EB5C909F946092F3E.edm">#REF!</definedName>
    <definedName name="_bdm.B2A51BD794644ECB9F768806FFD7235E.edm">#REF!</definedName>
    <definedName name="_bdm.B50195977C554ECC8193192BC3EB2AF8.edm">#REF!</definedName>
    <definedName name="_bdm.B57D5E3F719D460B9B4D637367381EDC.edm">#REF!</definedName>
    <definedName name="_bdm.B5D055EEEB404F9AB778456F39A07CB7.edm">#REF!</definedName>
    <definedName name="_bdm.BB86740641824F47BAC32E0566E4AE27.edm">#REF!</definedName>
    <definedName name="_bdm.bf5dd27859164436b7eb7540b69a6e24.edm">#REF!</definedName>
    <definedName name="_bdm.bf94f9771a9a4426a1f4e4b591f28ced.edm">#REF!</definedName>
    <definedName name="_bdm.c07f5497a451431796de4da231539219.edm">#REF!</definedName>
    <definedName name="_bdm.C192020B9D3D438992D9ADC6C3F88B19.edm">#REF!</definedName>
    <definedName name="_bdm.C2B27F7D4E4F400DB7D5825581823A6E.edm">#REF!</definedName>
    <definedName name="_bdm.C3514A5D952B41518C2017B5E5E6B39D.edm">#REF!</definedName>
    <definedName name="_bdm.c36e506f644d4ce2852b3b529ef9947f.edm">#REF!</definedName>
    <definedName name="_bdm.C3F4900C21454AEA847D132095C7CD76.edm">#REF!</definedName>
    <definedName name="_bdm.CB24523652C348528ED5CD4EFC72D374.edm">#REF!</definedName>
    <definedName name="_bdm.cb7ddd24018b459496aded3de4f2cbb8.edm">#REF!</definedName>
    <definedName name="_bdm.CC5E9B3C7EE2457BB021EFA85B2FDB69.edm">#REF!</definedName>
    <definedName name="_bdm.cf2443ec528b4e1e8b444ca0cfe8a333.edm">#REF!</definedName>
    <definedName name="_bdm.d06ffaadaea84aee8b20958a560bff21.edm">#REF!</definedName>
    <definedName name="_bdm.D3A50F70F7E247DDBA6844B3D7E16930.edm">#REF!</definedName>
    <definedName name="_bdm.d3acced3719b483c9f9365005f04865a.edm">#REF!</definedName>
    <definedName name="_bdm.D51E8BB7600D41E7A077B7A9E32AEDDF.edm">#REF!</definedName>
    <definedName name="_bdm.D5ECCE352D544E1EA6719C7C7489E7A5.edm">#REF!</definedName>
    <definedName name="_bdm.D751D40C53364B9983A7B20DB49E76E8.edm">#REF!</definedName>
    <definedName name="_bdm.d993f7353f3743b4aa173c5bfe912059.edm">#REF!</definedName>
    <definedName name="_bdm.DA9A2FD7E81D43CFBB4CE0EF3A16A334.edm">#REF!</definedName>
    <definedName name="_bdm.dcb1c81e3601410283491f608e6d639d.edm">#REF!</definedName>
    <definedName name="_bdm.dde1da86caef48039efe4f50f78e4b0a.edm">#REF!</definedName>
    <definedName name="_bdm.E0F3A69A118D49CEB0B91E13B71A9C7C.edm">#REF!</definedName>
    <definedName name="_bdm.E2156199202A48FA8E9668E3695FDAE9.edm">#REF!</definedName>
    <definedName name="_bdm.E26F1F3D438D4094BCC2C37C564F2F4D.edm">#REF!</definedName>
    <definedName name="_bdm.E2C3EDAB78A343F98F69B8125B9A4CAB.edm">#REF!</definedName>
    <definedName name="_bdm.E3CACCDE077441B888C5BD27A4C3587C.edm">#REF!</definedName>
    <definedName name="_bdm.e3fc806f25834b818a954d8b571589e8.edm">#REF!</definedName>
    <definedName name="_bdm.E56BB70E7F1C470F99273BDE65D18C06.edm">#REF!</definedName>
    <definedName name="_bdm.E5B674F6C18A49A894F8F9ECEC6D153D.edm">#REF!</definedName>
    <definedName name="_bdm.e66dc5cca3d7494fa1dfb8b36c7c5267.edm">#REF!</definedName>
    <definedName name="_bdm.E6B1954DE2DC419DAFD04FD083B49A14.edm">#REF!</definedName>
    <definedName name="_bdm.E76929F74445486E87D95150B87BCC43.edm">#REF!</definedName>
    <definedName name="_bdm.ea297a4ccbdd45d9a4204dbd1563ce07.edm">#REF!</definedName>
    <definedName name="_bdm.ec9b1fb25e624fcfb5ff3b1b5a62b33a.edm">#REF!</definedName>
    <definedName name="_bdm.EE30BE62715D4563827AD13786CD13F1.edm">#REF!</definedName>
    <definedName name="_bdm.f1e22014eba746d5825dd697127469a2.edm">#REF!</definedName>
    <definedName name="_bdm.f2d0ec0cb679409081f808bcd7e1c2ef.edm">#REF!</definedName>
    <definedName name="_bdm.f378928968474288907aaa772084e1d7.edm">#REF!</definedName>
    <definedName name="_bdm.F3B374F899014DC19D1A237087C8FE67.edm">#REF!</definedName>
    <definedName name="_bdm.f40b910c646e4059ac2d1bc59d51626a.edm">#REF!</definedName>
    <definedName name="_bdm.F50E5DBAB6FE42AC8A2B644C32301BF8.edm">#REF!</definedName>
    <definedName name="_bdm.F8444E41E3FD44A29B9366F7FACC25C8.edm">#REF!</definedName>
    <definedName name="_bdm.F85F51384AAB42E8815090D601B99E88.edm">#REF!</definedName>
    <definedName name="_bdm.f96e57c0e1794824b8f8bd63dfcb6a3e.edm">#REF!</definedName>
    <definedName name="_bdm.FastTrackBookmark.1_10_2019_11_23_30_AM.edm">#REF!</definedName>
    <definedName name="_bdm.FastTrackBookmark.1_20_2005_4_10_31_PM.edm">#REF!</definedName>
    <definedName name="_bdm.FastTrackBookmark.1_20_2005_4_10_37_PM.edm">#REF!</definedName>
    <definedName name="_bdm.FastTrackBookmark.1_20_2005_4_10_48_PM.edm">#REF!</definedName>
    <definedName name="_bdm.FastTrackBookmark.1_26_2005_2_39_21_PM.edm">#REF!</definedName>
    <definedName name="_bdm.FastTrackBookmark.1_26_2005_2_42_17_PM.edm">#REF!</definedName>
    <definedName name="_bdm.FastTrackBookmark.1_26_2005_3_05_26_PM.edm">#REF!</definedName>
    <definedName name="_bdm.FastTrackBookmark.11_30_2018_6_48_40_PM.edm">#REF!</definedName>
    <definedName name="_bdm.FastTrackBookmark.12_7_2004_7_42_27_PM.edm">#REF!</definedName>
    <definedName name="_bdm.FastTrackBookmark.12_7_2004_7_42_40_PM.edm">#REF!</definedName>
    <definedName name="_bdm.FastTrackBookmark.2_1_2005_9_34_16_AM.edm">#REF!</definedName>
    <definedName name="_bdm.FastTrackBookmark.2_1_2005_9_34_27_AM.edm">#REF!</definedName>
    <definedName name="_bdm.FastTrackBookmark.2_3_2005_10_11_59_AM.edm">#REF!</definedName>
    <definedName name="_bdm.FastTrackBookmark.2_3_2005_10_12_07_AM.edm">#REF!</definedName>
    <definedName name="_bdm.FastTrackBookmark.2_9_2005_8_40_32_PM.edm">#REF!</definedName>
    <definedName name="_bdm.FastTrackBookmark.2_9_2005_8_41_33_PM.edm">#REF!</definedName>
    <definedName name="_bdm.FastTrackBookmark.2_9_2005_8_41_40_PM.edm">#REF!</definedName>
    <definedName name="_bdm.FastTrackBookmark.2_9_2005_8_42_08_PM.edm">#REF!</definedName>
    <definedName name="_bdm.FastTrackBookmark.20_02_2006_17_22_52.edm">#REF!</definedName>
    <definedName name="_bdm.FastTrackBookmark.6_29_2019_6_34_17_PM.edm">#REF!</definedName>
    <definedName name="_bdm.FastTrackBookmark.6_6_2018_12_04_33_AM.edm">#REF!</definedName>
    <definedName name="_bdm.FastTrackBookmark.7_4_2019_11_02_45_PM.edm">#REF!</definedName>
    <definedName name="_bdm.FastTrackBookmark.9_9_2004_7_27_51_PM.edm">#REF!</definedName>
    <definedName name="_bdm.FDF720B1DC134272A1CD58338C420DFA.edm">#REF!</definedName>
    <definedName name="_dd">#REF!</definedName>
    <definedName name="_Fill">#REF!</definedName>
    <definedName name="_fy97">{#N/A,#N/A,FALSE,"FY97";#N/A,#N/A,FALSE,"FY98";#N/A,#N/A,FALSE,"FY99";#N/A,#N/A,FALSE,"FY00";#N/A,#N/A,FALSE,"FY01"}</definedName>
    <definedName name="_glx1">#REF!</definedName>
    <definedName name="_Key1">#REF!</definedName>
    <definedName name="_key2">#REF!</definedName>
    <definedName name="_new2">#REF!</definedName>
    <definedName name="_Newone">#REF!</definedName>
    <definedName name="_Order1">255</definedName>
    <definedName name="_Order2">0</definedName>
    <definedName name="_out2">{#N/A,#N/A,FALSE,"Cover";#N/A,#N/A,FALSE,"Summary";#N/A,#N/A,FALSE,"IS";#N/A,#N/A,FALSE,"CF";#N/A,#N/A,FALSE,"BS";#N/A,#N/A,FALSE,"Detail";#N/A,#N/A,FALSE,"IRR"}</definedName>
    <definedName name="_out2_1">{#N/A,#N/A,FALSE,"Cover";#N/A,#N/A,FALSE,"Summary";#N/A,#N/A,FALSE,"IS";#N/A,#N/A,FALSE,"CF";#N/A,#N/A,FALSE,"BS";#N/A,#N/A,FALSE,"Detail";#N/A,#N/A,FALSE,"IRR"}</definedName>
    <definedName name="_out2_1_1">{#N/A,#N/A,FALSE,"Cover";#N/A,#N/A,FALSE,"Summary";#N/A,#N/A,FALSE,"IS";#N/A,#N/A,FALSE,"CF";#N/A,#N/A,FALSE,"BS";#N/A,#N/A,FALSE,"Detail";#N/A,#N/A,FALSE,"IRR"}</definedName>
    <definedName name="_out2_2">{#N/A,#N/A,FALSE,"Cover";#N/A,#N/A,FALSE,"Summary";#N/A,#N/A,FALSE,"IS";#N/A,#N/A,FALSE,"CF";#N/A,#N/A,FALSE,"BS";#N/A,#N/A,FALSE,"Detail";#N/A,#N/A,FALSE,"IRR"}</definedName>
    <definedName name="_P00comps1">#REF!</definedName>
    <definedName name="_P00comps2">#REF!</definedName>
    <definedName name="_PSM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_PSM2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_PSM2_1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_PSM2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_PSM3">{"Pound Sterling",#N/A,TRUE,"PPD";"Pound Sterling",#N/A,TRUE,"Anaquest";"Pound Sterling",#N/A,TRUE,"Delta";"Pound Sterling",#N/A,TRUE,"INO"}</definedName>
    <definedName name="_PSM3_1">{"Pound Sterling",#N/A,TRUE,"PPD";"Pound Sterling",#N/A,TRUE,"Anaquest";"Pound Sterling",#N/A,TRUE,"Delta";"Pound Sterling",#N/A,TRUE,"INO"}</definedName>
    <definedName name="_PSM3_1_1">{"Pound Sterling",#N/A,TRUE,"PPD";"Pound Sterling",#N/A,TRUE,"Anaquest";"Pound Sterling",#N/A,TRUE,"Delta";"Pound Sterling",#N/A,TRUE,"INO"}</definedName>
    <definedName name="_PSM3_2">{"Pound Sterling",#N/A,TRUE,"PPD";"Pound Sterling",#N/A,TRUE,"Anaquest";"Pound Sterling",#N/A,TRUE,"Delta";"Pound Sterling",#N/A,TRUE,"INO"}</definedName>
    <definedName name="_qtr2">#REF!</definedName>
    <definedName name="_r">{"consolidated",#N/A,FALSE,"Sheet1";"cms",#N/A,FALSE,"Sheet1";"fse",#N/A,FALSE,"Sheet1"}</definedName>
    <definedName name="_Regression_Int">1</definedName>
    <definedName name="_Sort">#REF!</definedName>
    <definedName name="_Table1_In1">#REF!</definedName>
    <definedName name="_Table1_Out">#REF!</definedName>
    <definedName name="_Table2_In1">#REF!</definedName>
    <definedName name="_Table2_In2">#REF!</definedName>
    <definedName name="_Table2_Out">#REF!</definedName>
    <definedName name="_Table3_In2">#REF!</definedName>
    <definedName name="_TBOCT">#REF!</definedName>
    <definedName name="_wrn1">{#N/A,#N/A,FALSE,"DCF";#N/A,#N/A,FALSE,"WACC";#N/A,#N/A,FALSE,"Sales_EBIT";#N/A,#N/A,FALSE,"Capex_Depreciation";#N/A,#N/A,FALSE,"WC";#N/A,#N/A,FALSE,"Interest";#N/A,#N/A,FALSE,"Assumptions"}</definedName>
    <definedName name="a">#REF!</definedName>
    <definedName name="AAA_DOCTOPS">"AAA_SET"</definedName>
    <definedName name="AAA_duser">"OFF"</definedName>
    <definedName name="aaaaaaa">{"Outflow 1",#N/A,FALSE,"Outflows-Inflows";"Outflow 2",#N/A,FALSE,"Outflows-Inflows";"Inflow 1",#N/A,FALSE,"Outflows-Inflows";"Inflow 2",#N/A,FALSE,"Outflows-Inflows"}</definedName>
    <definedName name="aaaaaaa_1">{"Outflow 1",#N/A,FALSE,"Outflows-Inflows";"Outflow 2",#N/A,FALSE,"Outflows-Inflows";"Inflow 1",#N/A,FALSE,"Outflows-Inflows";"Inflow 2",#N/A,FALSE,"Outflows-Inflows"}</definedName>
    <definedName name="aaaaaaa_1_1">{"Outflow 1",#N/A,FALSE,"Outflows-Inflows";"Outflow 2",#N/A,FALSE,"Outflows-Inflows";"Inflow 1",#N/A,FALSE,"Outflows-Inflows";"Inflow 2",#N/A,FALSE,"Outflows-Inflows"}</definedName>
    <definedName name="aaaaaaa_2">{"Outflow 1",#N/A,FALSE,"Outflows-Inflows";"Outflow 2",#N/A,FALSE,"Outflows-Inflows";"Inflow 1",#N/A,FALSE,"Outflows-Inflows";"Inflow 2",#N/A,FALSE,"Outflows-Inflows"}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sdfa">{"rtn",#N/A,FALSE,"RTN";"tables",#N/A,FALSE,"RTN";"cf",#N/A,FALSE,"CF";"stats",#N/A,FALSE,"Stats";"prop",#N/A,FALSE,"Prop"}</definedName>
    <definedName name="aasdfa_1">{"rtn",#N/A,FALSE,"RTN";"tables",#N/A,FALSE,"RTN";"cf",#N/A,FALSE,"CF";"stats",#N/A,FALSE,"Stats";"prop",#N/A,FALSE,"Prop"}</definedName>
    <definedName name="aasdfa_1_1">{"rtn",#N/A,FALSE,"RTN";"tables",#N/A,FALSE,"RTN";"cf",#N/A,FALSE,"CF";"stats",#N/A,FALSE,"Stats";"prop",#N/A,FALSE,"Prop"}</definedName>
    <definedName name="aasdfa_2">{"rtn",#N/A,FALSE,"RTN";"tables",#N/A,FALSE,"RTN";"cf",#N/A,FALSE,"CF";"stats",#N/A,FALSE,"Stats";"prop",#N/A,FALSE,"Prop"}</definedName>
    <definedName name="AccessDatabase">"R:\S\Smith &amp; Nephew\Project Juice\Models\New Huge Model.mdb"</definedName>
    <definedName name="ADJ">{"cebank",#N/A,FALSE,"P9498BAR";"spbank",#N/A,FALSE,"P9498BAR";"renfinbank",#N/A,FALSE,"P9498BAR";"indici",#N/A,FALSE,"P9498BAR"}</definedName>
    <definedName name="adsfasdf">{#N/A,#N/A,FALSE,"Aging Summary";#N/A,#N/A,FALSE,"Ratio Analysis";#N/A,#N/A,FALSE,"Test 120 Day Accts";#N/A,#N/A,FALSE,"Tickmarks"}</definedName>
    <definedName name="adsfasdf_1">{#N/A,#N/A,FALSE,"Aging Summary";#N/A,#N/A,FALSE,"Ratio Analysis";#N/A,#N/A,FALSE,"Test 120 Day Accts";#N/A,#N/A,FALSE,"Tickmarks"}</definedName>
    <definedName name="adsfasdf_1_1">{#N/A,#N/A,FALSE,"Aging Summary";#N/A,#N/A,FALSE,"Ratio Analysis";#N/A,#N/A,FALSE,"Test 120 Day Accts";#N/A,#N/A,FALSE,"Tickmarks"}</definedName>
    <definedName name="adsfasdf_2">{#N/A,#N/A,FALSE,"Aging Summary";#N/A,#N/A,FALSE,"Ratio Analysis";#N/A,#N/A,FALSE,"Test 120 Day Accts";#N/A,#N/A,FALSE,"Tickmarks"}</definedName>
    <definedName name="aefe">{"Pound Sterling",#N/A,TRUE,"PPD";"Pound Sterling",#N/A,TRUE,"Anaquest";"Pound Sterling",#N/A,TRUE,"Delta";"Pound Sterling",#N/A,TRUE,"INO"}</definedName>
    <definedName name="aefe_1">{"Pound Sterling",#N/A,TRUE,"PPD";"Pound Sterling",#N/A,TRUE,"Anaquest";"Pound Sterling",#N/A,TRUE,"Delta";"Pound Sterling",#N/A,TRUE,"INO"}</definedName>
    <definedName name="aefe_1_1">{"Pound Sterling",#N/A,TRUE,"PPD";"Pound Sterling",#N/A,TRUE,"Anaquest";"Pound Sterling",#N/A,TRUE,"Delta";"Pound Sterling",#N/A,TRUE,"INO"}</definedName>
    <definedName name="aefe_2">{"Pound Sterling",#N/A,TRUE,"PPD";"Pound Sterling",#N/A,TRUE,"Anaquest";"Pound Sterling",#N/A,TRUE,"Delta";"Pound Sterling",#N/A,TRUE,"INO"}</definedName>
    <definedName name="aegse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aegseg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aegseg_1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aegseg_2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AF">{"cebank",#N/A,FALSE,"P9498BAR";"spbank",#N/A,FALSE,"P9498BAR";"renfinbank",#N/A,FALSE,"P9498BAR";"indici",#N/A,FALSE,"P9498BAR"}</definedName>
    <definedName name="AG">{"cebank",#N/A,FALSE,"P9498BAR";"spbank",#N/A,FALSE,"P9498BAR";"renfinbank",#N/A,FALSE,"P9498BAR";"indici",#N/A,FALSE,"P9498BAR"}</definedName>
    <definedName name="agfsd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agfsdg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agfsdg_1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agfsdg_2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agseg">{"Units A",#N/A,FALSE,"FY95SLS";"Units B",#N/A,FALSE,"FY95SLS"}</definedName>
    <definedName name="agseg_1">{"Units A",#N/A,FALSE,"FY95SLS";"Units B",#N/A,FALSE,"FY95SLS"}</definedName>
    <definedName name="agseg_1_1">{"Units A",#N/A,FALSE,"FY95SLS";"Units B",#N/A,FALSE,"FY95SLS"}</definedName>
    <definedName name="agseg_2">{"Units A",#N/A,FALSE,"FY95SLS";"Units B",#N/A,FALSE,"FY95SLS"}</definedName>
    <definedName name="ale">{"cebank",#N/A,FALSE,"P9498BAR";"spbank",#N/A,FALSE,"P9498BAR";"renfinbank",#N/A,FALSE,"P9498BAR";"indici",#N/A,FALSE,"P9498BAR"}</definedName>
    <definedName name="anscount">1</definedName>
    <definedName name="AS2DocOpenMode">"AS2DocumentEdit"</definedName>
    <definedName name="AS2ReportLS">1</definedName>
    <definedName name="AS2SyncStepLS">0</definedName>
    <definedName name="AS2TickmarkLS">#REF!</definedName>
    <definedName name="AS2VersionLS">300</definedName>
    <definedName name="asdasdf">{#N/A,#N/A,FALSE,"Aging Summary";#N/A,#N/A,FALSE,"Ratio Analysis";#N/A,#N/A,FALSE,"Test 120 Day Accts";#N/A,#N/A,FALSE,"Tickmarks"}</definedName>
    <definedName name="asdasdf_1">{#N/A,#N/A,FALSE,"Aging Summary";#N/A,#N/A,FALSE,"Ratio Analysis";#N/A,#N/A,FALSE,"Test 120 Day Accts";#N/A,#N/A,FALSE,"Tickmarks"}</definedName>
    <definedName name="asdasdf_1_1">{#N/A,#N/A,FALSE,"Aging Summary";#N/A,#N/A,FALSE,"Ratio Analysis";#N/A,#N/A,FALSE,"Test 120 Day Accts";#N/A,#N/A,FALSE,"Tickmarks"}</definedName>
    <definedName name="asdasdf_2">{#N/A,#N/A,FALSE,"Aging Summary";#N/A,#N/A,FALSE,"Ratio Analysis";#N/A,#N/A,FALSE,"Test 120 Day Accts";#N/A,#N/A,FALSE,"Tickmarks"}</definedName>
    <definedName name="asdasdfasdf">{#N/A,#N/A,FALSE,"Aging Summary";#N/A,#N/A,FALSE,"Ratio Analysis";#N/A,#N/A,FALSE,"Test 120 Day Accts";#N/A,#N/A,FALSE,"Tickmarks"}</definedName>
    <definedName name="asdasdfasdf_1">{#N/A,#N/A,FALSE,"Aging Summary";#N/A,#N/A,FALSE,"Ratio Analysis";#N/A,#N/A,FALSE,"Test 120 Day Accts";#N/A,#N/A,FALSE,"Tickmarks"}</definedName>
    <definedName name="asdasdfasdf_1_1">{#N/A,#N/A,FALSE,"Aging Summary";#N/A,#N/A,FALSE,"Ratio Analysis";#N/A,#N/A,FALSE,"Test 120 Day Accts";#N/A,#N/A,FALSE,"Tickmarks"}</definedName>
    <definedName name="asdasdfasdf_2">{#N/A,#N/A,FALSE,"Aging Summary";#N/A,#N/A,FALSE,"Ratio Analysis";#N/A,#N/A,FALSE,"Test 120 Day Accts";#N/A,#N/A,FALSE,"Tickmarks"}</definedName>
    <definedName name="asdasdfsadf">{#N/A,#N/A,FALSE,"Aging Summary";#N/A,#N/A,FALSE,"Ratio Analysis";#N/A,#N/A,FALSE,"Test 120 Day Accts";#N/A,#N/A,FALSE,"Tickmarks"}</definedName>
    <definedName name="asdasdfsadf_1">{#N/A,#N/A,FALSE,"Aging Summary";#N/A,#N/A,FALSE,"Ratio Analysis";#N/A,#N/A,FALSE,"Test 120 Day Accts";#N/A,#N/A,FALSE,"Tickmarks"}</definedName>
    <definedName name="asdasdfsadf_1_1">{#N/A,#N/A,FALSE,"Aging Summary";#N/A,#N/A,FALSE,"Ratio Analysis";#N/A,#N/A,FALSE,"Test 120 Day Accts";#N/A,#N/A,FALSE,"Tickmarks"}</definedName>
    <definedName name="asdasdfsadf_2">{#N/A,#N/A,FALSE,"Aging Summary";#N/A,#N/A,FALSE,"Ratio Analysis";#N/A,#N/A,FALSE,"Test 120 Day Accts";#N/A,#N/A,FALSE,"Tickmarks"}</definedName>
    <definedName name="asdav">{#N/A,#N/A,FALSE,"Cover";#N/A,#N/A,FALSE,"Summary";#N/A,#N/A,FALSE,"IS";#N/A,#N/A,FALSE,"CF";#N/A,#N/A,FALSE,"BS";#N/A,#N/A,FALSE,"Detail";#N/A,#N/A,FALSE,"IRR"}</definedName>
    <definedName name="asdav_1">{#N/A,#N/A,FALSE,"Cover";#N/A,#N/A,FALSE,"Summary";#N/A,#N/A,FALSE,"IS";#N/A,#N/A,FALSE,"CF";#N/A,#N/A,FALSE,"BS";#N/A,#N/A,FALSE,"Detail";#N/A,#N/A,FALSE,"IRR"}</definedName>
    <definedName name="asdav_1_1">{#N/A,#N/A,FALSE,"Cover";#N/A,#N/A,FALSE,"Summary";#N/A,#N/A,FALSE,"IS";#N/A,#N/A,FALSE,"CF";#N/A,#N/A,FALSE,"BS";#N/A,#N/A,FALSE,"Detail";#N/A,#N/A,FALSE,"IRR"}</definedName>
    <definedName name="asdav_2">{#N/A,#N/A,FALSE,"Cover";#N/A,#N/A,FALSE,"Summary";#N/A,#N/A,FALSE,"IS";#N/A,#N/A,FALSE,"CF";#N/A,#N/A,FALSE,"BS";#N/A,#N/A,FALSE,"Detail";#N/A,#N/A,FALSE,"IRR"}</definedName>
    <definedName name="asdfas">{"print 1.6",#N/A,FALSE,"Sheet1";"print 2.6",#N/A,FALSE,"Sheet1";"print 3.6",#N/A,FALSE,"Sheet1";"print 4.6",#N/A,FALSE,"Sheet1";"print 5.6",#N/A,FALSE,"Sheet1";"print 6.6",#N/A,FALSE,"Sheet1"}</definedName>
    <definedName name="asdfas_1">{"print 1.6",#N/A,FALSE,"Sheet1";"print 2.6",#N/A,FALSE,"Sheet1";"print 3.6",#N/A,FALSE,"Sheet1";"print 4.6",#N/A,FALSE,"Sheet1";"print 5.6",#N/A,FALSE,"Sheet1";"print 6.6",#N/A,FALSE,"Sheet1"}</definedName>
    <definedName name="asdfas_1_1">{"print 1.6",#N/A,FALSE,"Sheet1";"print 2.6",#N/A,FALSE,"Sheet1";"print 3.6",#N/A,FALSE,"Sheet1";"print 4.6",#N/A,FALSE,"Sheet1";"print 5.6",#N/A,FALSE,"Sheet1";"print 6.6",#N/A,FALSE,"Sheet1"}</definedName>
    <definedName name="asdfas_2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name="asdfasaa_1">{"print 1.6",#N/A,FALSE,"Sheet1";"print 2.6",#N/A,FALSE,"Sheet1";"print 3.6",#N/A,FALSE,"Sheet1";"print 4.6",#N/A,FALSE,"Sheet1";"print 5.6",#N/A,FALSE,"Sheet1";"print 6.6",#N/A,FALSE,"Sheet1"}</definedName>
    <definedName name="asdfasaa_1_1">{"print 1.6",#N/A,FALSE,"Sheet1";"print 2.6",#N/A,FALSE,"Sheet1";"print 3.6",#N/A,FALSE,"Sheet1";"print 4.6",#N/A,FALSE,"Sheet1";"print 5.6",#N/A,FALSE,"Sheet1";"print 6.6",#N/A,FALSE,"Sheet1"}</definedName>
    <definedName name="asdfasaa_2">{"print 1.6",#N/A,FALSE,"Sheet1";"print 2.6",#N/A,FALSE,"Sheet1";"print 3.6",#N/A,FALSE,"Sheet1";"print 4.6",#N/A,FALSE,"Sheet1";"print 5.6",#N/A,FALSE,"Sheet1";"print 6.6",#N/A,FALSE,"Sheet1"}</definedName>
    <definedName name="asdfasdf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1_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2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ngfat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ngfat_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ngfat_1_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ngfat_2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ss">{"rtn",#N/A,FALSE,"RTN";"tables",#N/A,FALSE,"RTN";"cf",#N/A,FALSE,"CF";"stats",#N/A,FALSE,"Stats";"prop",#N/A,FALSE,"Prop"}</definedName>
    <definedName name="asss_1">{"rtn",#N/A,FALSE,"RTN";"tables",#N/A,FALSE,"RTN";"cf",#N/A,FALSE,"CF";"stats",#N/A,FALSE,"Stats";"prop",#N/A,FALSE,"Prop"}</definedName>
    <definedName name="asss_1_1">{"rtn",#N/A,FALSE,"RTN";"tables",#N/A,FALSE,"RTN";"cf",#N/A,FALSE,"CF";"stats",#N/A,FALSE,"Stats";"prop",#N/A,FALSE,"Prop"}</definedName>
    <definedName name="asss_2">{"rtn",#N/A,FALSE,"RTN";"tables",#N/A,FALSE,"RTN";"cf",#N/A,FALSE,"CF";"stats",#N/A,FALSE,"Stats";"prop",#N/A,FALSE,"Prop"}</definedName>
    <definedName name="atilla">{#N/A,#N/A,TRUE,"SYNTHESE-t";#N/A,#N/A,TRUE,"PUB-t";#N/A,#N/A,TRUE,"OP CONSO-t";#N/A,#N/A,TRUE,"REFERENCTS-t";#N/A,#N/A,TRUE,"ETUDES MKG-t";#N/A,#N/A,TRUE,"PACKAGING-t";#N/A,#N/A,TRUE,"DIR COM-t";#N/A,#N/A,TRUE,"MEDIA-t"}</definedName>
    <definedName name="b">#REF!</definedName>
    <definedName name="bb">#REF!</definedName>
    <definedName name="BBB">#REF!</definedName>
    <definedName name="Bea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G_Del">15</definedName>
    <definedName name="BG_Ins">4</definedName>
    <definedName name="BG_Mod">6</definedName>
    <definedName name="blah">38853.6364930556</definedName>
    <definedName name="blah_1">38853.6364930556</definedName>
    <definedName name="BLPH1">#REF!</definedName>
    <definedName name="BLPH10">#REF!</definedName>
    <definedName name="BLPH11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">#REF!</definedName>
    <definedName name="BNE_MESSAGES_HIDDEN">#REF!</definedName>
    <definedName name="bnnn">{"consolidated",#N/A,FALSE,"Sheet1";"cms",#N/A,FALSE,"Sheet1";"fse",#N/A,FALSE,"Sheet1"}</definedName>
    <definedName name="cann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CANNXCANALI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cc">{#N/A,#N/A,FALSE,"Aging Summary";#N/A,#N/A,FALSE,"Ratio Analysis";#N/A,#N/A,FALSE,"Test 120 Day Accts";#N/A,#N/A,FALSE,"Tickmarks"}</definedName>
    <definedName name="cc_1">{#N/A,#N/A,FALSE,"Aging Summary";#N/A,#N/A,FALSE,"Ratio Analysis";#N/A,#N/A,FALSE,"Test 120 Day Accts";#N/A,#N/A,FALSE,"Tickmarks"}</definedName>
    <definedName name="cc_1_1">{#N/A,#N/A,FALSE,"Aging Summary";#N/A,#N/A,FALSE,"Ratio Analysis";#N/A,#N/A,FALSE,"Test 120 Day Accts";#N/A,#N/A,FALSE,"Tickmarks"}</definedName>
    <definedName name="cc_2">{#N/A,#N/A,FALSE,"Aging Summary";#N/A,#N/A,FALSE,"Ratio Analysis";#N/A,#N/A,FALSE,"Test 120 Day Accts";#N/A,#N/A,FALSE,"Tickmarks"}</definedName>
    <definedName name="ccc">{#N/A,#N/A,FALSE,"Calc";#N/A,#N/A,FALSE,"Sensitivity";#N/A,#N/A,FALSE,"LT Earn.Dil.";#N/A,#N/A,FALSE,"Dil. AVP"}</definedName>
    <definedName name="CIQANR_09d2c921c8104a198810f608eed8d0a5">#REF!</definedName>
    <definedName name="CIQANR_0b3ec77da31545d3ae949e05ec75d5f1">#REF!</definedName>
    <definedName name="CIQANR_20f3d530adb645e5b09169ceacf41360">#REF!</definedName>
    <definedName name="CIQANR_23291a798cdc425e99420ea932934584">#REF!</definedName>
    <definedName name="CIQANR_3b4932f5f678445187c03dccce955af7">#REF!</definedName>
    <definedName name="CIQANR_3fc6704d3ffc4ebe90ebdbf0b4f40f8c">#REF!</definedName>
    <definedName name="CIQANR_418d393c6c2d4179bc92d2ec4d21f599">#REF!</definedName>
    <definedName name="CIQANR_5b369654114e40408f5b6c5289b7eabb">#REF!</definedName>
    <definedName name="CIQANR_6705238179e8434dae9690b4e093427f">#REF!</definedName>
    <definedName name="CIQANR_6b4383d889974edd9e953b863aea8d7c">#REF!</definedName>
    <definedName name="CIQANR_7cc72bddc04e41da86a4dda739aff330">#REF!</definedName>
    <definedName name="CIQANR_864d5f0305d94eabb2bef66103163824">#REF!</definedName>
    <definedName name="CIQANR_ad226832363040f69bd3848efbb66d54">#REF!</definedName>
    <definedName name="CIQANR_b09798846b424748bcec094fc2fba490">#REF!</definedName>
    <definedName name="CIQANR_d68f43caa9cf4cacb9abf9d98e84d314">#REF!</definedName>
    <definedName name="CIQANR_d89f17d25d8f40ba84ffba38d910e368">#REF!</definedName>
    <definedName name="CIQANR_dcc23707e41445e3be9df5bb4fda026c">#REF!</definedName>
    <definedName name="CIQWBGuid">"a5393fcd-1be2-486b-bb67-f851d3fe6a84"</definedName>
    <definedName name="CIQWBInfo">"{ ""CIQVersion"":""9.48.1616.5174"" }"</definedName>
    <definedName name="comp">{"bs",#N/A,FALSE,"SCF"}</definedName>
    <definedName name="comp_1">{"bs",#N/A,FALSE,"SCF"}</definedName>
    <definedName name="comp_1_1">{"bs",#N/A,FALSE,"SCF"}</definedName>
    <definedName name="comp_2">{"bs",#N/A,FALSE,"SCF"}</definedName>
    <definedName name="copia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Cwvu.GREY_ALL.">#REF!</definedName>
    <definedName name="d">#REF!</definedName>
    <definedName name="DCF_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b">{#N/A,#N/A,FALSE,"Cover";#N/A,#N/A,FALSE,"Summary";#N/A,#N/A,FALSE,"IS";#N/A,#N/A,FALSE,"CF";#N/A,#N/A,FALSE,"BS";#N/A,#N/A,FALSE,"Detail";#N/A,#N/A,FALSE,"IRR"}</definedName>
    <definedName name="ddb_1">{#N/A,#N/A,FALSE,"Cover";#N/A,#N/A,FALSE,"Summary";#N/A,#N/A,FALSE,"IS";#N/A,#N/A,FALSE,"CF";#N/A,#N/A,FALSE,"BS";#N/A,#N/A,FALSE,"Detail";#N/A,#N/A,FALSE,"IRR"}</definedName>
    <definedName name="ddb_1_1">{#N/A,#N/A,FALSE,"Cover";#N/A,#N/A,FALSE,"Summary";#N/A,#N/A,FALSE,"IS";#N/A,#N/A,FALSE,"CF";#N/A,#N/A,FALSE,"BS";#N/A,#N/A,FALSE,"Detail";#N/A,#N/A,FALSE,"IRR"}</definedName>
    <definedName name="ddb_2">{#N/A,#N/A,FALSE,"Cover";#N/A,#N/A,FALSE,"Summary";#N/A,#N/A,FALSE,"IS";#N/A,#N/A,FALSE,"CF";#N/A,#N/A,FALSE,"BS";#N/A,#N/A,FALSE,"Detail";#N/A,#N/A,FALSE,"IRR"}</definedName>
    <definedName name="dddddddddddddddddddddddd">{#N/A,#N/A,TRUE,"Índice";#N/A,#N/A,TRUE,"Indicadores Ind.";#N/A,#N/A,TRUE,"Rend. y Sat.";#N/A,#N/A,TRUE,"Síntesis de Informe";#N/A,#N/A,TRUE,"T.B.I. Planta Bs. As.";#N/A,#N/A,TRUE,"Análisis de Desvíos";#N/A,#N/A,TRUE,"132 Por Cuenta";#N/A,#N/A,TRUE,"132 Por C.C.";#N/A,#N/A,TRUE,"142 Por Cuenta";#N/A,#N/A,TRUE,"142 Por Cta Ranking";#N/A,#N/A,TRUE,"142 Por C.C. ";#N/A,#N/A,TRUE,"T.B.I. Chocolate";#N/A,#N/A,TRUE,"Control de Dotación";#N/A,#N/A,TRUE,"Comparativa Horas";#N/A,#N/A,TRUE,"Control Hs.Extras";#N/A,#N/A,TRUE,"Productividad por línea";#N/A,#N/A,TRUE,"Sobrepeso";#N/A,#N/A,TRUE,"Scrap";#N/A,#N/A,TRUE,"Evol. Mermas";#N/A,#N/A,TRUE,"Evol. Mermas (Res. Gráfico)";#N/A,#N/A,TRUE,"Estadística (Productos)";#N/A,#N/A,TRUE,"Estadística (Familias)";#N/A,#N/A,TRUE,"Chocolate";#N/A,#N/A,TRUE,"Dulce de Leche"}</definedName>
    <definedName name="det_ce">{"cebank",#N/A,FALSE,"P9498BAR";"spbank",#N/A,FALSE,"P9498BAR";"renfinbank",#N/A,FALSE,"P9498BAR";"indici",#N/A,FALSE,"P9498BAR"}</definedName>
    <definedName name="dfgdf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fgdfg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fgdfg_1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fgdfg_2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fhdf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fhdfg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fhdfg_1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fhdfg_2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gdg">{#N/A,#N/A,FALSE,"Calc";#N/A,#N/A,FALSE,"Sensitivity";#N/A,#N/A,FALSE,"LT Earn.Dil.";#N/A,#N/A,FALSE,"Dil. AVP"}</definedName>
    <definedName name="dgdgss">{"consolidated",#N/A,FALSE,"Sheet1";"cms",#N/A,FALSE,"Sheet1";"fse",#N/A,FALSE,"Sheet1"}</definedName>
    <definedName name="dhr">{"Pound Sterling",#N/A,TRUE,"PPD";"Pound Sterling",#N/A,TRUE,"Anaquest";"Pound Sterling",#N/A,TRUE,"Delta";"Pound Sterling",#N/A,TRUE,"INO"}</definedName>
    <definedName name="dhr_1">{"Pound Sterling",#N/A,TRUE,"PPD";"Pound Sterling",#N/A,TRUE,"Anaquest";"Pound Sterling",#N/A,TRUE,"Delta";"Pound Sterling",#N/A,TRUE,"INO"}</definedName>
    <definedName name="dhr_1_1">{"Pound Sterling",#N/A,TRUE,"PPD";"Pound Sterling",#N/A,TRUE,"Anaquest";"Pound Sterling",#N/A,TRUE,"Delta";"Pound Sterling",#N/A,TRUE,"INO"}</definedName>
    <definedName name="dhr_2">{"Pound Sterling",#N/A,TRUE,"PPD";"Pound Sterling",#N/A,TRUE,"Anaquest";"Pound Sterling",#N/A,TRUE,"Delta";"Pound Sterling",#N/A,TRUE,"INO"}</definedName>
    <definedName name="dhrdh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hrdh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hrdh_1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hrdh_2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htrhdr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htrhdr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htrhdr_1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htrhdr_2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LOV_DesktopBudgetsEntryPageDef_PeriodName_LedgerId_7">#REF!</definedName>
    <definedName name="DLOV_DesktopBudgetsEntryPageDef_PeriodName_LedgerId_NA">#REF!</definedName>
    <definedName name="drhdrh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drhdrh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drhdrh_1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drhdrh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drhrhdfh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drhrhdfh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drhrhdfh_1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drhrhdfh_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drhrhr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rhrhr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rhrhr_1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rhrhr_2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sg">{#N/A,#N/A,FALSE,"Calc";#N/A,#N/A,FALSE,"Sensitivity";#N/A,#N/A,FALSE,"LT Earn.Dil.";#N/A,#N/A,FALSE,"Dil. AVP"}</definedName>
    <definedName name="dtht">{"US Dollars",#N/A,TRUE,"PPD";"US Dollar",#N/A,TRUE,"Anaquest";"US Dollar",#N/A,TRUE,"Delta";"US Dollar",#N/A,TRUE,"INO"}</definedName>
    <definedName name="dtht_1">{"US Dollars",#N/A,TRUE,"PPD";"US Dollar",#N/A,TRUE,"Anaquest";"US Dollar",#N/A,TRUE,"Delta";"US Dollar",#N/A,TRUE,"INO"}</definedName>
    <definedName name="dtht_1_1">{"US Dollars",#N/A,TRUE,"PPD";"US Dollar",#N/A,TRUE,"Anaquest";"US Dollar",#N/A,TRUE,"Delta";"US Dollar",#N/A,TRUE,"INO"}</definedName>
    <definedName name="dtht_2">{"US Dollars",#N/A,TRUE,"PPD";"US Dollar",#N/A,TRUE,"Anaquest";"US Dollar",#N/A,TRUE,"Delta";"US Dollar",#N/A,TRUE,"INO"}</definedName>
    <definedName name="dvs">{"bs",#N/A,FALSE,"SCF"}</definedName>
    <definedName name="dvs_1">{"bs",#N/A,FALSE,"SCF"}</definedName>
    <definedName name="dvs_1_1">{"bs",#N/A,FALSE,"SCF"}</definedName>
    <definedName name="dvs_2">{"bs",#N/A,FALSE,"SCF"}</definedName>
    <definedName name="e">{"Test",#N/A,FALSE,"Index";#N/A,"RISK",FALSE,"MarketProjection"}</definedName>
    <definedName name="e_1">38853.6364930556</definedName>
    <definedName name="e_1_1">38853.6364930556</definedName>
    <definedName name="e_2">{"Test",#N/A,FALSE,"Index";#N/A,"RISK",FALSE,"MarketProjection"}</definedName>
    <definedName name="e_2_1">{"Test",#N/A,FALSE,"Index";#N/A,"RISK",FALSE,"MarketProjection"}</definedName>
    <definedName name="e_3">{"Test",#N/A,FALSE,"Index";#N/A,"RISK",FALSE,"MarketProjection"}</definedName>
    <definedName name="eeee">#REF!</definedName>
    <definedName name="emily">{#N/A,#N/A,FALSE,"Calc";#N/A,#N/A,FALSE,"Sensitivity";#N/A,#N/A,FALSE,"LT Earn.Dil.";#N/A,#N/A,FALSE,"Dil. AVP"}</definedName>
    <definedName name="ersge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ersge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ersge_1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ersge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etet">{#N/A,#N/A,FALSE,"Calc";#N/A,#N/A,FALSE,"Sensitivity";#N/A,#N/A,FALSE,"LT Earn.Dil.";#N/A,#N/A,FALSE,"Dil. AVP"}</definedName>
    <definedName name="FA">#REF!</definedName>
    <definedName name="FA_AUD">#REF!</definedName>
    <definedName name="fdfdsafdsa">{#N/A,#N/A,FALSE,"Aging Summary";#N/A,#N/A,FALSE,"Ratio Analysis";#N/A,#N/A,FALSE,"Test 120 Day Accts";#N/A,#N/A,FALSE,"Tickmarks"}</definedName>
    <definedName name="fdfdsafdsa_1">{#N/A,#N/A,FALSE,"Aging Summary";#N/A,#N/A,FALSE,"Ratio Analysis";#N/A,#N/A,FALSE,"Test 120 Day Accts";#N/A,#N/A,FALSE,"Tickmarks"}</definedName>
    <definedName name="fdfdsafdsa_1_1">{#N/A,#N/A,FALSE,"Aging Summary";#N/A,#N/A,FALSE,"Ratio Analysis";#N/A,#N/A,FALSE,"Test 120 Day Accts";#N/A,#N/A,FALSE,"Tickmarks"}</definedName>
    <definedName name="fdfdsafdsa_2">{#N/A,#N/A,FALSE,"Aging Summary";#N/A,#N/A,FALSE,"Ratio Analysis";#N/A,#N/A,FALSE,"Test 120 Day Accts";#N/A,#N/A,FALSE,"Tickmarks"}</definedName>
    <definedName name="fdfghdf">{"inputs raw data",#N/A,TRUE,"INPUT"}</definedName>
    <definedName name="fdfghdf_1">{"inputs raw data",#N/A,TRUE,"INPUT"}</definedName>
    <definedName name="fdfghdf_1_1">{"inputs raw data",#N/A,TRUE,"INPUT"}</definedName>
    <definedName name="fdfghdf_2">{"inputs raw data",#N/A,TRUE,"INPUT"}</definedName>
    <definedName name="fgjfg">{"Pound Sterling",#N/A,TRUE,"PPD";"Pound Sterling",#N/A,TRUE,"Anaquest";"Pound Sterling",#N/A,TRUE,"Delta";"Pound Sterling",#N/A,TRUE,"INO"}</definedName>
    <definedName name="fgjfg_1">{"Pound Sterling",#N/A,TRUE,"PPD";"Pound Sterling",#N/A,TRUE,"Anaquest";"Pound Sterling",#N/A,TRUE,"Delta";"Pound Sterling",#N/A,TRUE,"INO"}</definedName>
    <definedName name="fgjfg_1_1">{"Pound Sterling",#N/A,TRUE,"PPD";"Pound Sterling",#N/A,TRUE,"Anaquest";"Pound Sterling",#N/A,TRUE,"Delta";"Pound Sterling",#N/A,TRUE,"INO"}</definedName>
    <definedName name="fgjfg_2">{"Pound Sterling",#N/A,TRUE,"PPD";"Pound Sterling",#N/A,TRUE,"Anaquest";"Pound Sterling",#N/A,TRUE,"Delta";"Pound Sterling",#N/A,TRUE,"INO"}</definedName>
    <definedName name="fgjgf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fgjgf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fgjgf_1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fgjgf_2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fgjgfj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fgjgfj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fgjgfj_1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fgjgfj_2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fgsdfgdfg">{"US Dollars",#N/A,TRUE,"PPD";"US Dollar",#N/A,TRUE,"Anaquest";"US Dollar",#N/A,TRUE,"Delta";"US Dollar",#N/A,TRUE,"INO"}</definedName>
    <definedName name="fgsdfgdfg_1">{"US Dollars",#N/A,TRUE,"PPD";"US Dollar",#N/A,TRUE,"Anaquest";"US Dollar",#N/A,TRUE,"Delta";"US Dollar",#N/A,TRUE,"INO"}</definedName>
    <definedName name="fgsdfgdfg_1_1">{"US Dollars",#N/A,TRUE,"PPD";"US Dollar",#N/A,TRUE,"Anaquest";"US Dollar",#N/A,TRUE,"Delta";"US Dollar",#N/A,TRUE,"INO"}</definedName>
    <definedName name="fgsdfgdfg_2">{"US Dollars",#N/A,TRUE,"PPD";"US Dollar",#N/A,TRUE,"Anaquest";"US Dollar",#N/A,TRUE,"Delta";"US Dollar",#N/A,TRUE,"INO"}</definedName>
    <definedName name="fgsdfgf">{"Units A",#N/A,FALSE,"FY95SLS";"Units B",#N/A,FALSE,"FY95SLS"}</definedName>
    <definedName name="fgsdfgf_1">{"Units A",#N/A,FALSE,"FY95SLS";"Units B",#N/A,FALSE,"FY95SLS"}</definedName>
    <definedName name="fgsdfgf_1_1">{"Units A",#N/A,FALSE,"FY95SLS";"Units B",#N/A,FALSE,"FY95SLS"}</definedName>
    <definedName name="fgsdfgf_2">{"Units A",#N/A,FALSE,"FY95SLS";"Units B",#N/A,FALSE,"FY95SLS"}</definedName>
    <definedName name="fgsg">{"consolidated",#N/A,FALSE,"Sheet1";"cms",#N/A,FALSE,"Sheet1";"fse",#N/A,FALSE,"Sheet1"}</definedName>
    <definedName name="fhgfgh">{"Pound Sterling",#N/A,TRUE,"PPD";"Pound Sterling",#N/A,TRUE,"Anaquest";"Pound Sterling",#N/A,TRUE,"Delta";"Pound Sterling",#N/A,TRUE,"INO"}</definedName>
    <definedName name="fhgfgh_1">{"Pound Sterling",#N/A,TRUE,"PPD";"Pound Sterling",#N/A,TRUE,"Anaquest";"Pound Sterling",#N/A,TRUE,"Delta";"Pound Sterling",#N/A,TRUE,"INO"}</definedName>
    <definedName name="fhgfgh_1_1">{"Pound Sterling",#N/A,TRUE,"PPD";"Pound Sterling",#N/A,TRUE,"Anaquest";"Pound Sterling",#N/A,TRUE,"Delta";"Pound Sterling",#N/A,TRUE,"INO"}</definedName>
    <definedName name="fhgfgh_2">{"Pound Sterling",#N/A,TRUE,"PPD";"Pound Sterling",#N/A,TRUE,"Anaquest";"Pound Sterling",#N/A,TRUE,"Delta";"Pound Sterling",#N/A,TRUE,"INO"}</definedName>
    <definedName name="fjgfj">{"Units A",#N/A,FALSE,"FY95SLS";"Units B",#N/A,FALSE,"FY95SLS"}</definedName>
    <definedName name="fjgfj_1">{"Units A",#N/A,FALSE,"FY95SLS";"Units B",#N/A,FALSE,"FY95SLS"}</definedName>
    <definedName name="fjgfj_1_1">{"Units A",#N/A,FALSE,"FY95SLS";"Units B",#N/A,FALSE,"FY95SLS"}</definedName>
    <definedName name="fjgfj_2">{"Units A",#N/A,FALSE,"FY95SLS";"Units B",#N/A,FALSE,"FY95SLS"}</definedName>
    <definedName name="foglio14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fsfs">{#N/A,#N/A,FALSE,"Calc";#N/A,#N/A,FALSE,"Sensitivity";#N/A,#N/A,FALSE,"LT Earn.Dil.";#N/A,#N/A,FALSE,"Dil. AVP"}</definedName>
    <definedName name="gfj">{"Pound Sterling",#N/A,TRUE,"PPD";"Pound Sterling",#N/A,TRUE,"Anaquest";"Pound Sterling",#N/A,TRUE,"Delta";"Pound Sterling",#N/A,TRUE,"INO"}</definedName>
    <definedName name="gfj_1">{"Pound Sterling",#N/A,TRUE,"PPD";"Pound Sterling",#N/A,TRUE,"Anaquest";"Pound Sterling",#N/A,TRUE,"Delta";"Pound Sterling",#N/A,TRUE,"INO"}</definedName>
    <definedName name="gfj_1_1">{"Pound Sterling",#N/A,TRUE,"PPD";"Pound Sterling",#N/A,TRUE,"Anaquest";"Pound Sterling",#N/A,TRUE,"Delta";"Pound Sterling",#N/A,TRUE,"INO"}</definedName>
    <definedName name="gfj_2">{"Pound Sterling",#N/A,TRUE,"PPD";"Pound Sterling",#N/A,TRUE,"Anaquest";"Pound Sterling",#N/A,TRUE,"Delta";"Pound Sterling",#N/A,TRUE,"INO"}</definedName>
    <definedName name="gfjgfj">{"US Dollars",#N/A,TRUE,"PPD";"US Dollar",#N/A,TRUE,"Anaquest";"US Dollar",#N/A,TRUE,"Delta";"US Dollar",#N/A,TRUE,"INO"}</definedName>
    <definedName name="gfjgfj_1">{"US Dollars",#N/A,TRUE,"PPD";"US Dollar",#N/A,TRUE,"Anaquest";"US Dollar",#N/A,TRUE,"Delta";"US Dollar",#N/A,TRUE,"INO"}</definedName>
    <definedName name="gfjgfj_1_1">{"US Dollars",#N/A,TRUE,"PPD";"US Dollar",#N/A,TRUE,"Anaquest";"US Dollar",#N/A,TRUE,"Delta";"US Dollar",#N/A,TRUE,"INO"}</definedName>
    <definedName name="gfjgfj_2">{"US Dollars",#N/A,TRUE,"PPD";"US Dollar",#N/A,TRUE,"Anaquest";"US Dollar",#N/A,TRUE,"Delta";"US Dollar",#N/A,TRUE,"INO"}</definedName>
    <definedName name="gfjgfjgf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fjgfjgf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fjgfjgf_1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fjgfjgf_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hfghgf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hfghgf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hfghgf_1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hfghgf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jdft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jdft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jdft_1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jdft_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jty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jty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jty_1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jty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kl">{"cebank",#N/A,FALSE,"P9498BAR";"spbank",#N/A,FALSE,"P9498BAR";"renfinbank",#N/A,FALSE,"P9498BAR";"indici",#N/A,FALSE,"P9498BAR"}</definedName>
    <definedName name="glx">#REF!</definedName>
    <definedName name="glxa">#REF!</definedName>
    <definedName name="glxaaa">#REF!</definedName>
    <definedName name="glxb">#REF!</definedName>
    <definedName name="glxbbb">#REF!</definedName>
    <definedName name="glxc">#REF!</definedName>
    <definedName name="glxccc">#REF!</definedName>
    <definedName name="glxd">#REF!</definedName>
    <definedName name="glxddd">#REF!</definedName>
    <definedName name="glxe">#REF!</definedName>
    <definedName name="glxeee">#REF!</definedName>
    <definedName name="glxf">#REF!</definedName>
    <definedName name="glxg">#REF!</definedName>
    <definedName name="glxh">#REF!</definedName>
    <definedName name="glxi">#REF!</definedName>
    <definedName name="glxj">#REF!</definedName>
    <definedName name="glxje">#REF!</definedName>
    <definedName name="glxjf">#REF!</definedName>
    <definedName name="graphf">#REF!</definedName>
    <definedName name="gsgseg">{"Units A",#N/A,FALSE,"FY95SLS";"Units B",#N/A,FALSE,"FY95SLS"}</definedName>
    <definedName name="gsgseg_1">{"Units A",#N/A,FALSE,"FY95SLS";"Units B",#N/A,FALSE,"FY95SLS"}</definedName>
    <definedName name="gsgseg_1_1">{"Units A",#N/A,FALSE,"FY95SLS";"Units B",#N/A,FALSE,"FY95SLS"}</definedName>
    <definedName name="gsgseg_2">{"Units A",#N/A,FALSE,"FY95SLS";"Units B",#N/A,FALSE,"FY95SLS"}</definedName>
    <definedName name="gsrgr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srgr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srgr_1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srgr_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h">#REF!</definedName>
    <definedName name="hgfhfgh">{"Pound Sterling",#N/A,TRUE,"PPD";"Pound Sterling",#N/A,TRUE,"Anaquest";"Pound Sterling",#N/A,TRUE,"Delta";"Pound Sterling",#N/A,TRUE,"INO"}</definedName>
    <definedName name="hgfhfgh_1">{"Pound Sterling",#N/A,TRUE,"PPD";"Pound Sterling",#N/A,TRUE,"Anaquest";"Pound Sterling",#N/A,TRUE,"Delta";"Pound Sterling",#N/A,TRUE,"INO"}</definedName>
    <definedName name="hgfhfgh_1_1">{"Pound Sterling",#N/A,TRUE,"PPD";"Pound Sterling",#N/A,TRUE,"Anaquest";"Pound Sterling",#N/A,TRUE,"Delta";"Pound Sterling",#N/A,TRUE,"INO"}</definedName>
    <definedName name="hgfhfgh_2">{"Pound Sterling",#N/A,TRUE,"PPD";"Pound Sterling",#N/A,TRUE,"Anaquest";"Pound Sterling",#N/A,TRUE,"Delta";"Pound Sterling",#N/A,TRUE,"INO"}</definedName>
    <definedName name="hjhyjy">{"Pound Sterling",#N/A,TRUE,"PPD";"Pound Sterling",#N/A,TRUE,"Anaquest";"Pound Sterling",#N/A,TRUE,"Delta";"Pound Sterling",#N/A,TRUE,"INO"}</definedName>
    <definedName name="hjhyjy_1">{"Pound Sterling",#N/A,TRUE,"PPD";"Pound Sterling",#N/A,TRUE,"Anaquest";"Pound Sterling",#N/A,TRUE,"Delta";"Pound Sterling",#N/A,TRUE,"INO"}</definedName>
    <definedName name="hjhyjy_1_1">{"Pound Sterling",#N/A,TRUE,"PPD";"Pound Sterling",#N/A,TRUE,"Anaquest";"Pound Sterling",#N/A,TRUE,"Delta";"Pound Sterling",#N/A,TRUE,"INO"}</definedName>
    <definedName name="hjhyjy_2">{"Pound Sterling",#N/A,TRUE,"PPD";"Pound Sterling",#N/A,TRUE,"Anaquest";"Pound Sterling",#N/A,TRUE,"Delta";"Pound Sterling",#N/A,TRUE,"INO"}</definedName>
    <definedName name="hjkjlkj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jkjlkj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jkjlkj_1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jkjlkj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jkljlj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jkljlj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jkljlj_1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jkljlj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od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>{#N/A,#N/A,FALSE,"AD_Purchase";#N/A,#N/A,FALSE,"Credit";#N/A,#N/A,FALSE,"PF Acquisition";#N/A,#N/A,FALSE,"PF Offering"}</definedName>
    <definedName name="houy_1">{#N/A,#N/A,FALSE,"AD_Purchase";#N/A,#N/A,FALSE,"Credit";#N/A,#N/A,FALSE,"PF Acquisition";#N/A,#N/A,FALSE,"PF Offering"}</definedName>
    <definedName name="houy_1_1">{#N/A,#N/A,FALSE,"AD_Purchase";#N/A,#N/A,FALSE,"Credit";#N/A,#N/A,FALSE,"PF Acquisition";#N/A,#N/A,FALSE,"PF Offering"}</definedName>
    <definedName name="houy_2">{#N/A,#N/A,FALSE,"AD_Purchase";#N/A,#N/A,FALSE,"Credit";#N/A,#N/A,FALSE,"PF Acquisition";#N/A,#N/A,FALSE,"PF Offering"}</definedName>
    <definedName name="hsdhdr">{"US Dollars",#N/A,TRUE,"PPD";"US Dollar",#N/A,TRUE,"Anaquest";"US Dollar",#N/A,TRUE,"Delta";"US Dollar",#N/A,TRUE,"INO"}</definedName>
    <definedName name="hsdhdr_1">{"US Dollars",#N/A,TRUE,"PPD";"US Dollar",#N/A,TRUE,"Anaquest";"US Dollar",#N/A,TRUE,"Delta";"US Dollar",#N/A,TRUE,"INO"}</definedName>
    <definedName name="hsdhdr_1_1">{"US Dollars",#N/A,TRUE,"PPD";"US Dollar",#N/A,TRUE,"Anaquest";"US Dollar",#N/A,TRUE,"Delta";"US Dollar",#N/A,TRUE,"INO"}</definedName>
    <definedName name="hsdhdr_2">{"US Dollars",#N/A,TRUE,"PPD";"US Dollar",#N/A,TRUE,"Anaquest";"US Dollar",#N/A,TRUE,"Delta";"US Dollar",#N/A,TRUE,"INO"}</definedName>
    <definedName name="iiiii">{#N/A,#N/A,FALSE,"Calc";#N/A,#N/A,FALSE,"Sensitivity";#N/A,#N/A,FALSE,"LT Earn.Dil.";#N/A,#N/A,FALSE,"Dil. AVP"}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COUNT_CHANGE_1">"c1449"</definedName>
    <definedName name="IQ_ACCOUNTS_PAY_1">"c1343"</definedName>
    <definedName name="IQ_ACCRUED_EXP_1">"c1341"</definedName>
    <definedName name="IQ_ACCUM_DEP_1">"c1340"</definedName>
    <definedName name="IQ_ACQUIRED_BY_REPORTING_BANK_FDIC">"c6535"</definedName>
    <definedName name="IQ_ADD_PAID_IN_1">"c1344"</definedName>
    <definedName name="IQ_ADDIN">"AUTO"</definedName>
    <definedName name="IQ_ADDITIONAL_NON_INT_INC_FDIC">"c6574"</definedName>
    <definedName name="IQ_ADJUSTABLE_RATE_LOANS_FDIC">"c6375"</definedName>
    <definedName name="IQ_AE_BR">"c10"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LLOW_CONST_1">"c1342"</definedName>
    <definedName name="IQ_AMENDED_BALANCE_PREVIOUS_YR_FDIC">"c6499"</definedName>
    <definedName name="IQ_AMORT_EXPENSE_FDIC">"c6677"</definedName>
    <definedName name="IQ_AMORTIZATION_1">"c1591"</definedName>
    <definedName name="IQ_AMORTIZED_COST_FDIC">"c6426"</definedName>
    <definedName name="IQ_ANALYST_DET_EST_REUT">"c12135"</definedName>
    <definedName name="IQ_ANALYST_NON_PER_DET_EST_REUT">"c12758"</definedName>
    <definedName name="IQ_ANNUAL_DIVIDEND">"c229"</definedName>
    <definedName name="IQ_AP_BR">"c34"</definedName>
    <definedName name="IQ_AR_BR">"c41"</definedName>
    <definedName name="IQ_ASSET_BACKED_FDIC">"c6301"</definedName>
    <definedName name="IQ_ASSET_TURNS_1">"c47"</definedName>
    <definedName name="IQ_ASSET_WRITEDOWN_BR">"c50"</definedName>
    <definedName name="IQ_ASSET_WRITEDOWN_CF_BR">"c53"</definedName>
    <definedName name="IQ_ASSETS_HELD_FDIC">"c6305"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ROKER_REC_NO_REUT">"c5315"</definedName>
    <definedName name="IQ_AVG_BROKER_REC_REUT">"c3630"</definedName>
    <definedName name="IQ_AVG_PRICE_1">"c81"</definedName>
    <definedName name="IQ_AVG_PRICE_TARGET">"c82"</definedName>
    <definedName name="IQ_AVG_VOLUME_1">"c1346"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_1">"c85"</definedName>
    <definedName name="IQ_BASIC_EPS_INCL_1">"c86"</definedName>
    <definedName name="IQ_BASIC_NORMAL_EPS_1">"c1592"</definedName>
    <definedName name="IQ_BASIC_WEIGHT_1">"c87"</definedName>
    <definedName name="IQ_BETA_1">"c2133"</definedName>
    <definedName name="IQ_BOARD_MEMBER_1">"c96"</definedName>
    <definedName name="IQ_BOARD_MEMBER_TITLE_1">"c97"</definedName>
    <definedName name="IQ_BONDRATING_FITCH">"c223"</definedName>
    <definedName name="IQ_BONDRATING_FITCH_DATE">"c241"</definedName>
    <definedName name="IQ_BONDRATING_SP">"c224"</definedName>
    <definedName name="IQ_BONDRATING_SP_DATE">"c242"</definedName>
    <definedName name="IQ_BOOK_VALUE">"c68"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S_SEG_PRIMARY_GIC">"c15584"</definedName>
    <definedName name="IQ_BUS_SEG_PRIMARY_GIC_ABS">"c15572"</definedName>
    <definedName name="IQ_BUS_SEG_SECONDARY_GIC">"c15585"</definedName>
    <definedName name="IQ_BUS_SEG_SECONDARY_GIC_ABS">"c15573"</definedName>
    <definedName name="IQ_BV_OVER_SHARES_1">"c1349"</definedName>
    <definedName name="IQ_BV_SHARE_ACT_OR_EST_REUT">"c5477"</definedName>
    <definedName name="IQ_BV_SHARE_DET_EST_CURRENCY_REUT">"c12524"</definedName>
    <definedName name="IQ_BV_SHARE_DET_EST_DATE_REUT">"c12281"</definedName>
    <definedName name="IQ_BV_SHARE_DET_EST_INCL_REUT">"c12407"</definedName>
    <definedName name="IQ_BV_SHARE_DET_EST_ORIGIN_REUT">"c12649"</definedName>
    <definedName name="IQ_BV_SHARE_DET_EST_REUT">"c12139"</definedName>
    <definedName name="IQ_BV_SHARE_EST_REUT">"c5439"</definedName>
    <definedName name="IQ_BV_SHARE_HIGH_EST_REUT">"c5441"</definedName>
    <definedName name="IQ_BV_SHARE_LOW_EST_REUT">"c5442"</definedName>
    <definedName name="IQ_BV_SHARE_MEDIAN_EST_REUT">"c5440"</definedName>
    <definedName name="IQ_BV_SHARE_NUM_EST_REUT">"c5443"</definedName>
    <definedName name="IQ_BV_SHARE_STDDEV_EST_REUT">"c5444"</definedName>
    <definedName name="IQ_CAL_Q_1">"c101"</definedName>
    <definedName name="IQ_CAL_Q_EST_REUT">"c6800"</definedName>
    <definedName name="IQ_CAL_Y_1">"c102"</definedName>
    <definedName name="IQ_CAL_Y_EST_REUT">"c6801"</definedName>
    <definedName name="IQ_CAPEX_1">"c103"</definedName>
    <definedName name="IQ_CAPEX_ACT_OR_EST_REUT">"c5474"</definedName>
    <definedName name="IQ_CAPEX_BR">"c111"</definedName>
    <definedName name="IQ_CAPEX_DET_EST_CURRENCY_REUT">"c12525"</definedName>
    <definedName name="IQ_CAPEX_DET_EST_DATE_REUT">"c12282"</definedName>
    <definedName name="IQ_CAPEX_DET_EST_INCL_REUT">"c12408"</definedName>
    <definedName name="IQ_CAPEX_DET_EST_ORIGIN_REUT">"c12768"</definedName>
    <definedName name="IQ_CAPEX_DET_EST_REUT">"c12140"</definedName>
    <definedName name="IQ_CAPEX_EST_REUT">"c3969"</definedName>
    <definedName name="IQ_CAPEX_HIGH_EST_REUT">"c3971"</definedName>
    <definedName name="IQ_CAPEX_LOW_EST_REUT">"c3972"</definedName>
    <definedName name="IQ_CAPEX_MEDIAN_EST_REUT">"c3970"</definedName>
    <definedName name="IQ_CAPEX_NUM_EST_REUT">"c3973"</definedName>
    <definedName name="IQ_CAPEX_STDDEV_EST_REUT">"c3974"</definedName>
    <definedName name="IQ_CAPITAL_LEASE_1">"c1350"</definedName>
    <definedName name="IQ_CAPITALIZED_INTEREST_1">"c3460"</definedName>
    <definedName name="IQ_CASH_1">"c1458"</definedName>
    <definedName name="IQ_CASH_ACQUIRE_CF_1">"c116"</definedName>
    <definedName name="IQ_CASH_DIVIDENDS_NET_INCOME_FDIC">"c6738"</definedName>
    <definedName name="IQ_CASH_DUE_BANKS_1">"c1351"</definedName>
    <definedName name="IQ_CASH_EQUIV_1">"c118"</definedName>
    <definedName name="IQ_CASH_IN_PROCESS_FDIC">"c6386"</definedName>
    <definedName name="IQ_CASH_INTEREST_1">"c120"</definedName>
    <definedName name="IQ_CASH_ST_1">"c1355"</definedName>
    <definedName name="IQ_CASH_TAXES_1">"c125"</definedName>
    <definedName name="IQ_CCE_FDIC">"c6296"</definedName>
    <definedName name="IQ_CFPS_ACT_OR_EST_REUT">"c5463"</definedName>
    <definedName name="IQ_CFPS_DET_EST_CURRENCY_REUT">"c12526"</definedName>
    <definedName name="IQ_CFPS_DET_EST_DATE_REUT">"c12283"</definedName>
    <definedName name="IQ_CFPS_DET_EST_INCL_REUT">"c12409"</definedName>
    <definedName name="IQ_CFPS_DET_EST_ORIGIN_REUT">"c12651"</definedName>
    <definedName name="IQ_CFPS_DET_EST_REUT">"c12141"</definedName>
    <definedName name="IQ_CFPS_EST_REUT">"c3844"</definedName>
    <definedName name="IQ_CFPS_HIGH_EST_REUT">"c3846"</definedName>
    <definedName name="IQ_CFPS_LOW_EST_REUT">"c3847"</definedName>
    <definedName name="IQ_CFPS_MEDIAN_EST_REUT">"c3845"</definedName>
    <definedName name="IQ_CFPS_NUM_EST_REUT">"c3848"</definedName>
    <definedName name="IQ_CFPS_STDDEV_EST_REUT">"c3849"</definedName>
    <definedName name="IQ_CHANGE_AP_BR">"c135"</definedName>
    <definedName name="IQ_CHANGE_AR_BR">"c142"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HANGE_OTHER_NET_OPER_ASSETS_BR">"c3595"</definedName>
    <definedName name="IQ_CHANGE_OTHER_WORK_CAP_BR">"c154"</definedName>
    <definedName name="IQ_CHANGES_WORK_CAP_1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ITY_1">"c166"</definedName>
    <definedName name="IQ_CLASSB_OUTSTANDING_BS_DATE">"c1972"</definedName>
    <definedName name="IQ_CLASSB_OUTSTANDING_FILING_DATE">"c1974"</definedName>
    <definedName name="IQ_CLOSEPRICE_1">"c174"</definedName>
    <definedName name="IQ_CMO_FDIC">"c6406"</definedName>
    <definedName name="IQ_COLLECTION_DOMESTIC_FDIC">"c6387"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_APIC_BR">"c185"</definedName>
    <definedName name="IQ_COMMON_FDIC">"c6350"</definedName>
    <definedName name="IQ_COMMON_ISSUED_BR">"c199"</definedName>
    <definedName name="IQ_COMMON_REP_BR">"c208"</definedName>
    <definedName name="IQ_COMMON_STOCK_1">"c1358"</definedName>
    <definedName name="IQ_COMPANY_ADDRESS_1">"c214"</definedName>
    <definedName name="IQ_COMPANY_NAME_1">"c215"</definedName>
    <definedName name="IQ_COMPANY_PHONE_1">"c216"</definedName>
    <definedName name="IQ_COMPANY_STREET1_1">"c217"</definedName>
    <definedName name="IQ_COMPANY_STREET2_1">"c218"</definedName>
    <definedName name="IQ_COMPANY_TICKER_1">"c219"</definedName>
    <definedName name="IQ_COMPANY_WEBSITE_1">"c220"</definedName>
    <definedName name="IQ_COMPANY_ZIP_1">"c221"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TRACTS_OTHER_COMMODITIES_EQUITIES._FDIC">"c6522"</definedName>
    <definedName name="IQ_CONTRACTS_OTHER_COMMODITIES_EQUITIES_FDIC">"c6522"</definedName>
    <definedName name="IQ_CONTRIB_ID_DET_EST_REUT">"c12137"</definedName>
    <definedName name="IQ_CONTRIB_ID_NON_PER_DET_EST_REUT">"c13827"</definedName>
    <definedName name="IQ_CONTRIB_NAME_DET_EST_REUT">"c12138"</definedName>
    <definedName name="IQ_CONTRIB_NAME_NON_PER_DET_EST_REUT">"c12763"</definedName>
    <definedName name="IQ_CONTRIB_REC_DET_EST_DATE_REUT">"c12285"</definedName>
    <definedName name="IQ_CONTRIB_REC_DET_EST_ORIGIN_REUT">"c12653"</definedName>
    <definedName name="IQ_CONTRIB_REC_DET_EST_REUT">"c12143"</definedName>
    <definedName name="IQ_CONV_RATE">"c2192"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ST_OF_FUNDING_ASSETS_FDIC">"c6725"</definedName>
    <definedName name="IQ_COST_REVENUE_1">"c1359"</definedName>
    <definedName name="IQ_COUNTRY_NAME_1">"c230"</definedName>
    <definedName name="IQ_CREDIT_CARD_CHARGE_OFFS_FDIC">"c6652"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PROVISION_NET_CHARGE_OFFS_FDIC">"c6734"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URRENCY_COIN_DOMESTIC_FDIC">"c6388"</definedName>
    <definedName name="IQ_CURRENCY_GAIN_BR">"c236"</definedName>
    <definedName name="IQ_CURRENT_PORT_1">"c241"</definedName>
    <definedName name="IQ_CURRENT_PORT_DEBT_BR">"c1567"</definedName>
    <definedName name="IQ_CURRENT_RATIO_1">"c246"</definedName>
    <definedName name="IQ_DA_BR">"c248"</definedName>
    <definedName name="IQ_DA_CF_BR">"c251"</definedName>
    <definedName name="IQ_DA_SUPPL_BR">"c260"</definedName>
    <definedName name="IQ_DA_SUPPL_CF_BR">"c263"</definedName>
    <definedName name="IQ_DAYS_PAY_OUTST_1">"c1362"</definedName>
    <definedName name="IQ_DAYS_SALES_OUTST_1">"c1363"</definedName>
    <definedName name="IQ_DEF_ACQ_CST_1">"c1364"</definedName>
    <definedName name="IQ_DEF_AMORT_BR">"c278"</definedName>
    <definedName name="IQ_DEF_CHARGES_BR">"c288"</definedName>
    <definedName name="IQ_DEF_CHARGES_LT_BR">"c294"</definedName>
    <definedName name="IQ_DEF_TAX_ASSET_LT_BR">"c304"</definedName>
    <definedName name="IQ_DEF_TAX_LIAB_LT_BR">"c315"</definedName>
    <definedName name="IQ_DEFERRED_INC_TAX_1">"c1447"</definedName>
    <definedName name="IQ_DEFERRED_TAXES_1">"c1356"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_1">"c1360"</definedName>
    <definedName name="IQ_DEPRE_AMORT_SUPPL_1">"c1593"</definedName>
    <definedName name="IQ_DEPRE_DEPLE_1">"c1361"</definedName>
    <definedName name="IQ_DEPRE_SUPP_1">"c1443"</definedName>
    <definedName name="IQ_DERIVATIVES_FDIC">"c6523"</definedName>
    <definedName name="IQ_DESCRIPTION_LONG_1">"c1520"</definedName>
    <definedName name="IQ_DIFF_LASTCLOSE_TARGET_PRICE_REUT">"c5436"</definedName>
    <definedName name="IQ_DILUT_ADJUST_1">"c1621"</definedName>
    <definedName name="IQ_DILUT_EPS_EXCL_1">"c324"</definedName>
    <definedName name="IQ_DILUT_EPS_INCL_1">"c325"</definedName>
    <definedName name="IQ_DILUT_NORMAL_EPS_1">"c1594"</definedName>
    <definedName name="IQ_DILUT_WEIGHT_1">"c326"</definedName>
    <definedName name="IQ_DISCONT_OPER_1">"c1367"</definedName>
    <definedName name="IQ_DIV_PAYMENT_DATE_1">"c2205"</definedName>
    <definedName name="IQ_DIV_RECORD_DATE_1">"c2204"</definedName>
    <definedName name="IQ_DIVID_SHARE_1">"c1366"</definedName>
    <definedName name="IQ_DIVIDEND_YIELD_1">"c332"</definedName>
    <definedName name="IQ_DIVIDENDS_DECLARED_COMMON_FDIC">"c6659"</definedName>
    <definedName name="IQ_DIVIDENDS_DECLARED_PREFERRED_FDIC">"c6658"</definedName>
    <definedName name="IQ_DIVIDENDS_FDIC">"c6660"</definedName>
    <definedName name="IQ_DNTM">700000</definedName>
    <definedName name="IQ_DPAC">"c2801"</definedName>
    <definedName name="IQ_DPS_ACT_OR_EST_REUT">"c5464"</definedName>
    <definedName name="IQ_DPS_DET_EST_CURRENCY_REUT">"c12527"</definedName>
    <definedName name="IQ_DPS_DET_EST_DATE_REUT">"c12286"</definedName>
    <definedName name="IQ_DPS_DET_EST_INCL_REUT">"c12410"</definedName>
    <definedName name="IQ_DPS_DET_EST_ORIGIN_REUT">"c12654"</definedName>
    <definedName name="IQ_DPS_DET_EST_REUT">"c12144"</definedName>
    <definedName name="IQ_DPS_EST_BOTTOM_UP_REUT">"c5501"</definedName>
    <definedName name="IQ_DPS_EST_REUT">"c3851"</definedName>
    <definedName name="IQ_DPS_HIGH_EST_REUT">"c3853"</definedName>
    <definedName name="IQ_DPS_LOW_EST_REUT">"c3854"</definedName>
    <definedName name="IQ_DPS_MEDIAN_EST_REUT">"c3852"</definedName>
    <definedName name="IQ_DPS_NUM_EST_REUT">"c3855"</definedName>
    <definedName name="IQ_DPS_STDDEV_EST_REUT">"c3856"</definedName>
    <definedName name="IQ_EARNING_ASSETS_FDIC">"c6360"</definedName>
    <definedName name="IQ_EARNING_ASSETS_YIELD_FDIC">"c6724"</definedName>
    <definedName name="IQ_EARNINGS_ANNOUNCE_DATE_REUT">"c5314"</definedName>
    <definedName name="IQ_EARNINGS_COVERAGE_NET_CHARGE_OFFS_FDIC">"c6735"</definedName>
    <definedName name="IQ_EBIT_1">"c352"</definedName>
    <definedName name="IQ_EBIT_10K">"IQ_EBIT_10K"</definedName>
    <definedName name="IQ_EBIT_10Q">"IQ_EBIT_10Q"</definedName>
    <definedName name="IQ_EBIT_10Q1">"IQ_EBIT_10Q1"</definedName>
    <definedName name="IQ_EBIT_ACT_OR_EST_REUT">"c5465"</definedName>
    <definedName name="IQ_EBIT_DET_EST_CURRENCY_REUT">"c12528"</definedName>
    <definedName name="IQ_EBIT_DET_EST_DATE_REUT">"c12287"</definedName>
    <definedName name="IQ_EBIT_DET_EST_INCL_REUT">"c12411"</definedName>
    <definedName name="IQ_EBIT_DET_EST_ORIGIN_REUT">"c12655"</definedName>
    <definedName name="IQ_EBIT_DET_EST_REUT">"c12145"</definedName>
    <definedName name="IQ_EBIT_EST_REUT">"c5333"</definedName>
    <definedName name="IQ_EBIT_GROWTH_1">"c157"</definedName>
    <definedName name="IQ_EBIT_GROWTH_2">"c161"</definedName>
    <definedName name="IQ_EBIT_HIGH_EST_REUT">"c5335"</definedName>
    <definedName name="IQ_EBIT_LOW_EST_REUT">"c5336"</definedName>
    <definedName name="IQ_EBIT_MARGIN_1">"c359"</definedName>
    <definedName name="IQ_EBIT_MEDIAN_EST_REUT">"c5334"</definedName>
    <definedName name="IQ_EBIT_NUM_EST_REUT">"c5337"</definedName>
    <definedName name="IQ_EBIT_OVER_IE_1">"c1369"</definedName>
    <definedName name="IQ_EBIT_STDDEV_EST_REUT">"c5338"</definedName>
    <definedName name="IQ_EBITDA_1">"c361"</definedName>
    <definedName name="IQ_EBITDA_10K">"IQ_EBITDA_10K"</definedName>
    <definedName name="IQ_EBITDA_10Q">"IQ_EBITDA_10Q"</definedName>
    <definedName name="IQ_EBITDA_10Q1">"IQ_EBITDA_10Q1"</definedName>
    <definedName name="IQ_EBITDA_ACT_OR_EST_REUT">"c5462"</definedName>
    <definedName name="IQ_EBITDA_CAPEX_OVER_TOTAL_IE_1">"c1370"</definedName>
    <definedName name="IQ_EBITDA_DET_EST_CURRENCY_REUT">"c12529"</definedName>
    <definedName name="IQ_EBITDA_DET_EST_DATE_REUT">"c12288"</definedName>
    <definedName name="IQ_EBITDA_DET_EST_INCL_REUT">"c12412"</definedName>
    <definedName name="IQ_EBITDA_DET_EST_ORIGIN_REUT">"c12656"</definedName>
    <definedName name="IQ_EBITDA_DET_EST_REUT">"c12146"</definedName>
    <definedName name="IQ_EBITDA_EST_REUT">"c3640"</definedName>
    <definedName name="IQ_EBITDA_GROWTH_1">"c156"</definedName>
    <definedName name="IQ_EBITDA_GROWTH_2">"c160"</definedName>
    <definedName name="IQ_EBITDA_HIGH_EST_REUT">"c3642"</definedName>
    <definedName name="IQ_EBITDA_LOW_EST_REUT">"c3643"</definedName>
    <definedName name="IQ_EBITDA_MARGIN_1">"c372"</definedName>
    <definedName name="IQ_EBITDA_MEDIAN_EST_REUT">"c3641"</definedName>
    <definedName name="IQ_EBITDA_NUM_EST_REUT">"c3644"</definedName>
    <definedName name="IQ_EBITDA_OVER_TOTAL_IE_1">"c1371"</definedName>
    <definedName name="IQ_EBITDA_STDDEV_EST_REUT">"c3645"</definedName>
    <definedName name="IQ_EBT_BR">"c378"</definedName>
    <definedName name="IQ_EBT_EXCL_BR">"c381"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ŕNUSED">"c8436"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FFECT_SPECIAL_CHARGE_1">"c1595"</definedName>
    <definedName name="IQ_EFFICIENCY_RATIO_FDIC">"c6736"</definedName>
    <definedName name="IQ_EMPLOYEES_1">"c392"</definedName>
    <definedName name="IQ_ENTERPRISE_VALUE_1">"c1348"</definedName>
    <definedName name="IQ_ENTITLEMENT_DET_EST_REUT">"c12136"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ACT_OR_EST_REUT">"c5460"</definedName>
    <definedName name="IQ_EPS_DET_EST_CURRENCY_REUT">"c13584"</definedName>
    <definedName name="IQ_EPS_DET_EST_DATE_REUT">"c13576"</definedName>
    <definedName name="IQ_EPS_DET_EST_INCL_REUT">"c13588"</definedName>
    <definedName name="IQ_EPS_DET_EST_ORIGIN_REUT">"c13580"</definedName>
    <definedName name="IQ_EPS_DET_EST_REUT">"c13572"</definedName>
    <definedName name="IQ_EPS_EST_1">"c189"</definedName>
    <definedName name="IQ_EPS_EST_BOTTOM_UP_REUT">"c5497"</definedName>
    <definedName name="IQ_EPS_EST_REUT">"c5453"</definedName>
    <definedName name="IQ_EPS_GW_ACT_OR_EST_REUT">"c5469"</definedName>
    <definedName name="IQ_EPS_GW_DET_EST_CURRENCY_REUT">"c12533"</definedName>
    <definedName name="IQ_EPS_GW_DET_EST_DATE_REUT">"c12292"</definedName>
    <definedName name="IQ_EPS_GW_DET_EST_INCL_REUT">"c12416"</definedName>
    <definedName name="IQ_EPS_GW_DET_EST_ORIGIN_REUT">"c12660"</definedName>
    <definedName name="IQ_EPS_GW_DET_EST_REUT">"c12150"</definedName>
    <definedName name="IQ_EPS_GW_EST_BOTTOM_UP_REUT">"c5499"</definedName>
    <definedName name="IQ_EPS_GW_EST_REUT">"c5389"</definedName>
    <definedName name="IQ_EPS_GW_HIGH_EST_REUT">"c5391"</definedName>
    <definedName name="IQ_EPS_GW_LOW_EST_REUT">"c5392"</definedName>
    <definedName name="IQ_EPS_GW_MEDIAN_EST_REUT">"c5390"</definedName>
    <definedName name="IQ_EPS_GW_NUM_EST_REUT">"c5393"</definedName>
    <definedName name="IQ_EPS_GW_STDDEV_EST_REUT">"c5394"</definedName>
    <definedName name="IQ_EPS_HIGH_EST_REUT">"c5454"</definedName>
    <definedName name="IQ_EPS_LOW_EST_REUT">"c5455"</definedName>
    <definedName name="IQ_EPS_MEDIAN_EST_REUT">"c5456"</definedName>
    <definedName name="IQ_EPS_NORM_DET_EST_CURRENCY_REUT">"c12535"</definedName>
    <definedName name="IQ_EPS_NORM_DET_EST_DATE_REUT">"c12294"</definedName>
    <definedName name="IQ_EPS_NORM_DET_EST_INCL_REUT">"c12418"</definedName>
    <definedName name="IQ_EPS_NORM_DET_EST_ORIGIN_REUT">"c12662"</definedName>
    <definedName name="IQ_EPS_NORM_DET_EST_REUT">"c12152"</definedName>
    <definedName name="IQ_EPS_NORM_EST_BOTTOM_UP_REUT">"c5498"</definedName>
    <definedName name="IQ_EPS_NORM_EST_REUT">"c5326"</definedName>
    <definedName name="IQ_EPS_NORM_HIGH_EST_REUT">"c5328"</definedName>
    <definedName name="IQ_EPS_NORM_LOW_EST_REUT">"c5329"</definedName>
    <definedName name="IQ_EPS_NORM_MEDIAN_EST_REUT">"c5327"</definedName>
    <definedName name="IQ_EPS_NORM_NUM_EST_REUT">"c5330"</definedName>
    <definedName name="IQ_EPS_NORM_STDDEV_EST_REUT">"c5331"</definedName>
    <definedName name="IQ_EPS_NUM_EST_REUT">"c5451"</definedName>
    <definedName name="IQ_EPS_REPORT_ACT_OR_EST_REUT">"c5470"</definedName>
    <definedName name="IQ_EPS_REPORTED_DET_EST_CURRENCY_REUT">"c12534"</definedName>
    <definedName name="IQ_EPS_REPORTED_DET_EST_DATE_REUT">"c12293"</definedName>
    <definedName name="IQ_EPS_REPORTED_DET_EST_INCL_REUT">"c12417"</definedName>
    <definedName name="IQ_EPS_REPORTED_DET_EST_ORIGIN_REUT">"c12661"</definedName>
    <definedName name="IQ_EPS_REPORTED_DET_EST_REUT">"c12151"</definedName>
    <definedName name="IQ_EPS_REPORTED_EST_BOTTOM_UP_REUT">"c5500"</definedName>
    <definedName name="IQ_EPS_REPORTED_EST_REUT">"c5396"</definedName>
    <definedName name="IQ_EPS_REPORTED_HIGH_EST_REUT">"c5398"</definedName>
    <definedName name="IQ_EPS_REPORTED_LOW_EST_REUT">"c5399"</definedName>
    <definedName name="IQ_EPS_REPORTED_MEDIAN_EST_REUT">"c5397"</definedName>
    <definedName name="IQ_EPS_REPORTED_NUM_EST_REUT">"c5400"</definedName>
    <definedName name="IQ_EPS_REPORTED_STDDEV_EST_REUT">"c5401"</definedName>
    <definedName name="IQ_EPS_STDDEV_EST_REUT">"c5452"</definedName>
    <definedName name="IQ_EQUITY_AFFIL_1">"c1451"</definedName>
    <definedName name="IQ_EQUITY_CAPITAL_ASSETS_FDIC">"c6744"</definedName>
    <definedName name="IQ_EQUITY_FDIC">"c6353"</definedName>
    <definedName name="IQ_EQUITY_SECURITIES_FDIC">"c6304"</definedName>
    <definedName name="IQ_EQUITY_SECURITY_EXPOSURES_FDIC">"c6664"</definedName>
    <definedName name="IQ_EQV_OVER_BV_1">"c1596"</definedName>
    <definedName name="IQ_EQV_OVER_LTM_PRETAX_INC_1">"c1390"</definedName>
    <definedName name="IQ_ESOP_DEBT_1">"c1597"</definedName>
    <definedName name="IQ_EST_ACT_BV_SHARE_REUT">"c5445"</definedName>
    <definedName name="IQ_EST_ACT_CAPEX_REUT">"c3975"</definedName>
    <definedName name="IQ_EST_ACT_CFPS_REUT">"c3850"</definedName>
    <definedName name="IQ_EST_ACT_DPS_REUT">"c3857"</definedName>
    <definedName name="IQ_EST_ACT_EBIT_REUT">"c5339"</definedName>
    <definedName name="IQ_EST_ACT_EBITDA_REUT">"c3836"</definedName>
    <definedName name="IQ_EST_ACT_EPS_GW_REUT">"c5395"</definedName>
    <definedName name="IQ_EST_ACT_EPS_NORM_REUT">"c5332"</definedName>
    <definedName name="IQ_EST_ACT_EPS_REPORTED_REUT">"c5402"</definedName>
    <definedName name="IQ_EST_ACT_EPS_REUT">"c5457"</definedName>
    <definedName name="IQ_EST_ACT_FFO_REUT">"c3843"</definedName>
    <definedName name="IQ_EST_ACT_FFO_SHARE_REUT">"c3843"</definedName>
    <definedName name="IQ_EST_ACT_FFO_THOM">"c4005"</definedName>
    <definedName name="IQ_EST_ACT_NAV_SHARE_REUT">"c5616"</definedName>
    <definedName name="IQ_EST_ACT_NET_DEBT_REUT">"c5446"</definedName>
    <definedName name="IQ_EST_ACT_NI_GW_REUT">"c5381"</definedName>
    <definedName name="IQ_EST_ACT_NI_REPORTED_REUT">"c5388"</definedName>
    <definedName name="IQ_EST_ACT_NI_REUT">"c5374"</definedName>
    <definedName name="IQ_EST_ACT_OPER_INC_REUT">"c5346"</definedName>
    <definedName name="IQ_EST_ACT_PRETAX_GW_INC_REUT">"c5360"</definedName>
    <definedName name="IQ_EST_ACT_PRETAX_INC_REUT">"c5353"</definedName>
    <definedName name="IQ_EST_ACT_PRETAX_REPORT_INC_REUT">"c5367"</definedName>
    <definedName name="IQ_EST_ACT_RETURN_ASSETS_REUT">"c3996"</definedName>
    <definedName name="IQ_EST_ACT_RETURN_EQUITY_REUT">"c3989"</definedName>
    <definedName name="IQ_EST_ACT_REV_REUT">"c3835"</definedName>
    <definedName name="IQ_EST_CAPEX_GROWTH_1YR_REUT">"c5447"</definedName>
    <definedName name="IQ_EST_CAPEX_GROWTH_2YR_REUT">"c5448"</definedName>
    <definedName name="IQ_EST_CAPEX_GROWTH_Q_1YR_REUT">"c5449"</definedName>
    <definedName name="IQ_EST_CAPEX_SEQ_GROWTH_Q_REUT">"c5450"</definedName>
    <definedName name="IQ_EST_CFPS_DIFF_REUT">"c3892"</definedName>
    <definedName name="IQ_EST_CFPS_GROWTH_1YR_REUT">"c3878"</definedName>
    <definedName name="IQ_EST_CFPS_GROWTH_2YR_REUT">"c3879"</definedName>
    <definedName name="IQ_EST_CFPS_GROWTH_Q_1YR_REUT">"c3880"</definedName>
    <definedName name="IQ_EST_CFPS_SEQ_GROWTH_Q_REUT">"c3881"</definedName>
    <definedName name="IQ_EST_CFPS_SURPRISE_PERCENT_REUT">"c3893"</definedName>
    <definedName name="IQ_EST_CURRENCY_REUT">"c5437"</definedName>
    <definedName name="IQ_EST_DATE_REUT">"c5438"</definedName>
    <definedName name="IQ_EST_DPS_DIFF_REUT">"c3894"</definedName>
    <definedName name="IQ_EST_DPS_GROWTH_1YR_REUT">"c3882"</definedName>
    <definedName name="IQ_EST_DPS_GROWTH_2YR_REUT">"c3883"</definedName>
    <definedName name="IQ_EST_DPS_GROWTH_Q_1YR_REUT">"c3884"</definedName>
    <definedName name="IQ_EST_DPS_SEQ_GROWTH_Q_REUT">"c3885"</definedName>
    <definedName name="IQ_EST_DPS_SURPRISE_PERCENT_REUT">"c3895"</definedName>
    <definedName name="IQ_EST_EBIT_DIFF_REUT">"c5413"</definedName>
    <definedName name="IQ_EST_EBIT_SURPRISE_PERCENT_REUT">"c5414"</definedName>
    <definedName name="IQ_EST_EBITDA_DIFF_REUT">"c3888"</definedName>
    <definedName name="IQ_EST_EBITDA_GROWTH_1YR_REUT">"c3864"</definedName>
    <definedName name="IQ_EST_EBITDA_GROWTH_2YR_REUT">"c3865"</definedName>
    <definedName name="IQ_EST_EBITDA_GROWTH_Q_1YR_REUT">"c3866"</definedName>
    <definedName name="IQ_EST_EBITDA_SEQ_GROWTH_Q_REUT">"c3867"</definedName>
    <definedName name="IQ_EST_EBITDA_SURPRISE_PERCENT_REUT">"c3889"</definedName>
    <definedName name="IQ_EST_EPS_DIFF_REUT">"c5458"</definedName>
    <definedName name="IQ_EST_EPS_GROWTH_1YR_REUT">"c3646"</definedName>
    <definedName name="IQ_EST_EPS_GROWTH_2YR_REUT">"c3858"</definedName>
    <definedName name="IQ_EST_EPS_GROWTH_5YR_BOTTOM_UP_REUT">"c5495"</definedName>
    <definedName name="IQ_EST_EPS_GROWTH_5YR_HIGH_REUT">"c5322"</definedName>
    <definedName name="IQ_EST_EPS_GROWTH_5YR_LOW_REUT">"c5323"</definedName>
    <definedName name="IQ_EST_EPS_GROWTH_5YR_MEDIAN_REUT">"c5321"</definedName>
    <definedName name="IQ_EST_EPS_GROWTH_5YR_NUM_REUT">"c5324"</definedName>
    <definedName name="IQ_EST_EPS_GROWTH_5YR_REUT">"c3633"</definedName>
    <definedName name="IQ_EST_EPS_GROWTH_5YR_STDDEV_REUT">"c5325"</definedName>
    <definedName name="IQ_EST_EPS_GROWTH_Q_1YR_REUT">"c5410"</definedName>
    <definedName name="IQ_EST_EPS_GW_DIFF_REUT">"c5429"</definedName>
    <definedName name="IQ_EST_EPS_GW_SURPRISE_PERCENT_REUT">"c5430"</definedName>
    <definedName name="IQ_EST_EPS_NORM_DIFF_REUT">"c5411"</definedName>
    <definedName name="IQ_EST_EPS_NORM_SURPRISE_PERCENT_REUT">"c5412"</definedName>
    <definedName name="IQ_EST_EPS_REPORT_DIFF_REUT">"c5431"</definedName>
    <definedName name="IQ_EST_EPS_REPORT_SURPRISE_PERCENT_REUT">"c5432"</definedName>
    <definedName name="IQ_EST_EPS_SEQ_GROWTH_Q_REUT">"c3859"</definedName>
    <definedName name="IQ_EST_EPS_SURPRISE">"c1635"</definedName>
    <definedName name="IQ_EST_EPS_SURPRISE_PERCENT_REUT">"c5459"</definedName>
    <definedName name="IQ_EST_FFO_DIFF_REUT">"c3890"</definedName>
    <definedName name="IQ_EST_FFO_DIFF_THOM">"c5186"</definedName>
    <definedName name="IQ_EST_FFO_GROWTH_1YR_REUT">"c3874"</definedName>
    <definedName name="IQ_EST_FFO_GROWTH_2YR_REUT">"c3875"</definedName>
    <definedName name="IQ_EST_FFO_GROWTH_Q_1YR_REUT">"c3876"</definedName>
    <definedName name="IQ_EST_FFO_SEQ_GROWTH_Q_REUT">"c3877"</definedName>
    <definedName name="IQ_EST_FFO_SHARE_DIFF_REUT">"c3890"</definedName>
    <definedName name="IQ_EST_FFO_SHARE_SURPRISE_PERCENT_REUT">"c3891"</definedName>
    <definedName name="IQ_EST_FFO_SURPRISE_PERCENT_REUT">"c3891"</definedName>
    <definedName name="IQ_EST_FFO_SURPRISE_PERCENT_THOM">"c5187"</definedName>
    <definedName name="IQ_EST_FOOTNOTE_REUT">"c5478"</definedName>
    <definedName name="IQ_EST_NI_DIFF_REUT">"c5423"</definedName>
    <definedName name="IQ_EST_NI_GW_DIFF_REUT">"c5425"</definedName>
    <definedName name="IQ_EST_NI_GW_SURPRISE_PERCENT_REUT">"c5426"</definedName>
    <definedName name="IQ_EST_NI_REPORT_DIFF_REUT">"c5427"</definedName>
    <definedName name="IQ_EST_NI_REPORT_SURPRISE_PERCENT_REUT">"c5428"</definedName>
    <definedName name="IQ_EST_NI_SURPRISE_PERCENT_REUT">"c5424"</definedName>
    <definedName name="IQ_EST_NUM_BUY_CIQ">"c3700"</definedName>
    <definedName name="IQ_EST_NUM_BUY_REUT">"c3869"</definedName>
    <definedName name="IQ_EST_NUM_BUY_THOM">"c5165"</definedName>
    <definedName name="IQ_EST_NUM_HIGH_REC_REUT">"c3870"</definedName>
    <definedName name="IQ_EST_NUM_HIGHEST_REC_REUT">"c3869"</definedName>
    <definedName name="IQ_EST_NUM_HOLD_CIQ">"c3702"</definedName>
    <definedName name="IQ_EST_NUM_HOLD_REUT">"c3871"</definedName>
    <definedName name="IQ_EST_NUM_HOLD_THOM">"c5167"</definedName>
    <definedName name="IQ_EST_NUM_LOW_REC_REUT">"c3872"</definedName>
    <definedName name="IQ_EST_NUM_LOWEST_REC_REUT">"c3873"</definedName>
    <definedName name="IQ_EST_NUM_NEUTRAL_REC_REUT">"c3871"</definedName>
    <definedName name="IQ_EST_NUM_NO_OPINION_REUT">"c3868"</definedName>
    <definedName name="IQ_EST_NUM_OUTPERFORM_CIQ">"c3701"</definedName>
    <definedName name="IQ_EST_NUM_OUTPERFORM_REUT">"c3870"</definedName>
    <definedName name="IQ_EST_NUM_OUTPERFORM_THOM">"c5166"</definedName>
    <definedName name="IQ_EST_NUM_SELL_CIQ">"c3704"</definedName>
    <definedName name="IQ_EST_NUM_SELL_REUT">"c3873"</definedName>
    <definedName name="IQ_EST_NUM_SELL_THOM">"c5169"</definedName>
    <definedName name="IQ_EST_NUM_UNDERPERFORM_CIQ">"c3703"</definedName>
    <definedName name="IQ_EST_NUM_UNDERPERFORM_REUT">"c3872"</definedName>
    <definedName name="IQ_EST_NUM_UNDERPERFORM_THOM">"c5168"</definedName>
    <definedName name="IQ_EST_OPER_INC_DIFF_REUT">"c5415"</definedName>
    <definedName name="IQ_EST_OPER_INC_SURPRISE_PERCENT_REUT">"c5416"</definedName>
    <definedName name="IQ_EST_PRE_TAX_DIFF_REUT">"c5417"</definedName>
    <definedName name="IQ_EST_PRE_TAX_GW_DIFF_REUT">"c5419"</definedName>
    <definedName name="IQ_EST_PRE_TAX_GW_SURPRISE_PERCENT_REUT">"c5420"</definedName>
    <definedName name="IQ_EST_PRE_TAX_REPORT_DIFF_REUT">"c5421"</definedName>
    <definedName name="IQ_EST_PRE_TAX_REPORT_SURPRISE_PERCENT_REUT">"c5422"</definedName>
    <definedName name="IQ_EST_PRE_TAX_SURPRISE_PERCENT_REUT">"c5418"</definedName>
    <definedName name="IQ_EST_REV_DIFF_REUT">"c3886"</definedName>
    <definedName name="IQ_EST_REV_GROWTH_1YR_REUT">"c3860"</definedName>
    <definedName name="IQ_EST_REV_GROWTH_2YR_REUT">"c3861"</definedName>
    <definedName name="IQ_EST_REV_GROWTH_Q_1YR_REUT">"c3862"</definedName>
    <definedName name="IQ_EST_REV_SEQ_GROWTH_Q_REUT">"c3863"</definedName>
    <definedName name="IQ_EST_REV_SURPRISE_PERCENT_REUT">"c3887"</definedName>
    <definedName name="IQ_ESTIMATED_ASSESSABLE_DEPOSITS_FDIC">"c6490"</definedName>
    <definedName name="IQ_ESTIMATED_INSURED_DEPOSITS_FDIC">"c6491"</definedName>
    <definedName name="IQ_EV_OVER_EMPLOYEE_1">"c1428"</definedName>
    <definedName name="IQ_EV_OVER_LTM_EBIT_1">"c1426"</definedName>
    <definedName name="IQ_EV_OVER_LTM_EBITDA_1">"c1427"</definedName>
    <definedName name="IQ_EV_OVER_LTM_REVENUE_1">"c1429"</definedName>
    <definedName name="IQ_EV_OVER_REVENUE_EST">"c165"</definedName>
    <definedName name="IQ_EV_OVER_REVENUE_EST_1">"c166"</definedName>
    <definedName name="IQ_EXCHANGE_1">"c405"</definedName>
    <definedName name="IQ_EXPENSE_CODE_">1253</definedName>
    <definedName name="IQ_EXPENSE_CODE__1">1253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EXTRA_ACC_ITEMS_BR">"c412"</definedName>
    <definedName name="IQ_EXTRA_ITEMS_1">"c1459"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ED_FUNDS_PURCHASED_FDIC">"c6343"</definedName>
    <definedName name="IQ_FED_FUNDS_SOLD_FDIC">"c6307"</definedName>
    <definedName name="IQ_FFO_EST_REUT">"c3837"</definedName>
    <definedName name="IQ_FFO_EST_THOM">"c3999"</definedName>
    <definedName name="IQ_FFO_HIGH_EST_REUT">"c3839"</definedName>
    <definedName name="IQ_FFO_HIGH_EST_THOM">"c4001"</definedName>
    <definedName name="IQ_FFO_LOW_EST_REUT">"c3840"</definedName>
    <definedName name="IQ_FFO_LOW_EST_THOM">"c4002"</definedName>
    <definedName name="IQ_FFO_MEDIAN_EST_REUT">"c3838"</definedName>
    <definedName name="IQ_FFO_MEDIAN_EST_THOM">"c4000"</definedName>
    <definedName name="IQ_FFO_NUM_EST_REUT">"c3841"</definedName>
    <definedName name="IQ_FFO_NUM_EST_THOM">"c4003"</definedName>
    <definedName name="IQ_FFO_SHARE_EST_DET_EST_CURRENCY_REUT">"c12536"</definedName>
    <definedName name="IQ_FFO_SHARE_EST_DET_EST_DATE_REUT">"c12295"</definedName>
    <definedName name="IQ_FFO_SHARE_EST_DET_EST_INCL_REUT">"c12419"</definedName>
    <definedName name="IQ_FFO_SHARE_EST_DET_EST_ORIGIN_REUT">"c12724"</definedName>
    <definedName name="IQ_FFO_SHARE_EST_DET_EST_REUT">"c12153"</definedName>
    <definedName name="IQ_FFO_SHARE_EST_REUT">"c3837"</definedName>
    <definedName name="IQ_FFO_SHARE_HIGH_EST_REUT">"c3839"</definedName>
    <definedName name="IQ_FFO_SHARE_LOW_EST_REUT">"c3840"</definedName>
    <definedName name="IQ_FFO_SHARE_MEDIAN_EST_REUT">"c3838"</definedName>
    <definedName name="IQ_FFO_SHARE_NUM_EST_REUT">"c3841"</definedName>
    <definedName name="IQ_FFO_SHARE_STDDEV_EST_REUT">"c3842"</definedName>
    <definedName name="IQ_FFO_STDDEV_EST_REUT">"c3842"</definedName>
    <definedName name="IQ_FFO_STDDEV_EST_THOM">"c4004"</definedName>
    <definedName name="IQ_FHLB_ADVANCES_FDIC">"c6366"</definedName>
    <definedName name="IQ_FHLB_DUE_AFTER_FIVE">"c2086"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N_DIV_CURRENT_PORT_DEBT_TOTAL">"c5524"</definedName>
    <definedName name="IQ_FIN_DIV_CURRENT_PORT_LEASES_TOTAL">"c5523"</definedName>
    <definedName name="IQ_FIN_DIV_DEBT_LT_TOTAL">"c5526"</definedName>
    <definedName name="IQ_FIN_DIV_LEASES_LT_TOTAL">"c5525"</definedName>
    <definedName name="IQ_FIN_DIV_NOTES_PAY_TOTAL">"c5522"</definedName>
    <definedName name="IQ_FINANCING_CASH_1">"c1405"</definedName>
    <definedName name="IQ_FISCAL_Q_1">"c440"</definedName>
    <definedName name="IQ_FISCAL_Q_EST_REUT">"c6798"</definedName>
    <definedName name="IQ_FISCAL_Y_1">"c441"</definedName>
    <definedName name="IQ_FISCAL_Y_EST_REUT">"c6799"</definedName>
    <definedName name="IQ_FIVE_PERCENT_AMOUNT">"c240"</definedName>
    <definedName name="IQ_FIVE_PERCENT_OWNER_1">"c442"</definedName>
    <definedName name="IQ_FIVE_YEAR_FIXED_AND_FLOATING_RATE_FDIC">"c6422"</definedName>
    <definedName name="IQ_FIVE_YEAR_MORTGAGE_PASS_THROUGHS_FDIC">"c6414"</definedName>
    <definedName name="IQ_FIVEPERCENT_OWNER">"c239"</definedName>
    <definedName name="IQ_FIVEPERCENT_PERCENT_1">"c443"</definedName>
    <definedName name="IQ_FIVEPERCENT_SHARES_1">"c444"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OSITS_NONTRANSACTION_ACCOUNTS_FDIC">"c6549"</definedName>
    <definedName name="IQ_FOREIGN_DEPOSITS_TRANSACTION_ACCOUNTS_FDIC">"c6541"</definedName>
    <definedName name="IQ_FOREIGN_EXCHANGE_1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>10001</definedName>
    <definedName name="IQ_FWD_CY_1">10001</definedName>
    <definedName name="IQ_FWD_CY1">10002</definedName>
    <definedName name="IQ_FWD_CY1_1">10002</definedName>
    <definedName name="IQ_FWD_CY2">10003</definedName>
    <definedName name="IQ_FWD_CY2_1">10003</definedName>
    <definedName name="IQ_FWD_FY">1001</definedName>
    <definedName name="IQ_FWD_FY_1">1001</definedName>
    <definedName name="IQ_FWD_FY1">1002</definedName>
    <definedName name="IQ_FWD_FY1_1">1002</definedName>
    <definedName name="IQ_FWD_FY2">1003</definedName>
    <definedName name="IQ_FWD_FY2_1">1003</definedName>
    <definedName name="IQ_FWD_Q">501</definedName>
    <definedName name="IQ_FWD_Q_1">501</definedName>
    <definedName name="IQ_FWD_Q1">502</definedName>
    <definedName name="IQ_FWD_Q1_1">502</definedName>
    <definedName name="IQ_FWD_Q2">503</definedName>
    <definedName name="IQ_FWD_Q2_1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_CONTRACTS_FDIC">"c6517"</definedName>
    <definedName name="IQ_FX_CONTRACTS_SPOT_FDIC">"c6356"</definedName>
    <definedName name="IQ_FY_DATE">"IQ_FY_DATE"</definedName>
    <definedName name="IQ_GAIN_ASSETS_BR">"c454"</definedName>
    <definedName name="IQ_GAIN_ASSETS_CF_BR">"c457"</definedName>
    <definedName name="IQ_GAIN_ASSETS_REV_BR">"c474"</definedName>
    <definedName name="IQ_GAIN_INVEST_BR">"c1464"</definedName>
    <definedName name="IQ_GAIN_INVEST_CF_BR">"c482"</definedName>
    <definedName name="IQ_GAIN_INVEST_REV_BR">"c496"</definedName>
    <definedName name="IQ_GAIN_SALE_ASSETS_1">"c1377"</definedName>
    <definedName name="IQ_GAIN_SALE_LOANS_FDIC">"c6673"</definedName>
    <definedName name="IQ_GAIN_SALE_RE_FDIC">"c6674"</definedName>
    <definedName name="IQ_GAINS_SALE_ASSETS_FDIC">"c6675"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_1">"c1380"</definedName>
    <definedName name="IQ_GROSS_DIVID_1">"c1446"</definedName>
    <definedName name="IQ_GROSS_MARGIN_1">"c529"</definedName>
    <definedName name="IQ_GROSS_PROFIT_1">"c1378"</definedName>
    <definedName name="IQ_GW_AMORT_BR">"c532"</definedName>
    <definedName name="IQ_GW_INTAN_AMORT_BR">"c1470"</definedName>
    <definedName name="IQ_GW_INTAN_AMORT_CF_BR">"c1473"</definedName>
    <definedName name="IQ_HELD_MATURITY_FDIC">"c6408"</definedName>
    <definedName name="IQ_HIGH_TARGET_PRICE_REUT">"c5317"</definedName>
    <definedName name="IQ_HIGHPRICE_1">"c545"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NC_AFTER_TAX_1">"c1598"</definedName>
    <definedName name="IQ_INC_AVAIL_EXCL_1">"c1395"</definedName>
    <definedName name="IQ_INC_AVAIL_INCL_1">"c1396"</definedName>
    <definedName name="IQ_INC_BEFORE_TAX_1">"c1375"</definedName>
    <definedName name="IQ_INC_EQUITY_BR">"c550"</definedName>
    <definedName name="IQ_INC_TAX_1">"c560"</definedName>
    <definedName name="IQ_INC_TAX_EXCL_1">"c1599"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CONSTITUENT_CLOSEPRICE">"c19241"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S_SETTLE_BR">"c572"</definedName>
    <definedName name="IQ_INSIDER_3MTH_BOUGHT">"c1534"</definedName>
    <definedName name="IQ_INSIDER_3MTH_NET">"c1535"</definedName>
    <definedName name="IQ_INSIDER_3MTH_SOLD">"c1533"</definedName>
    <definedName name="IQ_INSIDER_6MTH_BOUGHT">"c1537"</definedName>
    <definedName name="IQ_INSIDER_6MTH_NET">"c1538"</definedName>
    <definedName name="IQ_INSIDER_6MTH_SOLD">"c1536"</definedName>
    <definedName name="IQ_INSIDER_AMOUNT">"c238"</definedName>
    <definedName name="IQ_INSIDER_LOANS_FDIC">"c6365"</definedName>
    <definedName name="IQ_INSIDER_OWNER_1">"c577"</definedName>
    <definedName name="IQ_INSIDER_PERCENT_1">"c578"</definedName>
    <definedName name="IQ_INSIDER_SHARES_1">"c579"</definedName>
    <definedName name="IQ_INSTITUTIONAL_AMOUNT">"c236"</definedName>
    <definedName name="IQ_INSTITUTIONAL_OWNER_1">"c580"</definedName>
    <definedName name="IQ_INSTITUTIONAL_PERCENT_1">"c581"</definedName>
    <definedName name="IQ_INSTITUTIONAL_SHARES_1">"c582"</definedName>
    <definedName name="IQ_INSTITUTIONS_EARNINGS_GAINS_FDIC">"c6723"</definedName>
    <definedName name="IQ_INSUR_RECEIV_1">"c1600"</definedName>
    <definedName name="IQ_INSURANCE_COMMISSION_FEES_FDIC">"c6670"</definedName>
    <definedName name="IQ_INSURANCE_UNDERWRITING_INCOME_FDIC">"c6671"</definedName>
    <definedName name="IQ_INT_DEMAND_NOTES_FDIC">"c6567"</definedName>
    <definedName name="IQ_INT_DOMESTIC_DEPOSITS_FDIC">"c6564"</definedName>
    <definedName name="IQ_INT_EXP_BR">"c586"</definedName>
    <definedName name="IQ_INT_EXP_TOTAL_FDIC">"c6569"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OREIGN_LOANS_FDIC">"c6556"</definedName>
    <definedName name="IQ_INT_INC_LEASE_RECEIVABLES_FDIC">"c6557"</definedName>
    <definedName name="IQ_INT_INC_OTHER_FDIC">"c6562"</definedName>
    <definedName name="IQ_INT_INC_SECURITIES_FDIC">"c6559"</definedName>
    <definedName name="IQ_INT_INC_TOTAL_FDIC">"c6563"</definedName>
    <definedName name="IQ_INT_INC_TRADING_ACCOUNTS_FDIC">"c6560"</definedName>
    <definedName name="IQ_INT_SUB_NOTES_FDIC">"c6568"</definedName>
    <definedName name="IQ_INTANGIBLES_NET_1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EXP_NET_1">"c1450"</definedName>
    <definedName name="IQ_INTEREST_EXP_NON_1">"c1383"</definedName>
    <definedName name="IQ_INTEREST_EXP_SUPPL_1">"c1460"</definedName>
    <definedName name="IQ_INTEREST_INC_1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_1">"c1384"</definedName>
    <definedName name="IQ_INTEREST_LT_DEBT">"c2086"</definedName>
    <definedName name="IQ_INTEREST_RATE_CONTRACTS_FDIC">"c6512"</definedName>
    <definedName name="IQ_INTEREST_RATE_EXPOSURES_FDIC">"c6662"</definedName>
    <definedName name="IQ_INVENTORY_TURNS_1">"c623"</definedName>
    <definedName name="IQ_INVEST_LOANS_CF_BR">"c630"</definedName>
    <definedName name="IQ_INVEST_SECURITY_CF_BR">"c639"</definedName>
    <definedName name="IQ_INVESTMENT_BANKING_OTHER_FEES_FDIC">"c6666"</definedName>
    <definedName name="IQ_IRA_KEOGH_ACCOUNTS_FDIC">"c6496"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_1">"c1391"</definedName>
    <definedName name="IQ_ISS_STOCK_NET_1">"c1601"</definedName>
    <definedName name="IQ_ISSUED_GUARANTEED_US_FDIC">"c6404"</definedName>
    <definedName name="IQ_LAST_EBIT_MARGIN">"c151"</definedName>
    <definedName name="IQ_LAST_EBITDA_MARGIN">"c150"</definedName>
    <definedName name="IQ_LAST_GROSS_MARGIN">"c149"</definedName>
    <definedName name="IQ_LAST_NET_INC_MARGIN">"c152"</definedName>
    <definedName name="IQ_LASTSALEPRICE_1">"c646"</definedName>
    <definedName name="IQ_LATEST">"1"</definedName>
    <definedName name="IQ_LATESTK">1000</definedName>
    <definedName name="IQ_LATESTK_1">1000</definedName>
    <definedName name="IQ_LATESTKFR">"100"</definedName>
    <definedName name="IQ_LATESTQ">500</definedName>
    <definedName name="IQ_LATESTQ_1">500</definedName>
    <definedName name="IQ_LATESTQFR">"50"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_BR">"c649"</definedName>
    <definedName name="IQ_LIFE_INSURANCE_ASSETS_FDIC">"c6372"</definedName>
    <definedName name="IQ_LISTING_CURRENCY">"c2127"</definedName>
    <definedName name="IQ_LOAN_COMMITMENTS_REVOLVING_FDIC">"c6524"</definedName>
    <definedName name="IQ_LOAN_LOSS_1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S_AND_LEASES_HELD_FDIC">"c6367"</definedName>
    <definedName name="IQ_LOANS_CF_BR">"c661"</definedName>
    <definedName name="IQ_LOANS_DEPOSITORY_INSTITUTIONS_FDIC">"c6382"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_1">"c1387"</definedName>
    <definedName name="IQ_LONG_TERM_DEBT_OVER_TOTAL_CAP_1">"c1388"</definedName>
    <definedName name="IQ_LONG_TERM_INV_1">"c1389"</definedName>
    <definedName name="IQ_LOSS_ALLOWANCE_LOANS_FDIC">"c6739"</definedName>
    <definedName name="IQ_LOW_TARGET_PRICE_REUT">"c5318"</definedName>
    <definedName name="IQ_LOWPRICE_1">"c673"</definedName>
    <definedName name="IQ_LT_DEBT_BR">"c676"</definedName>
    <definedName name="IQ_LT_DEBT_ISSUED_BR">"c683"</definedName>
    <definedName name="IQ_LT_DEBT_REPAID_BR">"c691"</definedName>
    <definedName name="IQ_LT_GROWTH_DET_EST_DATE_REUT">"c12296"</definedName>
    <definedName name="IQ_LT_GROWTH_DET_EST_INCL_REUT">"c12420"</definedName>
    <definedName name="IQ_LT_GROWTH_DET_EST_ORIGIN_REUT">"c12728"</definedName>
    <definedName name="IQ_LT_GROWTH_DET_EST_REUT">"c12154"</definedName>
    <definedName name="IQ_LT_INVEST_BR">"c698"</definedName>
    <definedName name="IQ_LT_NOTE_RECEIV_1">"c1602"</definedName>
    <definedName name="IQ_LTM_DATE">"IQ_LTM_DATE"</definedName>
    <definedName name="IQ_LTM_REVENUE_OVER_EMPLOYEES_1">"c1437"</definedName>
    <definedName name="IQ_LTMMONTH">120000</definedName>
    <definedName name="IQ_MARKETCAP_1">"c712"</definedName>
    <definedName name="IQ_MATURITY_ONE_YEAR_LESS_FDIC">"c6425"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_REUT">"c5316"</definedName>
    <definedName name="IQ_MERGER_BR">"c715"</definedName>
    <definedName name="IQ_MERGER_RESTRUCTURE_BR">"c721"</definedName>
    <definedName name="IQ_MINORITY_INTEREST_1">"c727"</definedName>
    <definedName name="IQ_MINORITY_INTEREST_BR">"c729"</definedName>
    <definedName name="IQ_MINORITY_INTEREST_IS_1">"c733"</definedName>
    <definedName name="IQ_MISC_EARN_ADJ_1">"c1603"</definedName>
    <definedName name="IQ_MKTCAP_TOTAL_REV_FWD_REUT">"c4048"</definedName>
    <definedName name="IQ_MONEY_MARKET_DEPOSIT_ACCOUNTS_FDIC">"c6553"</definedName>
    <definedName name="IQ_MORTGAGE_BACKED_SECURITIES_FDIC">"c6402"</definedName>
    <definedName name="IQ_MORTGAGE_SERVICING_FDIC">"c6335"</definedName>
    <definedName name="IQ_MTD">800000</definedName>
    <definedName name="IQ_MULTIFAMILY_RESIDENTIAL_LOANS_FDIC">"c6311"</definedName>
    <definedName name="IQ_NAMES_REVISION_DATE_">44765.8909606481</definedName>
    <definedName name="IQ_NAV_ACT_OR_EST">"c2225"</definedName>
    <definedName name="IQ_NAV_SHARE_ACT_OR_EST_REUT">"c5623"</definedName>
    <definedName name="IQ_NAV_SHARE_DET_EST_CURRENCY_REUT">"c12538"</definedName>
    <definedName name="IQ_NAV_SHARE_DET_EST_DATE_REUT">"c12297"</definedName>
    <definedName name="IQ_NAV_SHARE_DET_EST_INCL_REUT">"c12421"</definedName>
    <definedName name="IQ_NAV_SHARE_DET_EST_ORIGIN_REUT">"c12665"</definedName>
    <definedName name="IQ_NAV_SHARE_DET_EST_REUT">"c12155"</definedName>
    <definedName name="IQ_NAV_SHARE_EST_REUT">"c5617"</definedName>
    <definedName name="IQ_NAV_SHARE_HIGH_EST_REUT">"c5620"</definedName>
    <definedName name="IQ_NAV_SHARE_LOW_EST_REUT">"c5621"</definedName>
    <definedName name="IQ_NAV_SHARE_MEDIAN_EST_REUT">"c5618"</definedName>
    <definedName name="IQ_NAV_SHARE_NUM_EST_REUT">"c5622"</definedName>
    <definedName name="IQ_NAV_SHARE_STDDEV_EST_REUT">"c5619"</definedName>
    <definedName name="IQ_NET_CHANGE_1">"c749"</definedName>
    <definedName name="IQ_NET_CHARGE_OFFS_FDIC">"c6641"</definedName>
    <definedName name="IQ_NET_CHARGE_OFFS_LOANS_FDIC">"c6751"</definedName>
    <definedName name="IQ_NET_DEBT_1">"c1584"</definedName>
    <definedName name="IQ_NET_DEBT_ACT_OR_EST_REUT">"c5473"</definedName>
    <definedName name="IQ_NET_DEBT_DET_EST_CURRENCY_REUT">"c12539"</definedName>
    <definedName name="IQ_NET_DEBT_DET_EST_DATE_REUT">"c12298"</definedName>
    <definedName name="IQ_NET_DEBT_DET_EST_INCL_REUT">"c12422"</definedName>
    <definedName name="IQ_NET_DEBT_DET_EST_ORIGIN_REUT">"c12666"</definedName>
    <definedName name="IQ_NET_DEBT_DET_EST_REUT">"c12156"</definedName>
    <definedName name="IQ_NET_DEBT_EST_REUT">"c3976"</definedName>
    <definedName name="IQ_NET_DEBT_HIGH_EST_REUT">"c3978"</definedName>
    <definedName name="IQ_NET_DEBT_ISSUED_BR">"c753"</definedName>
    <definedName name="IQ_NET_DEBT_LOW_EST_REUT">"c3979"</definedName>
    <definedName name="IQ_NET_DEBT_MEDIAN_EST_REUT">"c3977"</definedName>
    <definedName name="IQ_NET_DEBT_NUM_EST_REUT">"c3980"</definedName>
    <definedName name="IQ_NET_DEBT_STDDEV_EST_REUT">"c3981"</definedName>
    <definedName name="IQ_NET_INC_1">"c1394"</definedName>
    <definedName name="IQ_NET_INC_10K">"IQ_NET_INC_10K"</definedName>
    <definedName name="IQ_NET_INC_10Q">"IQ_NET_INC_10Q"</definedName>
    <definedName name="IQ_NET_INC_10Q1">"IQ_NET_INC_10Q1"</definedName>
    <definedName name="IQ_NET_INC_BEFORE_1">"c1368"</definedName>
    <definedName name="IQ_NET_INC_CF_1">"c1397"</definedName>
    <definedName name="IQ_NET_INC_GROWTH_1">"c158"</definedName>
    <definedName name="IQ_NET_INC_GROWTH_2">"c162"</definedName>
    <definedName name="IQ_NET_INC_MARGIN_1">"c1398"</definedName>
    <definedName name="IQ_NET_INCOME_FDIC">"c6587"</definedName>
    <definedName name="IQ_NET_INT_INC_BNK_FDIC">"c6570"</definedName>
    <definedName name="IQ_NET_INT_INC_BR">"c765"</definedName>
    <definedName name="IQ_NET_INTEREST_INC_1">"c1392"</definedName>
    <definedName name="IQ_NET_INTEREST_INC_AFTER_LL_1">"c1604"</definedName>
    <definedName name="IQ_NET_INTEREST_MARGIN_FDIC">"c6726"</definedName>
    <definedName name="IQ_NET_LOANS_1">"c772"</definedName>
    <definedName name="IQ_NET_LOANS_LEASES_CORE_DEPOSITS_FDIC">"c6743"</definedName>
    <definedName name="IQ_NET_LOANS_LEASES_DEPOSITS_FDIC">"c6742"</definedName>
    <definedName name="IQ_NET_OPERATING_INCOME_ASSETS_FDIC">"c6729"</definedName>
    <definedName name="IQ_NET_SECURITIZATION_INCOME_FDIC">"c6669"</definedName>
    <definedName name="IQ_NET_SERVICING_FEES_FDIC">"c6668"</definedName>
    <definedName name="IQ_NI_ACT_OR_EST_REUT">"c5468"</definedName>
    <definedName name="IQ_NI_DET_EST_CURRENCY_REUT">"c12540"</definedName>
    <definedName name="IQ_NI_DET_EST_DATE_REUT">"c12299"</definedName>
    <definedName name="IQ_NI_DET_EST_INCL_REUT">"c12423"</definedName>
    <definedName name="IQ_NI_DET_EST_ORIGIN_REUT">"c12667"</definedName>
    <definedName name="IQ_NI_DET_EST_REUT">"c12157"</definedName>
    <definedName name="IQ_NI_EST_REUT">"c5368"</definedName>
    <definedName name="IQ_NI_GW_DET_EST_CURRENCY_REUT">"c12541"</definedName>
    <definedName name="IQ_NI_GW_DET_EST_DATE_REUT">"c12300"</definedName>
    <definedName name="IQ_NI_GW_DET_EST_INCL_REUT">"c12424"</definedName>
    <definedName name="IQ_NI_GW_DET_EST_ORIGIN_REUT">"c12668"</definedName>
    <definedName name="IQ_NI_GW_DET_EST_REUT">"c12158"</definedName>
    <definedName name="IQ_NI_GW_EST_REUT">"c5375"</definedName>
    <definedName name="IQ_NI_GW_HIGH_EST_REUT">"c5377"</definedName>
    <definedName name="IQ_NI_GW_LOW_EST_REUT">"c5378"</definedName>
    <definedName name="IQ_NI_GW_MEDIAN_EST_REUT">"c5376"</definedName>
    <definedName name="IQ_NI_GW_NUM_EST_REUT">"c5379"</definedName>
    <definedName name="IQ_NI_GW_STDDEV_EST_REUT">"c5380"</definedName>
    <definedName name="IQ_NI_HIGH_EST_REUT">"c5370"</definedName>
    <definedName name="IQ_NI_LOW_EST_REUT">"c5371"</definedName>
    <definedName name="IQ_NI_MEDIAN_EST_REUT">"c5369"</definedName>
    <definedName name="IQ_NI_NUM_EST_REUT">"c5372"</definedName>
    <definedName name="IQ_NI_REPORTED_DET_EST_CURRENCY_REUT">"c12542"</definedName>
    <definedName name="IQ_NI_REPORTED_DET_EST_DATE_REUT">"c12301"</definedName>
    <definedName name="IQ_NI_REPORTED_DET_EST_INCL_REUT">"c12425"</definedName>
    <definedName name="IQ_NI_REPORTED_DET_EST_ORIGIN_REUT">"c12669"</definedName>
    <definedName name="IQ_NI_REPORTED_DET_EST_REUT">"c12159"</definedName>
    <definedName name="IQ_NI_REPORTED_EST_REUT">"c5382"</definedName>
    <definedName name="IQ_NI_REPORTED_HIGH_EST_REUT">"c5384"</definedName>
    <definedName name="IQ_NI_REPORTED_LOW_EST_REUT">"c5385"</definedName>
    <definedName name="IQ_NI_REPORTED_MEDIAN_EST_REUT">"c5383"</definedName>
    <definedName name="IQ_NI_REPORTED_NUM_EST_REUT">"c5386"</definedName>
    <definedName name="IQ_NI_REPORTED_STDDEV_EST_REUT">"c5387"</definedName>
    <definedName name="IQ_NI_STDDEV_EST_REUT">"c5373"</definedName>
    <definedName name="IQ_NON_CASH_1">"c1399"</definedName>
    <definedName name="IQ_NON_INT_EXP_FDIC">"c6579"</definedName>
    <definedName name="IQ_NON_INT_INC_FDIC">"c6575"</definedName>
    <definedName name="IQ_NON_INTEREST_EXP_1">"c1400"</definedName>
    <definedName name="IQ_NON_INTEREST_INC_1">"c1401"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ONTRANSACTION_ACCOUNTS_FDIC">"c6552"</definedName>
    <definedName name="IQ_NORM_EPS_ACT_OR_EST_REUT">"c5472"</definedName>
    <definedName name="IQ_NORMAL_INC_AFTER_1">"c1605"</definedName>
    <definedName name="IQ_NORMAL_INC_AVAIL_1">"c1606"</definedName>
    <definedName name="IQ_NORMAL_INC_BEFORE_1">"c1607"</definedName>
    <definedName name="IQ_NOTES_PAY_1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UM_OFFICES">"c2088"</definedName>
    <definedName name="IQ_NUMBER_DEPOSITS_LESS_THAN_100K_FDIC">"c6495"</definedName>
    <definedName name="IQ_NUMBER_DEPOSITS_MORE_THAN_100K_FDIC">"c6493"</definedName>
    <definedName name="IQ_NUMBER_SHAREHOLDERS_CLASSB">"c1969"</definedName>
    <definedName name="IQ_OBLIGATIONS_OF_STATES_TOTAL_LOANS_FOREIGN_FDIC">"c6447"</definedName>
    <definedName name="IQ_OBLIGATIONS_STATES_FDIC">"c6431"</definedName>
    <definedName name="IQ_OG_OTHER_ADJ">"c1999"</definedName>
    <definedName name="IQ_OG_TOTAL_OIL_PRODUCTON">"c2059"</definedName>
    <definedName name="IQ_OPENED55">1</definedName>
    <definedName name="IQ_OPENPRICE_1">"c848"</definedName>
    <definedName name="IQ_OPER_INC_1">"c849"</definedName>
    <definedName name="IQ_OPER_INC_ACT_OR_EST_REUT">"c5466"</definedName>
    <definedName name="IQ_OPER_INC_BR">"c850"</definedName>
    <definedName name="IQ_OPER_INC_DET_EST_CURRENCY_REUT">"c12543"</definedName>
    <definedName name="IQ_OPER_INC_DET_EST_DATE_REUT">"c12302"</definedName>
    <definedName name="IQ_OPER_INC_DET_EST_INCL_REUT">"c12426"</definedName>
    <definedName name="IQ_OPER_INC_DET_EST_ORIGIN_REUT">"c12670"</definedName>
    <definedName name="IQ_OPER_INC_DET_EST_REUT">"c12160"</definedName>
    <definedName name="IQ_OPER_INC_EST_REUT">"c5340"</definedName>
    <definedName name="IQ_OPER_INC_HIGH_EST_REUT">"c5342"</definedName>
    <definedName name="IQ_OPER_INC_LOW_EST_REUT">"c5343"</definedName>
    <definedName name="IQ_OPER_INC_MEDIAN_EST_REUT">"c5341"</definedName>
    <definedName name="IQ_OPER_INC_NUM_EST_REUT">"c5344"</definedName>
    <definedName name="IQ_OPER_INC_STDDEV_EST_REUT">"c5345"</definedName>
    <definedName name="IQ_OPTIONS_EXCERCISED">"c2116"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MORT_BR">"c5566"</definedName>
    <definedName name="IQ_OTHER_ASSETS_1">"c860"</definedName>
    <definedName name="IQ_OTHER_ASSETS_BR">"c862"</definedName>
    <definedName name="IQ_OTHER_ASSETS_FDIC">"c6338"</definedName>
    <definedName name="IQ_OTHER_BEARING_LIAB_1">"c1608"</definedName>
    <definedName name="IQ_OTHER_BORROWED_FUNDS_FDIC">"c6345"</definedName>
    <definedName name="IQ_OTHER_CA_SUPPL_BR">"c871"</definedName>
    <definedName name="IQ_OTHER_CL_SUPPL_BR">"c880"</definedName>
    <definedName name="IQ_OTHER_COMPREHENSIVE_INCOME_FDIC">"c6503"</definedName>
    <definedName name="IQ_OTHER_CURRENT_ASSETS_1">"c1403"</definedName>
    <definedName name="IQ_OTHER_CURRENT_LIAB_1">"c1404"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_1">"c1609"</definedName>
    <definedName name="IQ_OTHER_EQUITY_1">"c886"</definedName>
    <definedName name="IQ_OTHER_EQUITY_BR">"c888"</definedName>
    <definedName name="IQ_OTHER_FINANCE_ACT_BR">"c895"</definedName>
    <definedName name="IQ_OTHER_FINANCE_ACT_SUPPL_BR">"c901"</definedName>
    <definedName name="IQ_OTHER_INSURANCE_FEES_FDIC">"c6672"</definedName>
    <definedName name="IQ_OTHER_INTAN_BR">"c909"</definedName>
    <definedName name="IQ_OTHER_INTANGIBLE_FDIC">"c6337"</definedName>
    <definedName name="IQ_OTHER_INVEST_ACT_BR">"c918"</definedName>
    <definedName name="IQ_OTHER_INVEST_ACT_SUPPL_BR">"c924"</definedName>
    <definedName name="IQ_OTHER_INVESTING_1">"c1408"</definedName>
    <definedName name="IQ_OTHER_LIAB_1">"c930"</definedName>
    <definedName name="IQ_OTHER_LIAB_BR">"c932"</definedName>
    <definedName name="IQ_OTHER_LIAB_LT_BR">"c937"</definedName>
    <definedName name="IQ_OTHER_LIABILITIES_FDIC">"c6347"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_1">"c1409"</definedName>
    <definedName name="IQ_OTHER_LT_ASSETS_BR">"c948"</definedName>
    <definedName name="IQ_OTHER_MINING_REVENUE_COAL">"c15931"</definedName>
    <definedName name="IQ_OTHER_NET_1">"c1453"</definedName>
    <definedName name="IQ_OTHER_NON_INT_EXP_FDIC">"c6578"</definedName>
    <definedName name="IQ_OTHER_NON_INT_EXPENSE_FDIC">"c6679"</definedName>
    <definedName name="IQ_OTHER_NON_INT_INC_FDIC">"c6676"</definedName>
    <definedName name="IQ_OTHER_NON_OPER_EXP_BR">"c957"</definedName>
    <definedName name="IQ_OTHER_NON_OPER_EXP_SUPPL_BR">"c962"</definedName>
    <definedName name="IQ_OTHER_OFF_BS_LIAB_FDIC">"c6533"</definedName>
    <definedName name="IQ_OTHER_OPER_1">"c982"</definedName>
    <definedName name="IQ_OTHER_OPER_ACT_BR">"c985"</definedName>
    <definedName name="IQ_OTHER_OPER_BR">"c990"</definedName>
    <definedName name="IQ_OTHER_OPER_SUPPL_BR">"c994"</definedName>
    <definedName name="IQ_OTHER_OPER_TOT_BR">"c1000"</definedName>
    <definedName name="IQ_OTHER_RE_OWNED_FDIC">"c6330"</definedName>
    <definedName name="IQ_OTHER_RECEIV_1">"c1008"</definedName>
    <definedName name="IQ_OTHER_REV_BR">"c1011"</definedName>
    <definedName name="IQ_OTHER_REV_SUPPL_BR">"c1016"</definedName>
    <definedName name="IQ_OTHER_REVENUE_1">"c1410"</definedName>
    <definedName name="IQ_OTHER_SAVINGS_DEPOSITS_FDIC">"c6554"</definedName>
    <definedName name="IQ_OTHER_TRANSACTIONS_FDIC">"c6504"</definedName>
    <definedName name="IQ_OTHER_UNUSED_COMMITMENTS_FDIC">"c6530"</definedName>
    <definedName name="IQ_OTHER_UNUSUAL_BR">"c1561"</definedName>
    <definedName name="IQ_OTHER_UNUSUAL_SUPPL_BR">"c1496"</definedName>
    <definedName name="IQ_OUTSTANDING_FILING_DATE_1">"c1023"</definedName>
    <definedName name="IQ_OUTSTANDING_FILING_DATE_TOTAL">"c2107"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_1">"c1457"</definedName>
    <definedName name="IQ_PBV_FWD_REUT">"c15238"</definedName>
    <definedName name="IQ_PC_WRITTEN">"c1027"</definedName>
    <definedName name="IQ_PE_EXCL_FWD_REUT">"c4049"</definedName>
    <definedName name="IQ_PEG_FWD_REUT">"c4052"</definedName>
    <definedName name="IQ_PERCENT_CHANGE_EST_5YR_GROWTH_RATE_12MONTHS_REUT">"c3959"</definedName>
    <definedName name="IQ_PERCENT_CHANGE_EST_5YR_GROWTH_RATE_18MONTHS_REUT">"c3960"</definedName>
    <definedName name="IQ_PERCENT_CHANGE_EST_5YR_GROWTH_RATE_3MONTHS_REUT">"c3956"</definedName>
    <definedName name="IQ_PERCENT_CHANGE_EST_5YR_GROWTH_RATE_6MONTHS_REUT">"c3957"</definedName>
    <definedName name="IQ_PERCENT_CHANGE_EST_5YR_GROWTH_RATE_9MONTHS_REUT">"c3958"</definedName>
    <definedName name="IQ_PERCENT_CHANGE_EST_5YR_GROWTH_RATE_DAY_REUT">"c3954"</definedName>
    <definedName name="IQ_PERCENT_CHANGE_EST_5YR_GROWTH_RATE_MONTH_REUT">"c3955"</definedName>
    <definedName name="IQ_PERCENT_CHANGE_EST_5YR_GROWTH_RATE_WEEK_REUT">"c5435"</definedName>
    <definedName name="IQ_PERCENT_CHANGE_EST_CFPS_12MONTHS_REUT">"c3924"</definedName>
    <definedName name="IQ_PERCENT_CHANGE_EST_CFPS_18MONTHS_REUT">"c3925"</definedName>
    <definedName name="IQ_PERCENT_CHANGE_EST_CFPS_3MONTHS_REUT">"c3921"</definedName>
    <definedName name="IQ_PERCENT_CHANGE_EST_CFPS_6MONTHS_REUT">"c3922"</definedName>
    <definedName name="IQ_PERCENT_CHANGE_EST_CFPS_9MONTHS_REUT">"c3923"</definedName>
    <definedName name="IQ_PERCENT_CHANGE_EST_CFPS_DAY_REUT">"c3919"</definedName>
    <definedName name="IQ_PERCENT_CHANGE_EST_CFPS_MONTH_REUT">"c3920"</definedName>
    <definedName name="IQ_PERCENT_CHANGE_EST_CFPS_WEEK_REUT">"c3962"</definedName>
    <definedName name="IQ_PERCENT_CHANGE_EST_DPS_12MONTHS_REUT">"c3931"</definedName>
    <definedName name="IQ_PERCENT_CHANGE_EST_DPS_18MONTHS_REUT">"c3932"</definedName>
    <definedName name="IQ_PERCENT_CHANGE_EST_DPS_3MONTHS_REUT">"c3928"</definedName>
    <definedName name="IQ_PERCENT_CHANGE_EST_DPS_6MONTHS_REUT">"c3929"</definedName>
    <definedName name="IQ_PERCENT_CHANGE_EST_DPS_9MONTHS_REUT">"c3930"</definedName>
    <definedName name="IQ_PERCENT_CHANGE_EST_DPS_DAY_REUT">"c3926"</definedName>
    <definedName name="IQ_PERCENT_CHANGE_EST_DPS_MONTH_REUT">"c3927"</definedName>
    <definedName name="IQ_PERCENT_CHANGE_EST_DPS_WEEK_REUT">"c3963"</definedName>
    <definedName name="IQ_PERCENT_CHANGE_EST_EBITDA_12MONTHS_REUT">"c3917"</definedName>
    <definedName name="IQ_PERCENT_CHANGE_EST_EBITDA_18MONTHS_REUT">"c3918"</definedName>
    <definedName name="IQ_PERCENT_CHANGE_EST_EBITDA_3MONTHS_REUT">"c3914"</definedName>
    <definedName name="IQ_PERCENT_CHANGE_EST_EBITDA_6MONTHS_REUT">"c3915"</definedName>
    <definedName name="IQ_PERCENT_CHANGE_EST_EBITDA_9MONTHS_REUT">"c3916"</definedName>
    <definedName name="IQ_PERCENT_CHANGE_EST_EBITDA_DAY_REUT">"c3912"</definedName>
    <definedName name="IQ_PERCENT_CHANGE_EST_EBITDA_MONTH_REUT">"c3913"</definedName>
    <definedName name="IQ_PERCENT_CHANGE_EST_EBITDA_WEEK_REUT">"c3961"</definedName>
    <definedName name="IQ_PERCENT_CHANGE_EST_EPS_12MONTHS_REUT">"c3902"</definedName>
    <definedName name="IQ_PERCENT_CHANGE_EST_EPS_18MONTHS_REUT">"c3903"</definedName>
    <definedName name="IQ_PERCENT_CHANGE_EST_EPS_3MONTHS_REUT">"c3899"</definedName>
    <definedName name="IQ_PERCENT_CHANGE_EST_EPS_6MONTHS_REUT">"c3900"</definedName>
    <definedName name="IQ_PERCENT_CHANGE_EST_EPS_9MONTHS_REUT">"c3901"</definedName>
    <definedName name="IQ_PERCENT_CHANGE_EST_EPS_DAY_REUT">"c3896"</definedName>
    <definedName name="IQ_PERCENT_CHANGE_EST_EPS_MONTH_REUT">"c3898"</definedName>
    <definedName name="IQ_PERCENT_CHANGE_EST_EPS_WEEK_REUT">"c3897"</definedName>
    <definedName name="IQ_PERCENT_CHANGE_EST_FFO_12MONTHS">"c1828"</definedName>
    <definedName name="IQ_PERCENT_CHANGE_EST_FFO_12MONTHS_CIQ">"c3769"</definedName>
    <definedName name="IQ_PERCENT_CHANGE_EST_FFO_12MONTHS_REUT">"c3938"</definedName>
    <definedName name="IQ_PERCENT_CHANGE_EST_FFO_12MONTHS_THOM">"c5248"</definedName>
    <definedName name="IQ_PERCENT_CHANGE_EST_FFO_18MONTHS">"c1829"</definedName>
    <definedName name="IQ_PERCENT_CHANGE_EST_FFO_18MONTHS_CIQ">"c3770"</definedName>
    <definedName name="IQ_PERCENT_CHANGE_EST_FFO_18MONTHS_REUT">"c3939"</definedName>
    <definedName name="IQ_PERCENT_CHANGE_EST_FFO_18MONTHS_THOM">"c5249"</definedName>
    <definedName name="IQ_PERCENT_CHANGE_EST_FFO_3MONTHS">"c1825"</definedName>
    <definedName name="IQ_PERCENT_CHANGE_EST_FFO_3MONTHS_CIQ">"c3766"</definedName>
    <definedName name="IQ_PERCENT_CHANGE_EST_FFO_3MONTHS_REUT">"c3935"</definedName>
    <definedName name="IQ_PERCENT_CHANGE_EST_FFO_3MONTHS_THOM">"c5245"</definedName>
    <definedName name="IQ_PERCENT_CHANGE_EST_FFO_6MONTHS">"c1826"</definedName>
    <definedName name="IQ_PERCENT_CHANGE_EST_FFO_6MONTHS_CIQ">"c3767"</definedName>
    <definedName name="IQ_PERCENT_CHANGE_EST_FFO_6MONTHS_REUT">"c3936"</definedName>
    <definedName name="IQ_PERCENT_CHANGE_EST_FFO_6MONTHS_THOM">"c5246"</definedName>
    <definedName name="IQ_PERCENT_CHANGE_EST_FFO_9MONTHS">"c1827"</definedName>
    <definedName name="IQ_PERCENT_CHANGE_EST_FFO_9MONTHS_CIQ">"c3768"</definedName>
    <definedName name="IQ_PERCENT_CHANGE_EST_FFO_9MONTHS_REUT">"c3937"</definedName>
    <definedName name="IQ_PERCENT_CHANGE_EST_FFO_9MONTHS_THOM">"c5247"</definedName>
    <definedName name="IQ_PERCENT_CHANGE_EST_FFO_DAY">"c1822"</definedName>
    <definedName name="IQ_PERCENT_CHANGE_EST_FFO_DAY_CIQ">"c3764"</definedName>
    <definedName name="IQ_PERCENT_CHANGE_EST_FFO_DAY_REUT">"c3933"</definedName>
    <definedName name="IQ_PERCENT_CHANGE_EST_FFO_DAY_THOM">"c5243"</definedName>
    <definedName name="IQ_PERCENT_CHANGE_EST_FFO_MONTH">"c1824"</definedName>
    <definedName name="IQ_PERCENT_CHANGE_EST_FFO_MONTH_CIQ">"c3765"</definedName>
    <definedName name="IQ_PERCENT_CHANGE_EST_FFO_MONTH_REUT">"c3934"</definedName>
    <definedName name="IQ_PERCENT_CHANGE_EST_FFO_MONTH_THOM">"c5244"</definedName>
    <definedName name="IQ_PERCENT_CHANGE_EST_FFO_SHARE_12MONTHS_REUT">"c3938"</definedName>
    <definedName name="IQ_PERCENT_CHANGE_EST_FFO_SHARE_18MONTHS_REUT">"c3939"</definedName>
    <definedName name="IQ_PERCENT_CHANGE_EST_FFO_SHARE_3MONTHS_REUT">"c3935"</definedName>
    <definedName name="IQ_PERCENT_CHANGE_EST_FFO_SHARE_6MONTHS_REUT">"c3936"</definedName>
    <definedName name="IQ_PERCENT_CHANGE_EST_FFO_SHARE_9MONTHS_REUT">"c3937"</definedName>
    <definedName name="IQ_PERCENT_CHANGE_EST_FFO_SHARE_DAY_REUT">"c3933"</definedName>
    <definedName name="IQ_PERCENT_CHANGE_EST_FFO_SHARE_MONTH_REUT">"c3934"</definedName>
    <definedName name="IQ_PERCENT_CHANGE_EST_FFO_SHARE_WEEK_REUT">"c3964"</definedName>
    <definedName name="IQ_PERCENT_CHANGE_EST_FFO_WEEK">"c1823"</definedName>
    <definedName name="IQ_PERCENT_CHANGE_EST_FFO_WEEK_CIQ">"c3795"</definedName>
    <definedName name="IQ_PERCENT_CHANGE_EST_FFO_WEEK_REUT">"c3964"</definedName>
    <definedName name="IQ_PERCENT_CHANGE_EST_FFO_WEEK_THOM">"c5274"</definedName>
    <definedName name="IQ_PERCENT_CHANGE_EST_PRICE_TARGET_12MONTHS_REUT">"c3952"</definedName>
    <definedName name="IQ_PERCENT_CHANGE_EST_PRICE_TARGET_18MONTHS_REUT">"c3953"</definedName>
    <definedName name="IQ_PERCENT_CHANGE_EST_PRICE_TARGET_3MONTHS_REUT">"c3949"</definedName>
    <definedName name="IQ_PERCENT_CHANGE_EST_PRICE_TARGET_6MONTHS_REUT">"c3950"</definedName>
    <definedName name="IQ_PERCENT_CHANGE_EST_PRICE_TARGET_9MONTHS_REUT">"c3951"</definedName>
    <definedName name="IQ_PERCENT_CHANGE_EST_PRICE_TARGET_DAY_REUT">"c3947"</definedName>
    <definedName name="IQ_PERCENT_CHANGE_EST_PRICE_TARGET_MONTH_REUT">"c3948"</definedName>
    <definedName name="IQ_PERCENT_CHANGE_EST_PRICE_TARGET_WEEK_REUT">"c3967"</definedName>
    <definedName name="IQ_PERCENT_CHANGE_EST_RECO_12MONTHS_REUT">"c3945"</definedName>
    <definedName name="IQ_PERCENT_CHANGE_EST_RECO_18MONTHS_REUT">"c3946"</definedName>
    <definedName name="IQ_PERCENT_CHANGE_EST_RECO_3MONTHS_REUT">"c3942"</definedName>
    <definedName name="IQ_PERCENT_CHANGE_EST_RECO_6MONTHS_REUT">"c3943"</definedName>
    <definedName name="IQ_PERCENT_CHANGE_EST_RECO_9MONTHS_REUT">"c3944"</definedName>
    <definedName name="IQ_PERCENT_CHANGE_EST_RECO_DAY_REUT">"c3940"</definedName>
    <definedName name="IQ_PERCENT_CHANGE_EST_RECO_MONTH_REUT">"c3941"</definedName>
    <definedName name="IQ_PERCENT_CHANGE_EST_RECO_WEEK_REUT">"c3966"</definedName>
    <definedName name="IQ_PERCENT_CHANGE_EST_REV_12MONTHS_REUT">"c3910"</definedName>
    <definedName name="IQ_PERCENT_CHANGE_EST_REV_18MONTHS_REUT">"c3911"</definedName>
    <definedName name="IQ_PERCENT_CHANGE_EST_REV_3MONTHS_REUT">"c3907"</definedName>
    <definedName name="IQ_PERCENT_CHANGE_EST_REV_6MONTHS_REUT">"c3908"</definedName>
    <definedName name="IQ_PERCENT_CHANGE_EST_REV_9MONTHS_REUT">"c3909"</definedName>
    <definedName name="IQ_PERCENT_CHANGE_EST_REV_DAY_REUT">"c3904"</definedName>
    <definedName name="IQ_PERCENT_CHANGE_EST_REV_MONTH_REUT">"c3906"</definedName>
    <definedName name="IQ_PERCENT_CHANGE_EST_REV_WEEK_REUT">"c3905"</definedName>
    <definedName name="IQ_PERCENT_FLOAT">"c227"</definedName>
    <definedName name="IQ_PERCENT_INSURED_FDIC">"c6374"</definedName>
    <definedName name="IQ_PERIODDATE_1">"c1414"</definedName>
    <definedName name="IQ_PERIODDATE_FDIC">"c13646"</definedName>
    <definedName name="IQ_PERTYPE_1">"c1611"</definedName>
    <definedName name="IQ_PLEDGED_SECURITIES_FDIC">"c6401"</definedName>
    <definedName name="IQ_POLICY_LIAB_1">"c1612"</definedName>
    <definedName name="IQ_POTENTIAL_UPSIDE_REUT">"c3968"</definedName>
    <definedName name="IQ_PRE_TAX_ACT_OR_EST_REUT">"c5467"</definedName>
    <definedName name="IQ_PRE_TAX_INCOME_FDIC">"c6581"</definedName>
    <definedName name="IQ_PREF_DIVID_1">"c1461"</definedName>
    <definedName name="IQ_PREF_ISSUED_BR">"c1047"</definedName>
    <definedName name="IQ_PREF_OTHER_BR">"c1055"</definedName>
    <definedName name="IQ_PREF_REP_BR">"c1062"</definedName>
    <definedName name="IQ_PREF_STOCK_1">"c1416"</definedName>
    <definedName name="IQ_PREF_TOT_1">"c1415"</definedName>
    <definedName name="IQ_PREFERRED_FDIC">"c6349"</definedName>
    <definedName name="IQ_PREMISES_EQUIPMENT_FDIC">"c6577"</definedName>
    <definedName name="IQ_PREPAID_EXPEN_1">"c1418"</definedName>
    <definedName name="IQ_PRETAX_GW_INC_DET_EST_CURRENCY_REUT">"c12531"</definedName>
    <definedName name="IQ_PRETAX_GW_INC_DET_EST_DATE_REUT">"c12290"</definedName>
    <definedName name="IQ_PRETAX_GW_INC_DET_EST_INCL_REUT">"c12414"</definedName>
    <definedName name="IQ_PRETAX_GW_INC_DET_EST_ORIGIN_REUT">"c12658"</definedName>
    <definedName name="IQ_PRETAX_GW_INC_DET_EST_REUT">"c12148"</definedName>
    <definedName name="IQ_PRETAX_GW_INC_EST_REUT">"c5354"</definedName>
    <definedName name="IQ_PRETAX_GW_INC_HIGH_EST_REUT">"c5356"</definedName>
    <definedName name="IQ_PRETAX_GW_INC_LOW_EST_REUT">"c5357"</definedName>
    <definedName name="IQ_PRETAX_GW_INC_MEDIAN_EST_REUT">"c5355"</definedName>
    <definedName name="IQ_PRETAX_GW_INC_NUM_EST_REUT">"c5358"</definedName>
    <definedName name="IQ_PRETAX_GW_INC_STDDEV_EST_REUT">"c5359"</definedName>
    <definedName name="IQ_PRETAX_INC">"c16"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DET_EST_CURRENCY_REUT">"c12530"</definedName>
    <definedName name="IQ_PRETAX_INC_DET_EST_DATE_REUT">"c12289"</definedName>
    <definedName name="IQ_PRETAX_INC_DET_EST_INCL_REUT">"c12413"</definedName>
    <definedName name="IQ_PRETAX_INC_DET_EST_ORIGIN_REUT">"c12657"</definedName>
    <definedName name="IQ_PRETAX_INC_DET_EST_REUT">"c12147"</definedName>
    <definedName name="IQ_PRETAX_INC_EST_REUT">"c5347"</definedName>
    <definedName name="IQ_PRETAX_INC_HIGH_EST_REUT">"c5349"</definedName>
    <definedName name="IQ_PRETAX_INC_LOW_EST_REUT">"c5350"</definedName>
    <definedName name="IQ_PRETAX_INC_MEDIAN_EST_REUT">"c5348"</definedName>
    <definedName name="IQ_PRETAX_INC_NUM_EST_REUT">"c5351"</definedName>
    <definedName name="IQ_PRETAX_INC_STDDEV_EST_REUT">"c5352"</definedName>
    <definedName name="IQ_PRETAX_REPORT_INC_DET_EST_CURRENCY_REUT">"c12532"</definedName>
    <definedName name="IQ_PRETAX_REPORT_INC_DET_EST_DATE_REUT">"c12291"</definedName>
    <definedName name="IQ_PRETAX_REPORT_INC_DET_EST_INCL_REUT">"c12415"</definedName>
    <definedName name="IQ_PRETAX_REPORT_INC_DET_EST_ORIGIN_REUT">"c12769"</definedName>
    <definedName name="IQ_PRETAX_REPORT_INC_DET_EST_REUT">"c12149"</definedName>
    <definedName name="IQ_PRETAX_REPORT_INC_EST_REUT">"c5361"</definedName>
    <definedName name="IQ_PRETAX_REPORT_INC_HIGH_EST_REUT">"c5363"</definedName>
    <definedName name="IQ_PRETAX_REPORT_INC_LOW_EST_REUT">"c5364"</definedName>
    <definedName name="IQ_PRETAX_REPORT_INC_MEDIAN_EST_REUT">"c5362"</definedName>
    <definedName name="IQ_PRETAX_REPORT_INC_NUM_EST_REUT">"c5365"</definedName>
    <definedName name="IQ_PRETAX_REPORT_INC_STDDEV_EST_REUT">"c5366"</definedName>
    <definedName name="IQ_PRETAX_RETURN_ASSETS_FDIC">"c6731"</definedName>
    <definedName name="IQ_PRICE_CFPS_FWD_REUT">"c4053"</definedName>
    <definedName name="IQ_PRICE_OVER_BVPS_1">"c1412"</definedName>
    <definedName name="IQ_PRICE_OVER_EPS_EST">"c174"</definedName>
    <definedName name="IQ_PRICE_OVER_EPS_EST_1">"c175"</definedName>
    <definedName name="IQ_PRICE_OVER_LTM_EPS_1">"c1413"</definedName>
    <definedName name="IQ_PRICE_TARGET_BOTTOM_UP_REUT">"c5494"</definedName>
    <definedName name="IQ_PRICE_TARGET_REUT">"c3631"</definedName>
    <definedName name="IQ_PRICEDATE_1">"c1069"</definedName>
    <definedName name="IQ_PRICEDATETIME">"IQ_PRICEDATETIME"</definedName>
    <definedName name="IQ_PRICING_DATE_1">"c1613"</definedName>
    <definedName name="IQ_PRIMARY_EPS_TYPE_REUT">"c5481"</definedName>
    <definedName name="IQ_PRIMARY_EPS_TYPE_THOM">"c5297"</definedName>
    <definedName name="IQ_PRIMARY_INDUSTRY_1">"c1070"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LY_ISSUED_MORTGAGE_BACKED_SECURITIES_FDIC">"c6407"</definedName>
    <definedName name="IQ_PRIVATELY_ISSUED_MORTGAGE_PASS_THROUGHS_FDIC">"c6405"</definedName>
    <definedName name="IQ_PRO_FORMA_BASIC_EPS_1">"c1614"</definedName>
    <definedName name="IQ_PRO_FORMA_DILUT_EPS_1">"c1615"</definedName>
    <definedName name="IQ_PRO_FORMA_NET_INC_1">"c1452"</definedName>
    <definedName name="IQ_PROFESSIONAL_1">"c1071"</definedName>
    <definedName name="IQ_PROFESSIONAL_TITLE_1">"c1072"</definedName>
    <definedName name="IQ_PROPERTY_GROSS_1">"c1379"</definedName>
    <definedName name="IQ_PROPERTY_NET_1">"c1402"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QTD">750000</definedName>
    <definedName name="IQ_QUICK_RATIO_1">"c1086"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DEEM_PREF_STOCK_1">"c1417"</definedName>
    <definedName name="IQ_RELATED_PLANS_FDIC">"c6320"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EARCH_DEV_1">"c1419"</definedName>
    <definedName name="IQ_RESIDENTIAL_LOANS">"c1102"</definedName>
    <definedName name="IQ_RESTATEMENTS_NET_FDIC">"c6500"</definedName>
    <definedName name="IQ_RESTRUCTURE_BR">"c1106"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DEPOSITS_FDIC">"c6488"</definedName>
    <definedName name="IQ_RETAINED_EARN_1">"c1420"</definedName>
    <definedName name="IQ_RETAINED_EARNINGS_AVERAGE_EQUITY_FDIC">"c6733"</definedName>
    <definedName name="IQ_RETURN_ASSETS_1">"c1113"</definedName>
    <definedName name="IQ_RETURN_ASSETS_ACT_OR_EST_REUT">"c5475"</definedName>
    <definedName name="IQ_RETURN_ASSETS_BROK">"c1115"</definedName>
    <definedName name="IQ_RETURN_ASSETS_DET_EST_DATE_REUT">"c12304"</definedName>
    <definedName name="IQ_RETURN_ASSETS_DET_EST_INCL_REUT">"c12428"</definedName>
    <definedName name="IQ_RETURN_ASSETS_DET_EST_ORIGIN_REUT">"c12672"</definedName>
    <definedName name="IQ_RETURN_ASSETS_DET_EST_REUT">"c12162"</definedName>
    <definedName name="IQ_RETURN_ASSETS_EST_REUT">"c3990"</definedName>
    <definedName name="IQ_RETURN_ASSETS_FDIC">"c6730"</definedName>
    <definedName name="IQ_RETURN_ASSETS_HIGH_EST_REUT">"c3992"</definedName>
    <definedName name="IQ_RETURN_ASSETS_LOW_EST_REUT">"c3993"</definedName>
    <definedName name="IQ_RETURN_ASSETS_MEDIAN_EST_REUT">"c3991"</definedName>
    <definedName name="IQ_RETURN_ASSETS_NUM_EST_REUT">"c3994"</definedName>
    <definedName name="IQ_RETURN_ASSETS_STDDEV_EST_REUT">"c3995"</definedName>
    <definedName name="IQ_RETURN_EQUITY_1">"c1118"</definedName>
    <definedName name="IQ_RETURN_EQUITY_ACT_OR_EST_REUT">"c5476"</definedName>
    <definedName name="IQ_RETURN_EQUITY_BROK">"c1120"</definedName>
    <definedName name="IQ_RETURN_EQUITY_DET_EST_DATE_REUT">"c12305"</definedName>
    <definedName name="IQ_RETURN_EQUITY_DET_EST_INCL_REUT">"c12429"</definedName>
    <definedName name="IQ_RETURN_EQUITY_DET_EST_ORIGIN_REUT">"c12673"</definedName>
    <definedName name="IQ_RETURN_EQUITY_DET_EST_REUT">"c12163"</definedName>
    <definedName name="IQ_RETURN_EQUITY_EST_REUT">"c3983"</definedName>
    <definedName name="IQ_RETURN_EQUITY_FDIC">"c6732"</definedName>
    <definedName name="IQ_RETURN_EQUITY_HIGH_EST_REUT">"c3985"</definedName>
    <definedName name="IQ_RETURN_EQUITY_LOW_EST_REUT">"c3986"</definedName>
    <definedName name="IQ_RETURN_EQUITY_MEDIAN_EST_REUT">"c3984"</definedName>
    <definedName name="IQ_RETURN_EQUITY_NUM_EST_REUT">"c3987"</definedName>
    <definedName name="IQ_RETURN_EQUITY_STDDEV_EST_REUT">"c3988"</definedName>
    <definedName name="IQ_RETURN_INVESTMENT_1">"c1421"</definedName>
    <definedName name="IQ_REV_DET_EST_CURRENCY_REUT">"c12544"</definedName>
    <definedName name="IQ_REV_DET_EST_DATE_REUT">"c12303"</definedName>
    <definedName name="IQ_REV_DET_EST_INCL_REUT">"c12427"</definedName>
    <definedName name="IQ_REV_DET_EST_ORIGIN_REUT">"c12671"</definedName>
    <definedName name="IQ_REV_DET_EST_REUT">"c12161"</definedName>
    <definedName name="IQ_REV_STDDEV_EST_REUT">"c3639"</definedName>
    <definedName name="IQ_REVALUATION_GAINS_FDIC">"c6428"</definedName>
    <definedName name="IQ_REVALUATION_LOSSES_FDIC">"c6429"</definedName>
    <definedName name="IQ_REVENUE_1">"c1422"</definedName>
    <definedName name="IQ_REVENUE_10K">"IQ_REVENUE_10K"</definedName>
    <definedName name="IQ_REVENUE_10Q">"IQ_REVENUE_10Q"</definedName>
    <definedName name="IQ_REVENUE_10Q1">"IQ_REVENUE_10Q1"</definedName>
    <definedName name="IQ_REVENUE_ACT_OR_EST_REUT">"c5461"</definedName>
    <definedName name="IQ_REVENUE_EST_1">"c190"</definedName>
    <definedName name="IQ_REVENUE_EST_BOTTOM_UP_REUT">"c5496"</definedName>
    <definedName name="IQ_REVENUE_EST_REUT">"c3634"</definedName>
    <definedName name="IQ_REVENUE_GROWTH_1">"c155"</definedName>
    <definedName name="IQ_REVENUE_GROWTH_2">"c159"</definedName>
    <definedName name="IQ_REVENUE_HIGH_EST_REUT">"c3636"</definedName>
    <definedName name="IQ_REVENUE_LOW_EST_REUT">"c3637"</definedName>
    <definedName name="IQ_REVENUE_MEDIAN_EST_REUT">"c3635"</definedName>
    <definedName name="IQ_REVENUE_NUM_EST_REUT">"c3638"</definedName>
    <definedName name="IQ_REVISION_DATE__1">38965.4241319444</definedName>
    <definedName name="IQ_RISK_WEIGHTED_ASSETS_FDIC">"c6370"</definedName>
    <definedName name="IQ_ROYALTY_REVENUE_COAL">"c15932"</definedName>
    <definedName name="IQ_SALARY_FDIC">"c6576"</definedName>
    <definedName name="IQ_SALE_CONVERSION_RETIREMENT_STOCK_FDIC">"c6661"</definedName>
    <definedName name="IQ_SALE_INTAN_CF_BR">"c1133"</definedName>
    <definedName name="IQ_SALE_PPE_CF_BR">"c1139"</definedName>
    <definedName name="IQ_SALE_REAL_ESTATE_CF_BR">"c1145"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RVICE_CHARGES_FDIC">"c6572"</definedName>
    <definedName name="IQ_SGA_1">"c1158"</definedName>
    <definedName name="IQ_SHAREOUTSTANDING">"c1347"</definedName>
    <definedName name="IQ_SHARESOUTSTANDING_1">"c1164"</definedName>
    <definedName name="IQ_SHORT_INTEREST_VOLUME">"c228"</definedName>
    <definedName name="IQ_SHORT_TERM_INVEST_1">"c1425"</definedName>
    <definedName name="IQ_SOURCE_1">"c1168"</definedName>
    <definedName name="IQ_SP_ISSUE_LC_ACTION">"c2644"</definedName>
    <definedName name="IQ_SP_ISSUE_LC_DATE">"c2643"</definedName>
    <definedName name="IQ_SP_ISSUE_LC_LT">"c2645"</definedName>
    <definedName name="IQ_SPECIAL_DIV_CF_BR">"c1171"</definedName>
    <definedName name="IQ_ST_DEBT_BR">"c1178"</definedName>
    <definedName name="IQ_ST_DEBT_ISSUED_BR">"c1183"</definedName>
    <definedName name="IQ_ST_DEBT_REPAID_BR">"c1191"</definedName>
    <definedName name="IQ_STAND_REC_DET_EST_DATE_REUT">"c12307"</definedName>
    <definedName name="IQ_STAND_REC_DET_EST_ORIGIN_REUT">"c12675"</definedName>
    <definedName name="IQ_STAND_REC_DET_EST_REUT">"c12165"</definedName>
    <definedName name="IQ_STAND_REC_NUM_DET_EST_DATE_REUT">"c12306"</definedName>
    <definedName name="IQ_STAND_REC_NUM_DET_EST_ORIGIN_REUT">"c12674"</definedName>
    <definedName name="IQ_STAND_REC_NUM_DET_EST_REUT">"c12164"</definedName>
    <definedName name="IQ_STATE_1">"c1200"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OCK_BASED_1">"c1202"</definedName>
    <definedName name="IQ_STOCK_BASED_COGS_FIN">"c2998"</definedName>
    <definedName name="IQ_STOCK_BASED_COGS_UTIL">"c2997"</definedName>
    <definedName name="IQ_SUB_DEBT_FDIC">"c6346"</definedName>
    <definedName name="IQ_SURPLUS_FDIC">"c6351"</definedName>
    <definedName name="IQ_TARGET_PRICE_DET_EST_CURRENCY_REUT">"c12547"</definedName>
    <definedName name="IQ_TARGET_PRICE_DET_EST_DATE_REUT">"c12308"</definedName>
    <definedName name="IQ_TARGET_PRICE_DET_EST_INCL_REUT">"c12430"</definedName>
    <definedName name="IQ_TARGET_PRICE_DET_EST_ORIGIN_REUT">"c12731"</definedName>
    <definedName name="IQ_TARGET_PRICE_DET_EST_REUT">"c12166"</definedName>
    <definedName name="IQ_TARGET_PRICE_LASTCLOSE">"c1855"</definedName>
    <definedName name="IQ_TARGET_PRICE_NUM_REUT">"c5319"</definedName>
    <definedName name="IQ_TARGET_PRICE_STDDEV_REUT">"c5320"</definedName>
    <definedName name="IQ_TEV_EBIT_FWD_REUT">"c4054"</definedName>
    <definedName name="IQ_TEV_EBITDA_FWD_REUT">"c4050"</definedName>
    <definedName name="IQ_TEV_TOTAL_REV_FWD_REUT">"c4051"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FDIC">"c6369"</definedName>
    <definedName name="IQ_TIME_DEPOSITS_LESS_THAN_100K_FDIC">"c6465"</definedName>
    <definedName name="IQ_TIME_DEPOSITS_MORE_THAN_100K_FDIC">"c6470"</definedName>
    <definedName name="IQ_TODAY">0</definedName>
    <definedName name="IQ_TODAY_1">0</definedName>
    <definedName name="IQ_TOT_ADJ_INC_1">"c1616"</definedName>
    <definedName name="IQ_TOTAL_AR_BR">"c1231"</definedName>
    <definedName name="IQ_TOTAL_ASSETS_1">"c1234"</definedName>
    <definedName name="IQ_TOTAL_ASSETS_FDIC">"c6339"</definedName>
    <definedName name="IQ_TOTAL_CASH_DIVID_1">"c1455"</definedName>
    <definedName name="IQ_TOTAL_CASH_FINAN_1">"c1352"</definedName>
    <definedName name="IQ_TOTAL_CASH_INVEST_1">"c1353"</definedName>
    <definedName name="IQ_TOTAL_CASH_OPER_1">"c1354"</definedName>
    <definedName name="IQ_TOTAL_CHARGE_OFFS_FDIC">"c6603"</definedName>
    <definedName name="IQ_TOTAL_COMMON_1">"c1411"</definedName>
    <definedName name="IQ_TOTAL_CURRENT_ASSETS_1">"c1430"</definedName>
    <definedName name="IQ_TOTAL_CURRENT_LIAB_1">"c1431"</definedName>
    <definedName name="IQ_TOTAL_DEBT_1">"c1247"</definedName>
    <definedName name="IQ_TOTAL_DEBT_DUE">"c2509"</definedName>
    <definedName name="IQ_TOTAL_DEBT_ISSUED_BR">"c1253"</definedName>
    <definedName name="IQ_TOTAL_DEBT_OVER_EBITDA_1">"c1433"</definedName>
    <definedName name="IQ_TOTAL_DEBT_OVER_TOTAL_BV_1">"c1434"</definedName>
    <definedName name="IQ_TOTAL_DEBT_OVER_TOTAL_CAP_1">"c1432"</definedName>
    <definedName name="IQ_TOTAL_DEBT_REPAID_BR">"c1260"</definedName>
    <definedName name="IQ_TOTAL_DEBT_SECURITIES_FDIC">"c6410"</definedName>
    <definedName name="IQ_TOTAL_DEPOSITS_1">"c1265"</definedName>
    <definedName name="IQ_TOTAL_DEPOSITS_FDIC">"c6342"</definedName>
    <definedName name="IQ_TOTAL_EMPLOYEES_FDIC">"c6355"</definedName>
    <definedName name="IQ_TOTAL_EQUITY_1">"c1267"</definedName>
    <definedName name="IQ_TOTAL_INTEREST_EXP_1">"c1382"</definedName>
    <definedName name="IQ_TOTAL_INVENTORY_1">"c1385"</definedName>
    <definedName name="IQ_TOTAL_LIAB_1">"c1276"</definedName>
    <definedName name="IQ_TOTAL_LIAB_BR">"c1278"</definedName>
    <definedName name="IQ_TOTAL_LIAB_EQUITY_FDIC">"c6354"</definedName>
    <definedName name="IQ_TOTAL_LIAB_SHAREHOLD_1">"c1435"</definedName>
    <definedName name="IQ_TOTAL_LIABILITIES_FDIC">"c6348"</definedName>
    <definedName name="IQ_TOTAL_LONG_DEBT_1">"c1617"</definedName>
    <definedName name="IQ_TOTAL_OPER_EXP_BR">"c1284"</definedName>
    <definedName name="IQ_TOTAL_OPER_EXPEN_1">"c1445"</definedName>
    <definedName name="IQ_TOTAL_PENSION_OBLIGATION">"c1292"</definedName>
    <definedName name="IQ_TOTAL_RECEIV_1">"c1293"</definedName>
    <definedName name="IQ_TOTAL_RECOVERIES_FDIC">"c6622"</definedName>
    <definedName name="IQ_TOTAL_REV_BNK_FDIC">"c6786"</definedName>
    <definedName name="IQ_TOTAL_REV_BR">"c1303"</definedName>
    <definedName name="IQ_TOTAL_REVENUE_1">"c1436"</definedName>
    <definedName name="IQ_TOTAL_RISK_BASED_CAPITAL_RATIO_FDIC">"c6747"</definedName>
    <definedName name="IQ_TOTAL_SECURITIES_FDIC">"c6306"</definedName>
    <definedName name="IQ_TOTAL_SPECIAL_1">"c1618"</definedName>
    <definedName name="IQ_TOTAL_ST_BORROW_1">"c1424"</definedName>
    <definedName name="IQ_TOTAL_TIME_DEPOSITS_FDIC">"c6497"</definedName>
    <definedName name="IQ_TOTAL_TIME_SAVINGS_DEPOSITS_FDIC">"c6498"</definedName>
    <definedName name="IQ_TOTAL_UNUSED_COMMITMENTS_FDIC">"c6536"</definedName>
    <definedName name="IQ_TOTAL_UNUSUAL_BR">"c5517"</definedName>
    <definedName name="IQ_TR_BUY_ADVISORS">"c2387"</definedName>
    <definedName name="IQ_TR_SELL_ADVISORS">"c2388"</definedName>
    <definedName name="IQ_TR_SUBDEBT">"c2370"</definedName>
    <definedName name="IQ_TR_TARGET_ADVISORS">"c2386"</definedName>
    <definedName name="IQ_TRADE_AR_1">"c1345"</definedName>
    <definedName name="IQ_TRADING_ACCOUNT_GAINS_FEES_FDIC">"c6573"</definedName>
    <definedName name="IQ_TRADING_ASSETS_FDIC">"c6328"</definedName>
    <definedName name="IQ_TRADING_LIABILITIES_FDIC">"c6344"</definedName>
    <definedName name="IQ_TRANSACTION_ACCOUNTS_FDIC">"c6544"</definedName>
    <definedName name="IQ_TREASURY_OTHER_EQUITY_BR">"c1314"</definedName>
    <definedName name="IQ_TREASURY_STOCK_1">"c1438"</definedName>
    <definedName name="IQ_TREASURY_STOCK_TRANSACTIONS_FDIC">"c6501"</definedName>
    <definedName name="IQ_TWELVE_MONTHS_FIXED_AND_FLOATING_FDIC">"c6420"</definedName>
    <definedName name="IQ_TWELVE_MONTHS_MORTGAGE_PASS_THROUGHS_FDIC">"c6412"</definedName>
    <definedName name="IQ_UNDIVIDED_PROFITS_FDIC">"c6352"</definedName>
    <definedName name="IQ_UNEARN_REV_CURRENT_BR">"c1324"</definedName>
    <definedName name="IQ_UNEARNED_INCOME_FDIC">"c6324"</definedName>
    <definedName name="IQ_UNEARNED_INCOME_FOREIGN_FDIC">"c6385"</definedName>
    <definedName name="IQ_UNPROFITABLE_INSTITUTIONS_FDIC">"c6722"</definedName>
    <definedName name="IQ_UNREALIZED_GAIN_1">"c1619"</definedName>
    <definedName name="IQ_UNUSED_LOAN_COMMITMENTS_FDIC">"c6368"</definedName>
    <definedName name="IQ_UNUSUAL_EXP_1">"c1456"</definedName>
    <definedName name="IQ_US_BRANCHES_FOREIGN_BANK_LOANS_FDIC">"c6435"</definedName>
    <definedName name="IQ_US_BRANCHES_FOREIGN_BANKS_FDIC">"c6390"</definedName>
    <definedName name="IQ_US_GAAP_1">"c1331"</definedName>
    <definedName name="IQ_US_GAAP_CA">"c2930"</definedName>
    <definedName name="IQ_US_GAAP_CL">"c2932"</definedName>
    <definedName name="IQ_US_GAAP_COST_REV">"c2965"</definedName>
    <definedName name="IQ_US_GAAP_DO">"c2973"</definedName>
    <definedName name="IQ_US_GAAP_EXTRA_ACC_ITEMS">"c2972"</definedName>
    <definedName name="IQ_US_GAAP_INC_TAX">"c2975"</definedName>
    <definedName name="IQ_US_GAAP_INTEREST_EXP">"c2971"</definedName>
    <definedName name="IQ_US_GAAP_LIAB_LT">"c2933"</definedName>
    <definedName name="IQ_US_GAAP_MINORITY_INTEREST_IS">"c2974"</definedName>
    <definedName name="IQ_US_GAAP_NCA">"c2931"</definedName>
    <definedName name="IQ_US_GAAP_NI_AVAIL_EXCL">"c2977"</definedName>
    <definedName name="IQ_US_GAAP_OTHER_NON_OPER">"c2969"</definedName>
    <definedName name="IQ_US_GAAP_OTHER_OPER">"c2968"</definedName>
    <definedName name="IQ_US_GAAP_RD">"c2967"</definedName>
    <definedName name="IQ_US_GAAP_SGA">"c2966"</definedName>
    <definedName name="IQ_US_GAAP_TOTAL_REV">"c2964"</definedName>
    <definedName name="IQ_US_GAAP_TOTAL_UNUSUAL">"c2970"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_1">"c1620"</definedName>
    <definedName name="IQ_VALUATION_ALLOWANCES_FDIC">"c6400"</definedName>
    <definedName name="IQ_VC_REVENUE_FDIC">"c6667"</definedName>
    <definedName name="IQ_VOLATILE_LIABILITIES_FDIC">"c6364"</definedName>
    <definedName name="IQ_VOLUME_1">"c1333"</definedName>
    <definedName name="IQ_WEIGHTED_AVG_PRICE_1">"c1334"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_1">"c2203"</definedName>
    <definedName name="IQ_YEARHIGH_1">"c1337"</definedName>
    <definedName name="IQ_YEARLOW_1">"c1338"</definedName>
    <definedName name="IQ_YTDMONTH">130000</definedName>
    <definedName name="IQ_Z_SCORE_1">"c1339"</definedName>
    <definedName name="IQRB17">"$B$18:$B$174"</definedName>
    <definedName name="IQRS6">"$S$7:$S$259"</definedName>
    <definedName name="IQRU11">"$U$12:$U$264"</definedName>
    <definedName name="IQRV11">"$V$12:$V$264"</definedName>
    <definedName name="iQShowHideColumns">"iQShowAll"</definedName>
    <definedName name="jfgjfgj">{"Units A",#N/A,FALSE,"FY95SLS";"Units B",#N/A,FALSE,"FY95SLS"}</definedName>
    <definedName name="jfgjfgj_1">{"Units A",#N/A,FALSE,"FY95SLS";"Units B",#N/A,FALSE,"FY95SLS"}</definedName>
    <definedName name="jfgjfgj_1_1">{"Units A",#N/A,FALSE,"FY95SLS";"Units B",#N/A,FALSE,"FY95SLS"}</definedName>
    <definedName name="jfgjfgj_2">{"Units A",#N/A,FALSE,"FY95SLS";"Units B",#N/A,FALSE,"FY95SLS"}</definedName>
    <definedName name="jgfjgfj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gfjgfj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gfjgfj_1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gfjgfj_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JJ">{#N/A,#N/A,TRUE,"SYNTHESE-t";#N/A,#N/A,TRUE,"PUB-t";#N/A,#N/A,TRUE,"OP CONSO-t";#N/A,#N/A,TRUE,"REFERENCTS-t";#N/A,#N/A,TRUE,"ETUDES MKG-t";#N/A,#N/A,TRUE,"PACKAGING-t";#N/A,#N/A,TRUE,"DIR COM-t";#N/A,#N/A,TRUE,"MEDIA-t"}</definedName>
    <definedName name="jk">{#N/A,#N/A,FALSE,"FY97";#N/A,#N/A,FALSE,"FY98";#N/A,#N/A,FALSE,"FY99";#N/A,#N/A,FALSE,"FY00";#N/A,#N/A,FALSE,"FY01"}</definedName>
    <definedName name="jka">{"cebank",#N/A,FALSE,"P9498BAR";"spbank",#N/A,FALSE,"P9498BAR";"renfinbank",#N/A,FALSE,"P9498BAR";"indici",#N/A,FALSE,"P9498BAR"}</definedName>
    <definedName name="jkjkljkljlk">{"Units A",#N/A,FALSE,"FY95SLS";"Units B",#N/A,FALSE,"FY95SLS"}</definedName>
    <definedName name="jkjkljkljlk_1">{"Units A",#N/A,FALSE,"FY95SLS";"Units B",#N/A,FALSE,"FY95SLS"}</definedName>
    <definedName name="jkjkljkljlk_1_1">{"Units A",#N/A,FALSE,"FY95SLS";"Units B",#N/A,FALSE,"FY95SLS"}</definedName>
    <definedName name="jkjkljkljlk_2">{"Units A",#N/A,FALSE,"FY95SLS";"Units B",#N/A,FALSE,"FY95SLS"}</definedName>
    <definedName name="jkkjkljlkj">{"US Dollars",#N/A,TRUE,"PPD";"US Dollar",#N/A,TRUE,"Anaquest";"US Dollar",#N/A,TRUE,"Delta";"US Dollar",#N/A,TRUE,"INO"}</definedName>
    <definedName name="jkkjkljlkj_1">{"US Dollars",#N/A,TRUE,"PPD";"US Dollar",#N/A,TRUE,"Anaquest";"US Dollar",#N/A,TRUE,"Delta";"US Dollar",#N/A,TRUE,"INO"}</definedName>
    <definedName name="jkkjkljlkj_1_1">{"US Dollars",#N/A,TRUE,"PPD";"US Dollar",#N/A,TRUE,"Anaquest";"US Dollar",#N/A,TRUE,"Delta";"US Dollar",#N/A,TRUE,"INO"}</definedName>
    <definedName name="jkkjkljlkj_2">{"US Dollars",#N/A,TRUE,"PPD";"US Dollar",#N/A,TRUE,"Anaquest";"US Dollar",#N/A,TRUE,"Delta";"US Dollar",#N/A,TRUE,"INO"}</definedName>
    <definedName name="jklj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klj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klj_1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klj_2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kljklj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kljklj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kljklj_1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kljklj_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kljlkj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jkljlkj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jkljlkj_1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jkljlkj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jkllj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kllj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kllj_1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kllj_2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ljlkj">{"Pound Sterling",#N/A,TRUE,"PPD";"Pound Sterling",#N/A,TRUE,"Anaquest";"Pound Sterling",#N/A,TRUE,"Delta";"Pound Sterling",#N/A,TRUE,"INO"}</definedName>
    <definedName name="jljlkj_1">{"Pound Sterling",#N/A,TRUE,"PPD";"Pound Sterling",#N/A,TRUE,"Anaquest";"Pound Sterling",#N/A,TRUE,"Delta";"Pound Sterling",#N/A,TRUE,"INO"}</definedName>
    <definedName name="jljlkj_1_1">{"Pound Sterling",#N/A,TRUE,"PPD";"Pound Sterling",#N/A,TRUE,"Anaquest";"Pound Sterling",#N/A,TRUE,"Delta";"Pound Sterling",#N/A,TRUE,"INO"}</definedName>
    <definedName name="jljlkj_2">{"Pound Sterling",#N/A,TRUE,"PPD";"Pound Sterling",#N/A,TRUE,"Anaquest";"Pound Sterling",#N/A,TRUE,"Delta";"Pound Sterling",#N/A,TRUE,"INO"}</definedName>
    <definedName name="jlkjkjl">{"Units A",#N/A,FALSE,"FY95SLS";"Units B",#N/A,FALSE,"FY95SLS"}</definedName>
    <definedName name="jlkjkjl_1">{"Units A",#N/A,FALSE,"FY95SLS";"Units B",#N/A,FALSE,"FY95SLS"}</definedName>
    <definedName name="jlkjkjl_1_1">{"Units A",#N/A,FALSE,"FY95SLS";"Units B",#N/A,FALSE,"FY95SLS"}</definedName>
    <definedName name="jlkjkjl_2">{"Units A",#N/A,FALSE,"FY95SLS";"Units B",#N/A,FALSE,"FY95SLS"}</definedName>
    <definedName name="JULIO98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KH">MAIN.SAPF4HELP()</definedName>
    <definedName name="kjkljl">{"Pound Sterling",#N/A,TRUE,"PPD";"Pound Sterling",#N/A,TRUE,"Anaquest";"Pound Sterling",#N/A,TRUE,"Delta";"Pound Sterling",#N/A,TRUE,"INO"}</definedName>
    <definedName name="kjkljl_1">{"Pound Sterling",#N/A,TRUE,"PPD";"Pound Sterling",#N/A,TRUE,"Anaquest";"Pound Sterling",#N/A,TRUE,"Delta";"Pound Sterling",#N/A,TRUE,"INO"}</definedName>
    <definedName name="kjkljl_1_1">{"Pound Sterling",#N/A,TRUE,"PPD";"Pound Sterling",#N/A,TRUE,"Anaquest";"Pound Sterling",#N/A,TRUE,"Delta";"Pound Sterling",#N/A,TRUE,"INO"}</definedName>
    <definedName name="kjkljl_2">{"Pound Sterling",#N/A,TRUE,"PPD";"Pound Sterling",#N/A,TRUE,"Anaquest";"Pound Sterling",#N/A,TRUE,"Delta";"Pound Sterling",#N/A,TRUE,"INO"}</definedName>
    <definedName name="kk">#REF!</definedName>
    <definedName name="kkk">#REF!</definedName>
    <definedName name="kl">{#N/A,#N/A,FALSE,"FY97";#N/A,#N/A,FALSE,"FY98";#N/A,#N/A,FALSE,"FY99";#N/A,#N/A,FALSE,"FY00";#N/A,#N/A,FALSE,"FY01"}</definedName>
    <definedName name="limcount">1</definedName>
    <definedName name="lklkl">{"consolidated",#N/A,FALSE,"Sheet1";"cms",#N/A,FALSE,"Sheet1";"fse",#N/A,FALSE,"Sheet1"}</definedName>
    <definedName name="LOV_DesktopBudgetsEntryPageDef_BudgetName">#REF!</definedName>
    <definedName name="LOV_DesktopBudgetsEntryPageDef_CurrencyCode">#REF!</definedName>
    <definedName name="LOV_DesktopBudgetsEntryPageDef_LedgerId">#REF!</definedName>
    <definedName name="mike">#REF!</definedName>
    <definedName name="mj">{#N/A,#N/A,FALSE,"FY97";#N/A,#N/A,FALSE,"FY98";#N/A,#N/A,FALSE,"FY99";#N/A,#N/A,FALSE,"FY00";#N/A,#N/A,FALSE,"FY01"}</definedName>
    <definedName name="mknvoahfg">{"cebank",#N/A,FALSE,"P9498BAR";"spbank",#N/A,FALSE,"P9498BAR";"renfinbank",#N/A,FALSE,"P9498BAR";"indici",#N/A,FALSE,"P9498BAR"}</definedName>
    <definedName name="MLNK26f5ce62dd9b42d58090409718517a59">#REF!</definedName>
    <definedName name="MLNK2e75a50257494dc981230ddcbf76f7ea">#REF!</definedName>
    <definedName name="mmmmm">{#N/A,#N/A,FALSE,"Calc";#N/A,#N/A,FALSE,"Sensitivity";#N/A,#N/A,FALSE,"LT Earn.Dil.";#N/A,#N/A,FALSE,"Dil. AVP"}</definedName>
    <definedName name="new">#REF!</definedName>
    <definedName name="newone2">#REF!</definedName>
    <definedName name="nnnn">{"cebank",#N/A,FALSE,"P9498BAR";"spbank",#N/A,FALSE,"P9498BAR";"renfinbank",#N/A,FALSE,"P9498BAR";"indici",#N/A,FALSE,"P9498BAR"}</definedName>
    <definedName name="noidea">{#N/A,#N/A,FALSE,"Calc";#N/A,#N/A,FALSE,"Sensitivity";#N/A,#N/A,FALSE,"LT Earn.Dil.";#N/A,#N/A,FALSE,"Dil. AVP"}</definedName>
    <definedName name="ooo">#REF!</definedName>
    <definedName name="ooooo">{#N/A,#N/A,FALSE,"Calc";#N/A,#N/A,FALSE,"Sensitivity";#N/A,#N/A,FALSE,"LT Earn.Dil.";#N/A,#N/A,FALSE,"Dil. AVP"}</definedName>
    <definedName name="platilla">{#N/A,#N/A,FALSE,"SYNTHESE-c";#N/A,#N/A,FALSE,"PUB-c";#N/A,#N/A,FALSE,"OP CONSO-c";#N/A,#N/A,FALSE,"REFERENCTS-c";#N/A,#N/A,FALSE,"ETUDES MKG-c";#N/A,#N/A,FALSE,"PACKAGING-c";#N/A,#N/A,FALSE,"DIR COM-c";#N/A,#N/A,FALSE,"MEDIA-c"}</definedName>
    <definedName name="ppp">#REF!</definedName>
    <definedName name="Presentation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SM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PSM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PSM_1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PSM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qq">{#N/A,#N/A,FALSE,"Aging Summary";#N/A,#N/A,FALSE,"Ratio Analysis";#N/A,#N/A,FALSE,"Test 120 Day Accts";#N/A,#N/A,FALSE,"Tickmarks"}</definedName>
    <definedName name="qq_1">{#N/A,#N/A,FALSE,"Aging Summary";#N/A,#N/A,FALSE,"Ratio Analysis";#N/A,#N/A,FALSE,"Test 120 Day Accts";#N/A,#N/A,FALSE,"Tickmarks"}</definedName>
    <definedName name="qq_1_1">{#N/A,#N/A,FALSE,"Aging Summary";#N/A,#N/A,FALSE,"Ratio Analysis";#N/A,#N/A,FALSE,"Test 120 Day Accts";#N/A,#N/A,FALSE,"Tickmarks"}</definedName>
    <definedName name="qq_2">{#N/A,#N/A,FALSE,"Aging Summary";#N/A,#N/A,FALSE,"Ratio Analysis";#N/A,#N/A,FALSE,"Test 120 Day Accts";#N/A,#N/A,FALSE,"Tickmarks"}</definedName>
    <definedName name="qqqq">{#N/A,#N/A,FALSE,"Aging Summary";#N/A,#N/A,FALSE,"Ratio Analysis";#N/A,#N/A,FALSE,"Test 120 Day Accts";#N/A,#N/A,FALSE,"Tickmarks"}</definedName>
    <definedName name="qqqq_1">{#N/A,#N/A,FALSE,"Aging Summary";#N/A,#N/A,FALSE,"Ratio Analysis";#N/A,#N/A,FALSE,"Test 120 Day Accts";#N/A,#N/A,FALSE,"Tickmarks"}</definedName>
    <definedName name="qqqq_1_1">{#N/A,#N/A,FALSE,"Aging Summary";#N/A,#N/A,FALSE,"Ratio Analysis";#N/A,#N/A,FALSE,"Test 120 Day Accts";#N/A,#N/A,FALSE,"Tickmarks"}</definedName>
    <definedName name="qqqq_2">{#N/A,#N/A,FALSE,"Aging Summary";#N/A,#N/A,FALSE,"Ratio Analysis";#N/A,#N/A,FALSE,"Test 120 Day Accts";#N/A,#N/A,FALSE,"Tickmarks"}</definedName>
    <definedName name="qqqqq">{#N/A,#N/A,FALSE,"Aging Summary";#N/A,#N/A,FALSE,"Ratio Analysis";#N/A,#N/A,FALSE,"Test 120 Day Accts";#N/A,#N/A,FALSE,"Tickmarks"}</definedName>
    <definedName name="qqqqq_1">{#N/A,#N/A,FALSE,"Aging Summary";#N/A,#N/A,FALSE,"Ratio Analysis";#N/A,#N/A,FALSE,"Test 120 Day Accts";#N/A,#N/A,FALSE,"Tickmarks"}</definedName>
    <definedName name="qqqqq_1_1">{#N/A,#N/A,FALSE,"Aging Summary";#N/A,#N/A,FALSE,"Ratio Analysis";#N/A,#N/A,FALSE,"Test 120 Day Accts";#N/A,#N/A,FALSE,"Tickmarks"}</definedName>
    <definedName name="qqqqq_2">{#N/A,#N/A,FALSE,"Aging Summary";#N/A,#N/A,FALSE,"Ratio Analysis";#N/A,#N/A,FALSE,"Test 120 Day Accts";#N/A,#N/A,FALSE,"Tickmarks"}</definedName>
    <definedName name="qtr">#REF!</definedName>
    <definedName name="qwdqw">{"cebank",#N/A,FALSE,"P9498BAR";"spbank",#N/A,FALSE,"P9498BAR";"renfinbank",#N/A,FALSE,"P9498BAR";"indici",#N/A,FALSE,"P9498BAR"}</definedName>
    <definedName name="rak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rdrhd">{"Units A",#N/A,FALSE,"FY95SLS";"Units B",#N/A,FALSE,"FY95SLS"}</definedName>
    <definedName name="rdrhd_1">{"Units A",#N/A,FALSE,"FY95SLS";"Units B",#N/A,FALSE,"FY95SLS"}</definedName>
    <definedName name="rdrhd_1_1">{"Units A",#N/A,FALSE,"FY95SLS";"Units B",#N/A,FALSE,"FY95SLS"}</definedName>
    <definedName name="rdrhd_2">{"Units A",#N/A,FALSE,"FY95SLS";"Units B",#N/A,FALSE,"FY95SLS"}</definedName>
    <definedName name="rhdrh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rhdrh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rhdrh_1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rhdrh_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rhrh">{"Units A",#N/A,FALSE,"FY95SLS";"Units B",#N/A,FALSE,"FY95SLS"}</definedName>
    <definedName name="rhrh_1">{"Units A",#N/A,FALSE,"FY95SLS";"Units B",#N/A,FALSE,"FY95SLS"}</definedName>
    <definedName name="rhrh_1_1">{"Units A",#N/A,FALSE,"FY95SLS";"Units B",#N/A,FALSE,"FY95SLS"}</definedName>
    <definedName name="rhrh_2">{"Units A",#N/A,FALSE,"FY95SLS";"Units B",#N/A,FALSE,"FY95SLS"}</definedName>
    <definedName name="rhrhr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rhrhr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rhrhr_1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rhrhr_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rhsdrhr">{"Units A",#N/A,FALSE,"FY95SLS";"Units B",#N/A,FALSE,"FY95SLS"}</definedName>
    <definedName name="rhsdrhr_1">{"Units A",#N/A,FALSE,"FY95SLS";"Units B",#N/A,FALSE,"FY95SLS"}</definedName>
    <definedName name="rhsdrhr_1_1">{"Units A",#N/A,FALSE,"FY95SLS";"Units B",#N/A,FALSE,"FY95SLS"}</definedName>
    <definedName name="rhsdrhr_2">{"Units A",#N/A,FALSE,"FY95SLS";"Units B",#N/A,FALSE,"FY95SLS"}</definedName>
    <definedName name="Ronnie">#REF!</definedName>
    <definedName name="ronnies">#REF!</definedName>
    <definedName name="rrr">#REF!</definedName>
    <definedName name="saa">{"rtn",#N/A,FALSE,"RTN";"tables",#N/A,FALSE,"RTN";"cf",#N/A,FALSE,"CF";"stats",#N/A,FALSE,"Stats";"prop",#N/A,FALSE,"Prop"}</definedName>
    <definedName name="saa_1">{"rtn",#N/A,FALSE,"RTN";"tables",#N/A,FALSE,"RTN";"cf",#N/A,FALSE,"CF";"stats",#N/A,FALSE,"Stats";"prop",#N/A,FALSE,"Prop"}</definedName>
    <definedName name="saa_1_1">{"rtn",#N/A,FALSE,"RTN";"tables",#N/A,FALSE,"RTN";"cf",#N/A,FALSE,"CF";"stats",#N/A,FALSE,"Stats";"prop",#N/A,FALSE,"Prop"}</definedName>
    <definedName name="saa_2">{"rtn",#N/A,FALSE,"RTN";"tables",#N/A,FALSE,"RTN";"cf",#N/A,FALSE,"CF";"stats",#N/A,FALSE,"Stats";"prop",#N/A,FALSE,"Prop"}</definedName>
    <definedName name="SAPFuncF4Help">MAIN.SAPF4HELP()</definedName>
    <definedName name="sas">{"Outflow 1",#N/A,FALSE,"Outflows-Inflows";"Outflow 2",#N/A,FALSE,"Outflows-Inflows";"Inflow 1",#N/A,FALSE,"Outflows-Inflows";"Inflow 2",#N/A,FALSE,"Outflows-Inflows"}</definedName>
    <definedName name="sas_1">{"Outflow 1",#N/A,FALSE,"Outflows-Inflows";"Outflow 2",#N/A,FALSE,"Outflows-Inflows";"Inflow 1",#N/A,FALSE,"Outflows-Inflows";"Inflow 2",#N/A,FALSE,"Outflows-Inflows"}</definedName>
    <definedName name="sas_1_1">{"Outflow 1",#N/A,FALSE,"Outflows-Inflows";"Outflow 2",#N/A,FALSE,"Outflows-Inflows";"Inflow 1",#N/A,FALSE,"Outflows-Inflows";"Inflow 2",#N/A,FALSE,"Outflows-Inflows"}</definedName>
    <definedName name="sas_2">{"Outflow 1",#N/A,FALSE,"Outflows-Inflows";"Outflow 2",#N/A,FALSE,"Outflows-Inflows";"Inflow 1",#N/A,FALSE,"Outflows-Inflows";"Inflow 2",#N/A,FALSE,"Outflows-Inflows"}</definedName>
    <definedName name="sdfass">{"Outflow 1",#N/A,FALSE,"Outflows-Inflows";"Outflow 2",#N/A,FALSE,"Outflows-Inflows";"Inflow 1",#N/A,FALSE,"Outflows-Inflows";"Inflow 2",#N/A,FALSE,"Outflows-Inflows"}</definedName>
    <definedName name="sdfass_1">{"Outflow 1",#N/A,FALSE,"Outflows-Inflows";"Outflow 2",#N/A,FALSE,"Outflows-Inflows";"Inflow 1",#N/A,FALSE,"Outflows-Inflows";"Inflow 2",#N/A,FALSE,"Outflows-Inflows"}</definedName>
    <definedName name="sdfass_1_1">{"Outflow 1",#N/A,FALSE,"Outflows-Inflows";"Outflow 2",#N/A,FALSE,"Outflows-Inflows";"Inflow 1",#N/A,FALSE,"Outflows-Inflows";"Inflow 2",#N/A,FALSE,"Outflows-Inflows"}</definedName>
    <definedName name="sdfass_2">{"Outflow 1",#N/A,FALSE,"Outflows-Inflows";"Outflow 2",#N/A,FALSE,"Outflows-Inflows";"Inflow 1",#N/A,FALSE,"Outflows-Inflows";"Inflow 2",#N/A,FALSE,"Outflows-Inflows"}</definedName>
    <definedName name="sdhrsh">{"US Dollars",#N/A,TRUE,"PPD";"US Dollar",#N/A,TRUE,"Anaquest";"US Dollar",#N/A,TRUE,"Delta";"US Dollar",#N/A,TRUE,"INO"}</definedName>
    <definedName name="sdhrsh_1">{"US Dollars",#N/A,TRUE,"PPD";"US Dollar",#N/A,TRUE,"Anaquest";"US Dollar",#N/A,TRUE,"Delta";"US Dollar",#N/A,TRUE,"INO"}</definedName>
    <definedName name="sdhrsh_1_1">{"US Dollars",#N/A,TRUE,"PPD";"US Dollar",#N/A,TRUE,"Anaquest";"US Dollar",#N/A,TRUE,"Delta";"US Dollar",#N/A,TRUE,"INO"}</definedName>
    <definedName name="sdhrsh_2">{"US Dollars",#N/A,TRUE,"PPD";"US Dollar",#N/A,TRUE,"Anaquest";"US Dollar",#N/A,TRUE,"Delta";"US Dollar",#N/A,TRUE,"INO"}</definedName>
    <definedName name="sencount">1</definedName>
    <definedName name="sfgdf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sfgdfg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sfgdfg_1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sfgdfg_2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sfghr">{"Pound Sterling",#N/A,TRUE,"PPD";"Pound Sterling",#N/A,TRUE,"Anaquest";"Pound Sterling",#N/A,TRUE,"Delta";"Pound Sterling",#N/A,TRUE,"INO"}</definedName>
    <definedName name="sfghr_1">{"Pound Sterling",#N/A,TRUE,"PPD";"Pound Sterling",#N/A,TRUE,"Anaquest";"Pound Sterling",#N/A,TRUE,"Delta";"Pound Sterling",#N/A,TRUE,"INO"}</definedName>
    <definedName name="sfghr_1_1">{"Pound Sterling",#N/A,TRUE,"PPD";"Pound Sterling",#N/A,TRUE,"Anaquest";"Pound Sterling",#N/A,TRUE,"Delta";"Pound Sterling",#N/A,TRUE,"INO"}</definedName>
    <definedName name="sfghr_2">{"Pound Sterling",#N/A,TRUE,"PPD";"Pound Sterling",#N/A,TRUE,"Anaquest";"Pound Sterling",#N/A,TRUE,"Delta";"Pound Sterling",#N/A,TRUE,"INO"}</definedName>
    <definedName name="sfgv">{"consolidated",#N/A,FALSE,"Sheet1";"cms",#N/A,FALSE,"Sheet1";"fse",#N/A,FALSE,"Sheet1"}</definedName>
    <definedName name="sfq">{#N/A,#N/A,FALSE,"Calc";#N/A,#N/A,FALSE,"Sensitivity";#N/A,#N/A,FALSE,"LT Earn.Dil.";#N/A,#N/A,FALSE,"Dil. AVP"}</definedName>
    <definedName name="sgdg">{#N/A,#N/A,FALSE,"Calc";#N/A,#N/A,FALSE,"Sensitivity";#N/A,#N/A,FALSE,"LT Earn.Dil.";#N/A,#N/A,FALSE,"Dil. AVP"}</definedName>
    <definedName name="sgegeg">{"Pound Sterling",#N/A,TRUE,"PPD";"Pound Sterling",#N/A,TRUE,"Anaquest";"Pound Sterling",#N/A,TRUE,"Delta";"Pound Sterling",#N/A,TRUE,"INO"}</definedName>
    <definedName name="sgegeg_1">{"Pound Sterling",#N/A,TRUE,"PPD";"Pound Sterling",#N/A,TRUE,"Anaquest";"Pound Sterling",#N/A,TRUE,"Delta";"Pound Sterling",#N/A,TRUE,"INO"}</definedName>
    <definedName name="sgegeg_1_1">{"Pound Sterling",#N/A,TRUE,"PPD";"Pound Sterling",#N/A,TRUE,"Anaquest";"Pound Sterling",#N/A,TRUE,"Delta";"Pound Sterling",#N/A,TRUE,"INO"}</definedName>
    <definedName name="sgegeg_2">{"Pound Sterling",#N/A,TRUE,"PPD";"Pound Sterling",#N/A,TRUE,"Anaquest";"Pound Sterling",#N/A,TRUE,"Delta";"Pound Sterling",#N/A,TRUE,"INO"}</definedName>
    <definedName name="sgeseg">{"US Dollars",#N/A,TRUE,"PPD";"US Dollar",#N/A,TRUE,"Anaquest";"US Dollar",#N/A,TRUE,"Delta";"US Dollar",#N/A,TRUE,"INO"}</definedName>
    <definedName name="sgeseg_1">{"US Dollars",#N/A,TRUE,"PPD";"US Dollar",#N/A,TRUE,"Anaquest";"US Dollar",#N/A,TRUE,"Delta";"US Dollar",#N/A,TRUE,"INO"}</definedName>
    <definedName name="sgeseg_1_1">{"US Dollars",#N/A,TRUE,"PPD";"US Dollar",#N/A,TRUE,"Anaquest";"US Dollar",#N/A,TRUE,"Delta";"US Dollar",#N/A,TRUE,"INO"}</definedName>
    <definedName name="sgeseg_2">{"US Dollars",#N/A,TRUE,"PPD";"US Dollar",#N/A,TRUE,"Anaquest";"US Dollar",#N/A,TRUE,"Delta";"US Dollar",#N/A,TRUE,"INO"}</definedName>
    <definedName name="sgherhe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gherhe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gherhe_1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gherhe_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ghser">{"US Dollars",#N/A,TRUE,"PPD";"US Dollar",#N/A,TRUE,"Anaquest";"US Dollar",#N/A,TRUE,"Delta";"US Dollar",#N/A,TRUE,"INO"}</definedName>
    <definedName name="sghser_1">{"US Dollars",#N/A,TRUE,"PPD";"US Dollar",#N/A,TRUE,"Anaquest";"US Dollar",#N/A,TRUE,"Delta";"US Dollar",#N/A,TRUE,"INO"}</definedName>
    <definedName name="sghser_1_1">{"US Dollars",#N/A,TRUE,"PPD";"US Dollar",#N/A,TRUE,"Anaquest";"US Dollar",#N/A,TRUE,"Delta";"US Dollar",#N/A,TRUE,"INO"}</definedName>
    <definedName name="sghser_2">{"US Dollars",#N/A,TRUE,"PPD";"US Dollar",#N/A,TRUE,"Anaquest";"US Dollar",#N/A,TRUE,"Delta";"US Dollar",#N/A,TRUE,"INO"}</definedName>
    <definedName name="sgsx">{"consolidated",#N/A,FALSE,"Sheet1";"cms",#N/A,FALSE,"Sheet1";"fse",#N/A,FALSE,"Sheet1"}</definedName>
    <definedName name="shrh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hrh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hrh_1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hrh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hrsdh">{"Units A",#N/A,FALSE,"FY95SLS";"Units B",#N/A,FALSE,"FY95SLS"}</definedName>
    <definedName name="shrsdh_1">{"Units A",#N/A,FALSE,"FY95SLS";"Units B",#N/A,FALSE,"FY95SLS"}</definedName>
    <definedName name="shrsdh_1_1">{"Units A",#N/A,FALSE,"FY95SLS";"Units B",#N/A,FALSE,"FY95SLS"}</definedName>
    <definedName name="shrsdh_2">{"Units A",#N/A,FALSE,"FY95SLS";"Units B",#N/A,FALSE,"FY95SLS"}</definedName>
    <definedName name="shsgr">{"Units A",#N/A,FALSE,"FY95SLS";"Units B",#N/A,FALSE,"FY95SLS"}</definedName>
    <definedName name="shsgr_1">{"Units A",#N/A,FALSE,"FY95SLS";"Units B",#N/A,FALSE,"FY95SLS"}</definedName>
    <definedName name="shsgr_1_1">{"Units A",#N/A,FALSE,"FY95SLS";"Units B",#N/A,FALSE,"FY95SLS"}</definedName>
    <definedName name="shsgr_2">{"Units A",#N/A,FALSE,"FY95SLS";"Units B",#N/A,FALSE,"FY95SLS"}</definedName>
    <definedName name="shsr">{"Units A",#N/A,FALSE,"FY95SLS";"Units B",#N/A,FALSE,"FY95SLS"}</definedName>
    <definedName name="shsr_1">{"Units A",#N/A,FALSE,"FY95SLS";"Units B",#N/A,FALSE,"FY95SLS"}</definedName>
    <definedName name="shsr_1_1">{"Units A",#N/A,FALSE,"FY95SLS";"Units B",#N/A,FALSE,"FY95SLS"}</definedName>
    <definedName name="shsr_2">{"Units A",#N/A,FALSE,"FY95SLS";"Units B",#N/A,FALSE,"FY95SLS"}</definedName>
    <definedName name="solver_adj">#REF!</definedName>
    <definedName name="solver_adj1">#REF!</definedName>
    <definedName name="solver_lin">0</definedName>
    <definedName name="solver_num">0</definedName>
    <definedName name="solver_opt">#REF!</definedName>
    <definedName name="solver_opt1">#REF!</definedName>
    <definedName name="solver_typ">3</definedName>
    <definedName name="solver_val">0.6</definedName>
    <definedName name="sort2">#REF!</definedName>
    <definedName name="srgserg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rgserg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rgserg_1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rgserg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rhsr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rhsr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rhsr_1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rhsr_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sss">#REF!</definedName>
    <definedName name="sssss">{#N/A,#N/A,FALSE,"Calc";#N/A,#N/A,FALSE,"Sensitivity";#N/A,#N/A,FALSE,"LT Earn.Dil.";#N/A,#N/A,FALSE,"Dil. AVP"}</definedName>
    <definedName name="sssssssssssssssssssss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SUMMARY_BOOK">{"page1",#N/A,FALSE,"GIRLBO";"page2",#N/A,FALSE,"GIRLBO";"page3",#N/A,FALSE,"GIRLBO";"page4",#N/A,FALSE,"GIRLBO";"page5",#N/A,FALSE,"GIRLBO"}</definedName>
    <definedName name="SUMMARY_BOOK_1">{"page1",#N/A,FALSE,"GIRLBO";"page2",#N/A,FALSE,"GIRLBO";"page3",#N/A,FALSE,"GIRLBO";"page4",#N/A,FALSE,"GIRLBO";"page5",#N/A,FALSE,"GIRLBO"}</definedName>
    <definedName name="SUMMARY_BOOK_1_1">{"page1",#N/A,FALSE,"GIRLBO";"page2",#N/A,FALSE,"GIRLBO";"page3",#N/A,FALSE,"GIRLBO";"page4",#N/A,FALSE,"GIRLBO";"page5",#N/A,FALSE,"GIRLBO"}</definedName>
    <definedName name="SUMMARY_BOOK_2">{"page1",#N/A,FALSE,"GIRLBO";"page2",#N/A,FALSE,"GIRLBO";"page3",#N/A,FALSE,"GIRLBO";"page4",#N/A,FALSE,"GIRLBO";"page5",#N/A,FALSE,"GIRLBO"}</definedName>
    <definedName name="syneron">#REF!</definedName>
    <definedName name="they">{#N/A,#N/A,FALSE,"Aging Summary";#N/A,#N/A,FALSE,"Ratio Analysis";#N/A,#N/A,FALSE,"Test 120 Day Accts";#N/A,#N/A,FALSE,"Tickmarks"}</definedName>
    <definedName name="they_1">{#N/A,#N/A,FALSE,"Aging Summary";#N/A,#N/A,FALSE,"Ratio Analysis";#N/A,#N/A,FALSE,"Test 120 Day Accts";#N/A,#N/A,FALSE,"Tickmarks"}</definedName>
    <definedName name="they_1_1">{#N/A,#N/A,FALSE,"Aging Summary";#N/A,#N/A,FALSE,"Ratio Analysis";#N/A,#N/A,FALSE,"Test 120 Day Accts";#N/A,#N/A,FALSE,"Tickmarks"}</definedName>
    <definedName name="they_2">{#N/A,#N/A,FALSE,"Aging Summary";#N/A,#N/A,FALSE,"Ratio Analysis";#N/A,#N/A,FALSE,"Test 120 Day Accts";#N/A,#N/A,FALSE,"Tickmarks"}</definedName>
    <definedName name="thth">{#N/A,#N/A,FALSE,"Calc";#N/A,#N/A,FALSE,"Sensitivity";#N/A,#N/A,FALSE,"LT Earn.Dil.";#N/A,#N/A,FALSE,"Dil. AVP"}</definedName>
    <definedName name="vertex42_copyright">"© 2015 Vertex42 LLC"</definedName>
    <definedName name="vertex42_id">"waterfall-chart.xlsx"</definedName>
    <definedName name="vertex42_title">"Waterfall Chart Template"</definedName>
    <definedName name="vo">{"consolidated",#N/A,FALSE,"Sheet1";"cms",#N/A,FALSE,"Sheet1";"fse",#N/A,FALSE,"Sheet1"}</definedName>
    <definedName name="wewe">{"cebank",#N/A,FALSE,"P9498BAR";"spbank",#N/A,FALSE,"P9498BAR";"renfinbank",#N/A,FALSE,"P9498BAR";"indici",#N/A,FALSE,"P9498BAR"}</definedName>
    <definedName name="wrd.2._.pagers.3">{"Cover",#N/A,FALSE,"Cover";"Summary",#N/A,FALSE,"Summarpage"}</definedName>
    <definedName name="wrd.2._.pagers.3_1">{"Cover",#N/A,FALSE,"Cover";"Summary",#N/A,FALSE,"Summarpage"}</definedName>
    <definedName name="wrd.2._.pagers.3_1_1">{"Cover",#N/A,FALSE,"Cover";"Summary",#N/A,FALSE,"Summarpage"}</definedName>
    <definedName name="wrd.2._.pagers.3_2">{"Cover",#N/A,FALSE,"Cover";"Summary",#N/A,FALSE,"Summarpage"}</definedName>
    <definedName name="wrn.1.">{#N/A,#N/A,FALSE,"Calc";#N/A,#N/A,FALSE,"Sensitivity";#N/A,#N/A,FALSE,"LT Earn.Dil.";#N/A,#N/A,FALSE,"Dil. AVP"}</definedName>
    <definedName name="wrn.2._.pagers.">{"Cover",#N/A,FALSE,"Cover";"Summary",#N/A,FALSE,"Summarpage"}</definedName>
    <definedName name="wrn.2._.pagers._1">{"Cover",#N/A,FALSE,"Cover";"Summary",#N/A,FALSE,"Summarpage"}</definedName>
    <definedName name="wrn.2._.pagers._1_1">{"Cover",#N/A,FALSE,"Cover";"Summary",#N/A,FALSE,"Summarpage"}</definedName>
    <definedName name="wrn.2._.pagers._2">{"Cover",#N/A,FALSE,"Cover";"Summary",#N/A,FALSE,"Summarpage"}</definedName>
    <definedName name="wrn.2._.pagers.2">{"Cover",#N/A,FALSE,"Cover";"Summary",#N/A,FALSE,"Summarpage"}</definedName>
    <definedName name="wrn.2._.pagers.2_1">{"Cover",#N/A,FALSE,"Cover";"Summary",#N/A,FALSE,"Summarpage"}</definedName>
    <definedName name="wrn.2._.pagers.2_1_1">{"Cover",#N/A,FALSE,"Cover";"Summary",#N/A,FALSE,"Summarpage"}</definedName>
    <definedName name="wrn.2._.pagers.2_2">{"Cover",#N/A,FALSE,"Cover";"Summary",#N/A,FALSE,"Summarpage"}</definedName>
    <definedName name="wrn.2001._.Budget.">{"MFG",#N/A,FALSE,"Man";"SER",#N/A,FALSE,"Service"}</definedName>
    <definedName name="wrn.2001._.Budget._1">{"MFG",#N/A,FALSE,"Man";"SER",#N/A,FALSE,"Service"}</definedName>
    <definedName name="wrn.2001._.Budget._1_1">{"MFG",#N/A,FALSE,"Man";"SER",#N/A,FALSE,"Service"}</definedName>
    <definedName name="wrn.2001._.Budget._2">{"MFG",#N/A,FALSE,"Man";"SER",#N/A,FALSE,"Service"}</definedName>
    <definedName name="wrn.A_VALUATION.">{#N/A,#N/A,FALSE,"A_D";#N/A,#N/A,FALSE,"WACC";#N/A,#N/A,FALSE,"DCF";#N/A,#N/A,FALSE,"A";#N/A,#N/A,FALSE,"LBO";#N/A,#N/A,FALSE,"C";#N/A,#N/A,FALSE,"impd";#N/A,#N/A,FALSE,"comps"}</definedName>
    <definedName name="wrn.A_VALUATION._1">{#N/A,#N/A,FALSE,"A_D";#N/A,#N/A,FALSE,"WACC";#N/A,#N/A,FALSE,"DCF";#N/A,#N/A,FALSE,"A";#N/A,#N/A,FALSE,"LBO";#N/A,#N/A,FALSE,"C";#N/A,#N/A,FALSE,"impd";#N/A,#N/A,FALSE,"comps"}</definedName>
    <definedName name="wrn.A_VALUATION._1_1">{#N/A,#N/A,FALSE,"A_D";#N/A,#N/A,FALSE,"WACC";#N/A,#N/A,FALSE,"DCF";#N/A,#N/A,FALSE,"A";#N/A,#N/A,FALSE,"LBO";#N/A,#N/A,FALSE,"C";#N/A,#N/A,FALSE,"impd";#N/A,#N/A,FALSE,"comps"}</definedName>
    <definedName name="wrn.A_VALUATION._2">{#N/A,#N/A,FALSE,"A_D";#N/A,#N/A,FALSE,"WACC";#N/A,#N/A,FALSE,"DCF";#N/A,#N/A,FALSE,"A";#N/A,#N/A,FALSE,"LBO";#N/A,#N/A,FALSE,"C";#N/A,#N/A,FALSE,"impd";#N/A,#N/A,FALSE,"comps"}</definedName>
    <definedName name="wrn.Accr_Dil.">{#N/A,#N/A,FALSE,"Debt Accr";#N/A,#N/A,FALSE,"Stock Accr";#N/A,#N/A,FALSE,"Debt Stock Accr"}</definedName>
    <definedName name="wrn.Accr_Dil._1">{#N/A,#N/A,FALSE,"Debt Accr";#N/A,#N/A,FALSE,"Stock Accr";#N/A,#N/A,FALSE,"Debt Stock Accr"}</definedName>
    <definedName name="wrn.Accr_Dil._1_1">{#N/A,#N/A,FALSE,"Debt Accr";#N/A,#N/A,FALSE,"Stock Accr";#N/A,#N/A,FALSE,"Debt Stock Accr"}</definedName>
    <definedName name="wrn.Accr_Dil._2">{#N/A,#N/A,FALSE,"Debt Accr";#N/A,#N/A,FALSE,"Stock Accr";#N/A,#N/A,FALSE,"Debt Stock Accr"}</definedName>
    <definedName name="wrn.actual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wrn.actual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wrn.actual_1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wrn.actual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wrn.adj95.">{"adj95mult",#N/A,FALSE,"COMPCO";"adj95est",#N/A,FALSE,"COMPCO"}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ll.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gulp._.sheets.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>{#N/A,#N/A,FALSE,"puboff";#N/A,#N/A,FALSE,"financials";#N/A,#N/A,FALSE,"valuation";#N/A,#N/A,FALSE,"split"}</definedName>
    <definedName name="wrn.ALL._.PAGES._1">{#N/A,#N/A,FALSE,"puboff";#N/A,#N/A,FALSE,"financials";#N/A,#N/A,FALSE,"valuation";#N/A,#N/A,FALSE,"split"}</definedName>
    <definedName name="wrn.ALL._.PAGES._1_1">{#N/A,#N/A,FALSE,"puboff";#N/A,#N/A,FALSE,"financials";#N/A,#N/A,FALSE,"valuation";#N/A,#N/A,FALSE,"split"}</definedName>
    <definedName name="wrn.ALL._.PAGES._2">{#N/A,#N/A,FALSE,"puboff";#N/A,#N/A,FALSE,"financials";#N/A,#N/A,FALSE,"valuation";#N/A,#N/A,FALSE,"split"}</definedName>
    <definedName name="wrn.ALL._.SHEETS.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2">{#N/A,#N/A,FALSE,"DCF";#N/A,#N/A,FALSE,"WACC";#N/A,#N/A,FALSE,"Sales_EBIT";#N/A,#N/A,FALSE,"Capex_Depreciation";#N/A,#N/A,FALSE,"WC";#N/A,#N/A,FALSE,"Interest";#N/A,#N/A,FALSE,"Assumptions"}</definedName>
    <definedName name="wrn.All_Models.">{#N/A,#N/A,FALSE,"Summary";#N/A,#N/A,FALSE,"Projections";#N/A,#N/A,FALSE,"Mkt Mults";#N/A,#N/A,FALSE,"DCF";#N/A,#N/A,FALSE,"Accr Dil";#N/A,#N/A,FALSE,"PIC LBO";#N/A,#N/A,FALSE,"MULT10_4";#N/A,#N/A,FALSE,"CBI LBO"}</definedName>
    <definedName name="wrn.All_Models._1">{#N/A,#N/A,FALSE,"Summary";#N/A,#N/A,FALSE,"Projections";#N/A,#N/A,FALSE,"Mkt Mults";#N/A,#N/A,FALSE,"DCF";#N/A,#N/A,FALSE,"Accr Dil";#N/A,#N/A,FALSE,"PIC LBO";#N/A,#N/A,FALSE,"MULT10_4";#N/A,#N/A,FALSE,"CBI LBO"}</definedName>
    <definedName name="wrn.All_Models._1_1">{#N/A,#N/A,FALSE,"Summary";#N/A,#N/A,FALSE,"Projections";#N/A,#N/A,FALSE,"Mkt Mults";#N/A,#N/A,FALSE,"DCF";#N/A,#N/A,FALSE,"Accr Dil";#N/A,#N/A,FALSE,"PIC LBO";#N/A,#N/A,FALSE,"MULT10_4";#N/A,#N/A,FALSE,"CBI LBO"}</definedName>
    <definedName name="wrn.All_Models._2">{#N/A,#N/A,FALSE,"Summary";#N/A,#N/A,FALSE,"Projections";#N/A,#N/A,FALSE,"Mkt Mults";#N/A,#N/A,FALSE,"DCF";#N/A,#N/A,FALSE,"Accr Dil";#N/A,#N/A,FALSE,"PIC LBO";#N/A,#N/A,FALSE,"MULT10_4";#N/A,#N/A,FALSE,"CBI LBO"}</definedName>
    <definedName name="wrn.All_Sheets.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">{#N/A,#N/A,FALSE,"Projections";#N/A,#N/A,FALSE,"Contribution_Stock";#N/A,#N/A,FALSE,"PF_Combo_Stock";#N/A,#N/A,FALSE,"Projections";#N/A,#N/A,FALSE,"Contribution_Cash";#N/A,#N/A,FALSE,"PF_Combo_Cash";#N/A,#N/A,FALSE,"IPO_Cash"}</definedName>
    <definedName name="wrn.ALL2.">{#N/A,#N/A,FALSE,"DCF";#N/A,#N/A,FALSE,"WACC";#N/A,#N/A,FALSE,"Sales_EBIT";#N/A,#N/A,FALSE,"Capex_Depreciation";#N/A,#N/A,FALSE,"WC";#N/A,#N/A,FALSE,"Interest";#N/A,#N/A,FALSE,"Assumptions"}</definedName>
    <definedName name="wrn.ALLbutPREMIUM.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>{#N/A,#N/A,FALSE,"AD_Purchase";#N/A,#N/A,FALSE,"Credit";#N/A,#N/A,FALSE,"PF Acquisition";#N/A,#N/A,FALSE,"PF Offering"}</definedName>
    <definedName name="wrn.AllModels._1">{#N/A,#N/A,FALSE,"AD_Purchase";#N/A,#N/A,FALSE,"Credit";#N/A,#N/A,FALSE,"PF Acquisition";#N/A,#N/A,FALSE,"PF Offering"}</definedName>
    <definedName name="wrn.AllModels._1_1">{#N/A,#N/A,FALSE,"AD_Purchase";#N/A,#N/A,FALSE,"Credit";#N/A,#N/A,FALSE,"PF Acquisition";#N/A,#N/A,FALSE,"PF Offering"}</definedName>
    <definedName name="wrn.AllModels._2">{#N/A,#N/A,FALSE,"AD_Purchase";#N/A,#N/A,FALSE,"Credit";#N/A,#N/A,FALSE,"PF Acquisition";#N/A,#N/A,FALSE,"PF Offering"}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balance._.sheet.">{"bs",#N/A,FALSE,"SCF"}</definedName>
    <definedName name="wrn.balance._.sheet._1">{"bs",#N/A,FALSE,"SCF"}</definedName>
    <definedName name="wrn.balance._.sheet._1_1">{"bs",#N/A,FALSE,"SCF"}</definedName>
    <definedName name="wrn.balance._.sheet._2">{"bs",#N/A,FALSE,"SCF"}</definedName>
    <definedName name="wrn.BANKPLAN.">{"cebank",#N/A,FALSE,"P9498BAR";"spbank",#N/A,FALSE,"P9498BAR";"renfinbank",#N/A,FALSE,"P9498BAR";"indici",#N/A,FALSE,"P9498BAR"}</definedName>
    <definedName name="wrn.basics.">{#N/A,#N/A,FALSE,"TSUM";#N/A,#N/A,FALSE,"shares";#N/A,#N/A,FALSE,"earnout";#N/A,#N/A,FALSE,"Heaty";#N/A,#N/A,FALSE,"self-tend";#N/A,#N/A,FALSE,"self-sum"}</definedName>
    <definedName name="wrn.basics._1">{#N/A,#N/A,FALSE,"TSUM";#N/A,#N/A,FALSE,"shares";#N/A,#N/A,FALSE,"earnout";#N/A,#N/A,FALSE,"Heaty";#N/A,#N/A,FALSE,"self-tend";#N/A,#N/A,FALSE,"self-sum"}</definedName>
    <definedName name="wrn.basics._1_1">{#N/A,#N/A,FALSE,"TSUM";#N/A,#N/A,FALSE,"shares";#N/A,#N/A,FALSE,"earnout";#N/A,#N/A,FALSE,"Heaty";#N/A,#N/A,FALSE,"self-tend";#N/A,#N/A,FALSE,"self-sum"}</definedName>
    <definedName name="wrn.basics._2">{#N/A,#N/A,FALSE,"TSUM";#N/A,#N/A,FALSE,"shares";#N/A,#N/A,FALSE,"earnout";#N/A,#N/A,FALSE,"Heaty";#N/A,#N/A,FALSE,"self-tend";#N/A,#N/A,FALSE,"self-sum"}</definedName>
    <definedName name="wrn.Budget.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wrn.Budget.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wrn.Budget._1_1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wrn.Budget.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wrn.BUDGET98.">{#N/A,#N/A,FALSE,"CARATULA";#N/A,#N/A,FALSE,"Indice";#N/A,#N/A,FALSE,"Cap 1";#N/A,#N/A,FALSE,"Cap 2";#N/A,#N/A,FALSE,"Cap 3";#N/A,#N/A,FALSE,"Cap 4";#N/A,#N/A,FALSE,"Cap 5";#N/A,#N/A,FALSE,"Cap 6";#N/A,#N/A,FALSE,"Cap 7";#N/A,#N/A,FALSE,"Cap 8";#N/A,#N/A,FALSE,"Cap 9";#N/A,#N/A,FALSE,"Cap 10";#N/A,#N/A,FALSE,"Cap 11";#N/A,#N/A,FALSE,"Cap 12";#N/A,#N/A,FALSE,"Cap 13";#N/A,#N/A,FALSE,"Cap 14";#N/A,#N/A,FALSE,"Cap 15 TBI Gall+Hesp";#N/A,#N/A,FALSE,"Cap 15 TBI Choc";#N/A,#N/A,FALSE,"Cap 15 TBI DLeche";#N/A,#N/A,FALSE,"Cap 16";#N/A,#N/A,FALSE,"Cap 17";#N/A,#N/A,FALSE,"Cap 18";#N/A,#N/A,FALSE,"Cap 19";#N/A,#N/A,FALSE,"Cap 20";#N/A,#N/A,FALSE,"Cap 21";#N/A,#N/A,FALSE,"Cap 22";#N/A,#N/A,FALSE,"Cap 23";#N/A,#N/A,FALSE,"Cap 24"}</definedName>
    <definedName name="wrn.bullshit1.">{#N/A,#N/A,FALSE,"Sheet1";#N/A,#N/A,FALSE,"Summary";#N/A,#N/A,FALSE,"proj1";#N/A,#N/A,FALSE,"proj2"}</definedName>
    <definedName name="wrn.bullshit1._1">{#N/A,#N/A,FALSE,"Sheet1";#N/A,#N/A,FALSE,"Summary";#N/A,#N/A,FALSE,"proj1";#N/A,#N/A,FALSE,"proj2"}</definedName>
    <definedName name="wrn.bullshit1._1_1">{#N/A,#N/A,FALSE,"Sheet1";#N/A,#N/A,FALSE,"Summary";#N/A,#N/A,FALSE,"proj1";#N/A,#N/A,FALSE,"proj2"}</definedName>
    <definedName name="wrn.bullshit1._2">{#N/A,#N/A,FALSE,"Sheet1";#N/A,#N/A,FALSE,"Summary";#N/A,#N/A,FALSE,"proj1";#N/A,#N/A,FALSE,"proj2"}</definedName>
    <definedName name="wrn.COMMENTAIRES.">{#N/A,#N/A,FALSE,"SYNTHESE-c";#N/A,#N/A,FALSE,"PUB-c";#N/A,#N/A,FALSE,"OP CONSO-c";#N/A,#N/A,FALSE,"REFERENCTS-c";#N/A,#N/A,FALSE,"ETUDES MKG-c";#N/A,#N/A,FALSE,"PACKAGING-c";#N/A,#N/A,FALSE,"DIR COM-c";#N/A,#N/A,FALSE,"MEDIA-c"}</definedName>
    <definedName name="wrn.COMPCO.">{"Page1",#N/A,FALSE,"CompCo";"Page2",#N/A,FALSE,"CompCo"}</definedName>
    <definedName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>{#N/A,#N/A,FALSE,"Comp"}</definedName>
    <definedName name="wrn.comps._1">{#N/A,#N/A,FALSE,"Comp"}</definedName>
    <definedName name="wrn.comps._1_1">{#N/A,#N/A,FALSE,"Comp"}</definedName>
    <definedName name="wrn.comps._2">{#N/A,#N/A,FALSE,"Comp"}</definedName>
    <definedName name="wrn.Continous._.Page._.Numbers._.DCF.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wboy.">{"assumptions",#N/A,FALSE,"Assumption Summary";"proforma97",#N/A,FALSE,"97 pro forma";"sensitivity97",#N/A,FALSE,"97 sensitivity ";"proforma98",#N/A,FALSE,"98 pro forma";"sensitivity98",#N/A,FALSE,"98 sensitivity"}</definedName>
    <definedName name="wrn.cowboy._1">{"assumptions",#N/A,FALSE,"Assumption Summary";"proforma97",#N/A,FALSE,"97 pro forma";"sensitivity97",#N/A,FALSE,"97 sensitivity ";"proforma98",#N/A,FALSE,"98 pro forma";"sensitivity98",#N/A,FALSE,"98 sensitivity"}</definedName>
    <definedName name="wrn.cowboy._1_1">{"assumptions",#N/A,FALSE,"Assumption Summary";"proforma97",#N/A,FALSE,"97 pro forma";"sensitivity97",#N/A,FALSE,"97 sensitivity ";"proforma98",#N/A,FALSE,"98 pro forma";"sensitivity98",#N/A,FALSE,"98 sensitivity"}</definedName>
    <definedName name="wrn.cowboy._2">{"assumptions",#N/A,FALSE,"Assumption Summary";"proforma97",#N/A,FALSE,"97 pro forma";"sensitivity97",#N/A,FALSE,"97 sensitivity ";"proforma98",#N/A,FALSE,"98 pro forma";"sensitivity98",#N/A,FALSE,"98 sensitivity"}</definedName>
    <definedName name="wrn.Curva._.de._.Arranque._.BA._.99.">{#N/A,#N/A,FALSE,"RESUMEN BA";#N/A,#N/A,FALSE,"TL RELL PAQ";#N/A,#N/A,FALSE,"TL RELL AGRUP";#N/A,#N/A,FALSE,"TL DS PAQ";#N/A,#N/A,FALSE,"TL DS AGRUP"}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._1">{"mgmt forecast",#N/A,FALSE,"Mgmt Forecast";"dcf table",#N/A,FALSE,"Mgmt Forecast";"sensitivity",#N/A,FALSE,"Mgmt Forecast";"table inputs",#N/A,FALSE,"Mgmt Forecast";"calculations",#N/A,FALSE,"Mgmt Forecast"}</definedName>
    <definedName name="wrn.dcf._1_1">{"mgmt forecast",#N/A,FALSE,"Mgmt Forecast";"dcf table",#N/A,FALSE,"Mgmt Forecast";"sensitivity",#N/A,FALSE,"Mgmt Forecast";"table inputs",#N/A,FALSE,"Mgmt Forecast";"calculations",#N/A,FALSE,"Mgmt Forecast"}</definedName>
    <definedName name="wrn.dcf._2">{"mgmt forecast",#N/A,FALSE,"Mgmt Forecast";"dcf table",#N/A,FALSE,"Mgmt Forecast";"sensitivity",#N/A,FALSE,"Mgmt Forecast";"table inputs",#N/A,FALSE,"Mgmt Forecast";"calculations",#N/A,FALSE,"Mgmt Forecast"}</definedName>
    <definedName name="wrn.dcf2.">{"mgmt forecast",#N/A,FALSE,"Mgmt Forecast";"dcf table",#N/A,FALSE,"Mgmt Forecast";"sensitivity",#N/A,FALSE,"Mgmt Forecast";"table inputs",#N/A,FALSE,"Mgmt Forecast";"calculations",#N/A,FALSE,"Mgmt Forecast"}</definedName>
    <definedName name="wrn.dcf2._1">{"mgmt forecast",#N/A,FALSE,"Mgmt Forecast";"dcf table",#N/A,FALSE,"Mgmt Forecast";"sensitivity",#N/A,FALSE,"Mgmt Forecast";"table inputs",#N/A,FALSE,"Mgmt Forecast";"calculations",#N/A,FALSE,"Mgmt Forecast"}</definedName>
    <definedName name="wrn.dcf2._1_1">{"mgmt forecast",#N/A,FALSE,"Mgmt Forecast";"dcf table",#N/A,FALSE,"Mgmt Forecast";"sensitivity",#N/A,FALSE,"Mgmt Forecast";"table inputs",#N/A,FALSE,"Mgmt Forecast";"calculations",#N/A,FALSE,"Mgmt Forecast"}</definedName>
    <definedName name="wrn.dcf2._2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tail.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vdeal.">{"top",#N/A,TRUE,"Detail";"next",#N/A,TRUE,"Detail";"then",#N/A,TRUE,"Detail";"and",#N/A,TRUE,"Detail";"inaddition",#N/A,TRUE,"Detail";"finally",#N/A,TRUE,"Detail"}</definedName>
    <definedName name="wrn.devdeal._1">{"top",#N/A,TRUE,"Detail";"next",#N/A,TRUE,"Detail";"then",#N/A,TRUE,"Detail";"and",#N/A,TRUE,"Detail";"inaddition",#N/A,TRUE,"Detail";"finally",#N/A,TRUE,"Detail"}</definedName>
    <definedName name="wrn.devdeal._1_1">{"top",#N/A,TRUE,"Detail";"next",#N/A,TRUE,"Detail";"then",#N/A,TRUE,"Detail";"and",#N/A,TRUE,"Detail";"inaddition",#N/A,TRUE,"Detail";"finally",#N/A,TRUE,"Detail"}</definedName>
    <definedName name="wrn.devdeal._2">{"top",#N/A,TRUE,"Detail";"next",#N/A,TRUE,"Detail";"then",#N/A,TRUE,"Detail";"and",#N/A,TRUE,"Detail";"inaddition",#N/A,TRUE,"Detail";"finally",#N/A,TRUE,"Detail"}</definedName>
    <definedName name="wrn.document.">{"consolidated",#N/A,FALSE,"Sheet1";"cms",#N/A,FALSE,"Sheet1";"fse",#N/A,FALSE,"Sheet1"}</definedName>
    <definedName name="wrn.Economic._.Value._.Added._.Analysis.">{"EVA",#N/A,FALSE,"EVA";"WACC",#N/A,FALSE,"WACC"}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ilter.">{#N/A,#N/A,FALSE,"Assump2";#N/A,#N/A,FALSE,"Income2";#N/A,#N/A,FALSE,"Balance2";#N/A,#N/A,FALSE,"DCF Filter";#N/A,#N/A,FALSE,"Trans Assump2";#N/A,#N/A,FALSE,"Combined Income2";#N/A,#N/A,FALSE,"Combined Balance2"}</definedName>
    <definedName name="wrn.Filter._1">{#N/A,#N/A,FALSE,"Assump2";#N/A,#N/A,FALSE,"Income2";#N/A,#N/A,FALSE,"Balance2";#N/A,#N/A,FALSE,"DCF Filter";#N/A,#N/A,FALSE,"Trans Assump2";#N/A,#N/A,FALSE,"Combined Income2";#N/A,#N/A,FALSE,"Combined Balance2"}</definedName>
    <definedName name="wrn.Filter._1_1">{#N/A,#N/A,FALSE,"Assump2";#N/A,#N/A,FALSE,"Income2";#N/A,#N/A,FALSE,"Balance2";#N/A,#N/A,FALSE,"DCF Filter";#N/A,#N/A,FALSE,"Trans Assump2";#N/A,#N/A,FALSE,"Combined Income2";#N/A,#N/A,FALSE,"Combined Balance2"}</definedName>
    <definedName name="wrn.Filter._2">{#N/A,#N/A,FALSE,"Assump2";#N/A,#N/A,FALSE,"Income2";#N/A,#N/A,FALSE,"Balance2";#N/A,#N/A,FALSE,"DCF Filter";#N/A,#N/A,FALSE,"Trans Assump2";#N/A,#N/A,FALSE,"Combined Income2";#N/A,#N/A,FALSE,"Combined Balance2"}</definedName>
    <definedName name="wrn.finmodel.">{#N/A,#N/A,FALSE,"Fin Model"}</definedName>
    <definedName name="wrn.finmodel._1">{#N/A,#N/A,FALSE,"Fin Model"}</definedName>
    <definedName name="wrn.finmodel._1_1">{#N/A,#N/A,FALSE,"Fin Model"}</definedName>
    <definedName name="wrn.finmodel._2">{#N/A,#N/A,FALSE,"Fin Model"}</definedName>
    <definedName name="wrn.first2.">{#N/A,#N/A,FALSE,"sum-don";#N/A,#N/A,FALSE,"inc-don"}</definedName>
    <definedName name="wrn.first2._1">{#N/A,#N/A,FALSE,"sum-don";#N/A,#N/A,FALSE,"inc-don"}</definedName>
    <definedName name="wrn.first2._1_1">{#N/A,#N/A,FALSE,"sum-don";#N/A,#N/A,FALSE,"inc-don"}</definedName>
    <definedName name="wrn.first2._2">{#N/A,#N/A,FALSE,"sum-don";#N/A,#N/A,FALSE,"inc-don"}</definedName>
    <definedName name="wrn.first3.">{#N/A,#N/A,FALSE,"Summary";#N/A,#N/A,FALSE,"proj1";#N/A,#N/A,FALSE,"proj2"}</definedName>
    <definedName name="wrn.first3._1">{#N/A,#N/A,FALSE,"Summary";#N/A,#N/A,FALSE,"proj1";#N/A,#N/A,FALSE,"proj2"}</definedName>
    <definedName name="wrn.first3._1_1">{#N/A,#N/A,FALSE,"Summary";#N/A,#N/A,FALSE,"proj1";#N/A,#N/A,FALSE,"proj2"}</definedName>
    <definedName name="wrn.first3._2">{#N/A,#N/A,FALSE,"Summary";#N/A,#N/A,FALSE,"proj1";#N/A,#N/A,FALSE,"proj2"}</definedName>
    <definedName name="wrn.first4.">{#N/A,#N/A,FALSE,"Summary";#N/A,#N/A,FALSE,"proj1";#N/A,#N/A,FALSE,"proj2";#N/A,#N/A,FALSE,"DCF"}</definedName>
    <definedName name="wrn.first4._1">{#N/A,#N/A,FALSE,"Summary";#N/A,#N/A,FALSE,"proj1";#N/A,#N/A,FALSE,"proj2";#N/A,#N/A,FALSE,"DCF"}</definedName>
    <definedName name="wrn.first4._1_1">{#N/A,#N/A,FALSE,"Summary";#N/A,#N/A,FALSE,"proj1";#N/A,#N/A,FALSE,"proj2";#N/A,#N/A,FALSE,"DCF"}</definedName>
    <definedName name="wrn.first4._2">{#N/A,#N/A,FALSE,"Summary";#N/A,#N/A,FALSE,"proj1";#N/A,#N/A,FALSE,"proj2";#N/A,#N/A,FALSE,"DCF"}</definedName>
    <definedName name="wrn.Full._.Print._.Out.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>{#N/A,#N/A,TRUE,"Income Statement";#N/A,#N/A,TRUE,"Gas Assumptions";#N/A,#N/A,TRUE,"DCF";#N/A,#N/A,TRUE,"Depreciation Matrix";#N/A,#N/A,TRUE,"Matrix";#N/A,#N/A,TRUE,"Matrix_Perpetuity"}</definedName>
    <definedName name="wrn.FY96sbp99">{#N/A,#N/A,FALSE,"FY97";#N/A,#N/A,FALSE,"FY98";#N/A,#N/A,FALSE,"FY99";#N/A,#N/A,FALSE,"FY00";#N/A,#N/A,FALSE,"FY01"}</definedName>
    <definedName name="wrn.FY97SBP.">{#N/A,#N/A,FALSE,"FY97";#N/A,#N/A,FALSE,"FY98";#N/A,#N/A,FALSE,"FY99";#N/A,#N/A,FALSE,"FY00";#N/A,#N/A,FALSE,"FY01"}</definedName>
    <definedName name="wrn.FY97SBP2">{#N/A,#N/A,FALSE,"FY97";#N/A,#N/A,FALSE,"FY98";#N/A,#N/A,FALSE,"FY99";#N/A,#N/A,FALSE,"FY00";#N/A,#N/A,FALSE,"FY01"}</definedName>
    <definedName name="wrn.HEAT.">{#N/A,#N/A,FALSE,"Heat";#N/A,#N/A,FALSE,"DCF";#N/A,#N/A,FALSE,"LBO";#N/A,#N/A,FALSE,"A";#N/A,#N/A,FALSE,"C";#N/A,#N/A,FALSE,"impd";#N/A,#N/A,FALSE,"Accr-Dilu"}</definedName>
    <definedName name="wrn.HEAT._1">{#N/A,#N/A,FALSE,"Heat";#N/A,#N/A,FALSE,"DCF";#N/A,#N/A,FALSE,"LBO";#N/A,#N/A,FALSE,"A";#N/A,#N/A,FALSE,"C";#N/A,#N/A,FALSE,"impd";#N/A,#N/A,FALSE,"Accr-Dilu"}</definedName>
    <definedName name="wrn.HEAT._1_1">{#N/A,#N/A,FALSE,"Heat";#N/A,#N/A,FALSE,"DCF";#N/A,#N/A,FALSE,"LBO";#N/A,#N/A,FALSE,"A";#N/A,#N/A,FALSE,"C";#N/A,#N/A,FALSE,"impd";#N/A,#N/A,FALSE,"Accr-Dilu"}</definedName>
    <definedName name="wrn.HEAT._2">{#N/A,#N/A,FALSE,"Heat";#N/A,#N/A,FALSE,"DCF";#N/A,#N/A,FALSE,"LBO";#N/A,#N/A,FALSE,"A";#N/A,#N/A,FALSE,"C";#N/A,#N/A,FALSE,"impd";#N/A,#N/A,FALSE,"Accr-Dilu"}</definedName>
    <definedName name="wrn.Hydraulic.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statement.">{"income statement",#N/A,FALSE,"ATLAS-A"}</definedName>
    <definedName name="wrn.ipovalue.">{#N/A,#N/A,FALSE,"puboff";#N/A,#N/A,FALSE,"valuation";#N/A,#N/A,FALSE,"finanalsis";#N/A,#N/A,FALSE,"split";#N/A,#N/A,FALSE,"ownership"}</definedName>
    <definedName name="wrn.ipovalue._1">{#N/A,#N/A,FALSE,"puboff";#N/A,#N/A,FALSE,"valuation";#N/A,#N/A,FALSE,"finanalsis";#N/A,#N/A,FALSE,"split";#N/A,#N/A,FALSE,"ownership"}</definedName>
    <definedName name="wrn.ipovalue._1_1">{#N/A,#N/A,FALSE,"puboff";#N/A,#N/A,FALSE,"valuation";#N/A,#N/A,FALSE,"finanalsis";#N/A,#N/A,FALSE,"split";#N/A,#N/A,FALSE,"ownership"}</definedName>
    <definedName name="wrn.ipovalue._2">{#N/A,#N/A,FALSE,"puboff";#N/A,#N/A,FALSE,"valuation";#N/A,#N/A,FALSE,"finanalsis";#N/A,#N/A,FALSE,"split";#N/A,#N/A,FALSE,"ownership"}</definedName>
    <definedName name="wrn.ireland">{"Pound Sterling",#N/A,TRUE,"PPD";"Pound Sterling",#N/A,TRUE,"Anaquest";"Pound Sterling",#N/A,TRUE,"Delta";"Pound Sterling",#N/A,TRUE,"INO"}</definedName>
    <definedName name="wrn.ireland_1">{"Pound Sterling",#N/A,TRUE,"PPD";"Pound Sterling",#N/A,TRUE,"Anaquest";"Pound Sterling",#N/A,TRUE,"Delta";"Pound Sterling",#N/A,TRUE,"INO"}</definedName>
    <definedName name="wrn.ireland_1_1">{"Pound Sterling",#N/A,TRUE,"PPD";"Pound Sterling",#N/A,TRUE,"Anaquest";"Pound Sterling",#N/A,TRUE,"Delta";"Pound Sterling",#N/A,TRUE,"INO"}</definedName>
    <definedName name="wrn.ireland_2">{"Pound Sterling",#N/A,TRUE,"PPD";"Pound Sterling",#N/A,TRUE,"Anaquest";"Pound Sterling",#N/A,TRUE,"Delta";"Pound Sterling",#N/A,TRUE,"INO"}</definedName>
    <definedName name="wrn.ISCG._.model.">{#N/A,#N/A,FALSE,"Second";#N/A,#N/A,FALSE,"ownership";#N/A,#N/A,FALSE,"Valuation";#N/A,#N/A,FALSE,"Eqiv";#N/A,#N/A,FALSE,"Mults";#N/A,#N/A,FALSE,"ISCG Graphics"}</definedName>
    <definedName name="wrn.ISCG._.model._1">{#N/A,#N/A,FALSE,"Second";#N/A,#N/A,FALSE,"ownership";#N/A,#N/A,FALSE,"Valuation";#N/A,#N/A,FALSE,"Eqiv";#N/A,#N/A,FALSE,"Mults";#N/A,#N/A,FALSE,"ISCG Graphics"}</definedName>
    <definedName name="wrn.ISCG._.model._1_1">{#N/A,#N/A,FALSE,"Second";#N/A,#N/A,FALSE,"ownership";#N/A,#N/A,FALSE,"Valuation";#N/A,#N/A,FALSE,"Eqiv";#N/A,#N/A,FALSE,"Mults";#N/A,#N/A,FALSE,"ISCG Graphics"}</definedName>
    <definedName name="wrn.ISCG._.model._2">{#N/A,#N/A,FALSE,"Second";#N/A,#N/A,FALSE,"ownership";#N/A,#N/A,FALSE,"Valuation";#N/A,#N/A,FALSE,"Eqiv";#N/A,#N/A,FALSE,"Mults";#N/A,#N/A,FALSE,"ISCG Graphics"}</definedName>
    <definedName name="wrn.LBO._.Model._.Output.">{#N/A,#N/A,FALSE,"Cover";#N/A,#N/A,FALSE,"Summary";#N/A,#N/A,FALSE,"IS";#N/A,#N/A,FALSE,"CF";#N/A,#N/A,FALSE,"BS";#N/A,#N/A,FALSE,"Detail";#N/A,#N/A,FALSE,"IRR"}</definedName>
    <definedName name="wrn.LBO._.Model._.Output._1">{#N/A,#N/A,FALSE,"Cover";#N/A,#N/A,FALSE,"Summary";#N/A,#N/A,FALSE,"IS";#N/A,#N/A,FALSE,"CF";#N/A,#N/A,FALSE,"BS";#N/A,#N/A,FALSE,"Detail";#N/A,#N/A,FALSE,"IRR"}</definedName>
    <definedName name="wrn.LBO._.Model._.Output._1_1">{#N/A,#N/A,FALSE,"Cover";#N/A,#N/A,FALSE,"Summary";#N/A,#N/A,FALSE,"IS";#N/A,#N/A,FALSE,"CF";#N/A,#N/A,FALSE,"BS";#N/A,#N/A,FALSE,"Detail";#N/A,#N/A,FALSE,"IRR"}</definedName>
    <definedName name="wrn.LBO._.Model._.Output._2">{#N/A,#N/A,FALSE,"Cover";#N/A,#N/A,FALSE,"Summary";#N/A,#N/A,FALSE,"IS";#N/A,#N/A,FALSE,"CF";#N/A,#N/A,FALSE,"BS";#N/A,#N/A,FALSE,"Detail";#N/A,#N/A,FALSE,"IRR"}</definedName>
    <definedName name="wrn.Maine.">{"Assumptions",#N/A,TRUE,"Assumptions";"Income",#N/A,TRUE,"Income";"Balance",#N/A,TRUE,"Balance"}</definedName>
    <definedName name="wrn.Maine._1">{"Assumptions",#N/A,TRUE,"Assumptions";"Income",#N/A,TRUE,"Income";"Balance",#N/A,TRUE,"Balance"}</definedName>
    <definedName name="wrn.Maine._1_1">{"Assumptions",#N/A,TRUE,"Assumptions";"Income",#N/A,TRUE,"Income";"Balance",#N/A,TRUE,"Balance"}</definedName>
    <definedName name="wrn.Maine._2">{"Assumptions",#N/A,TRUE,"Assumptions";"Income",#N/A,TRUE,"Income";"Balance",#N/A,TRUE,"Balance"}</definedName>
    <definedName name="wrn.Maine2.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>{#N/A,#N/A,FALSE,"IPO";#N/A,#N/A,FALSE,"DCF";#N/A,#N/A,FALSE,"LBO";#N/A,#N/A,FALSE,"MULT_VAL";#N/A,#N/A,FALSE,"Status Quo";#N/A,#N/A,FALSE,"Recap"}</definedName>
    <definedName name="wrn.merge._1">{#N/A,#N/A,FALSE,"IPO";#N/A,#N/A,FALSE,"DCF";#N/A,#N/A,FALSE,"LBO";#N/A,#N/A,FALSE,"MULT_VAL";#N/A,#N/A,FALSE,"Status Quo";#N/A,#N/A,FALSE,"Recap"}</definedName>
    <definedName name="wrn.merge._1_1">{#N/A,#N/A,FALSE,"IPO";#N/A,#N/A,FALSE,"DCF";#N/A,#N/A,FALSE,"LBO";#N/A,#N/A,FALSE,"MULT_VAL";#N/A,#N/A,FALSE,"Status Quo";#N/A,#N/A,FALSE,"Recap"}</definedName>
    <definedName name="wrn.merge._2">{#N/A,#N/A,FALSE,"IPO";#N/A,#N/A,FALSE,"DCF";#N/A,#N/A,FALSE,"LBO";#N/A,#N/A,FALSE,"MULT_VAL";#N/A,#N/A,FALSE,"Status Quo";#N/A,#N/A,FALSE,"Recap"}</definedName>
    <definedName name="wrn.MODEL.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1_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2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_.Report.">{#N/A,#N/A,TRUE,"Sales Comparison";#N/A,#N/A,TRUE,"Cum. Summary FFR";#N/A,#N/A,TRUE,"Monthly Summary FFR";#N/A,#N/A,TRUE,"Cum. Summary TL";#N/A,#N/A,TRUE,"Monthly Summary TL"}</definedName>
    <definedName name="wrn.newest.">{#N/A,#N/A,TRUE,"TS";#N/A,#N/A,TRUE,"Combo";#N/A,#N/A,TRUE,"FAIR";#N/A,#N/A,TRUE,"RBC";#N/A,#N/A,TRUE,"xxxx"}</definedName>
    <definedName name="wrn.newest._1">{#N/A,#N/A,TRUE,"TS";#N/A,#N/A,TRUE,"Combo";#N/A,#N/A,TRUE,"FAIR";#N/A,#N/A,TRUE,"RBC";#N/A,#N/A,TRUE,"xxxx"}</definedName>
    <definedName name="wrn.newest._1_1">{#N/A,#N/A,TRUE,"TS";#N/A,#N/A,TRUE,"Combo";#N/A,#N/A,TRUE,"FAIR";#N/A,#N/A,TRUE,"RBC";#N/A,#N/A,TRUE,"xxxx"}</definedName>
    <definedName name="wrn.newest._2">{#N/A,#N/A,TRUE,"TS";#N/A,#N/A,TRUE,"Combo";#N/A,#N/A,TRUE,"FAIR";#N/A,#N/A,TRUE,"RBC";#N/A,#N/A,TRUE,"xxxx"}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acker._.1.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lan_print.">{"A1_plan_print",#N/A,FALSE,"Atelier1";"A2_plan_print",#N/A,FALSE,"Atelier2";"A3_plan_print",#N/A,FALSE,"Atelier3";"A4_plan_print",#N/A,FALSE,"Atelier4";"Bs_plan_print",#N/A,FALSE,"Bolshevik"}</definedName>
    <definedName name="wrn.PLLAS._.CORREA.">{#N/A,#N/A,FALSE,"Hoja1";#N/A,#N/A,FALSE,"Hoja2";#N/A,#N/A,FALSE,"Hoja3";#N/A,#N/A,FALSE,"Hoja4";#N/A,#N/A,FALSE,"Hoja5";#N/A,#N/A,FALSE,"Hoja6";#N/A,#N/A,FALSE,"Hoja7"}</definedName>
    <definedName name="wrn.Pound._.Sterling.">{"Pound Sterling",#N/A,TRUE,"PPD";"Pound Sterling",#N/A,TRUE,"Anaquest";"Pound Sterling",#N/A,TRUE,"Delta";"Pound Sterling",#N/A,TRUE,"INO"}</definedName>
    <definedName name="wrn.Pound._.Sterling._1">{"Pound Sterling",#N/A,TRUE,"PPD";"Pound Sterling",#N/A,TRUE,"Anaquest";"Pound Sterling",#N/A,TRUE,"Delta";"Pound Sterling",#N/A,TRUE,"INO"}</definedName>
    <definedName name="wrn.Pound._.Sterling._1_1">{"Pound Sterling",#N/A,TRUE,"PPD";"Pound Sterling",#N/A,TRUE,"Anaquest";"Pound Sterling",#N/A,TRUE,"Delta";"Pound Sterling",#N/A,TRUE,"INO"}</definedName>
    <definedName name="wrn.Pound._.Sterling._2">{"Pound Sterling",#N/A,TRUE,"PPD";"Pound Sterling",#N/A,TRUE,"Anaquest";"Pound Sterling",#N/A,TRUE,"Delta";"Pound Sterling",#N/A,TRUE,"INO"}</definedName>
    <definedName name="wrn.print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.4.">{"Outflow 1",#N/A,FALSE,"Outflows-Inflows";"Outflow 2",#N/A,FALSE,"Outflows-Inflows";"Inflow 1",#N/A,FALSE,"Outflows-Inflows";"Inflow 2",#N/A,FALSE,"Outflows-Inflows"}</definedName>
    <definedName name="wrn.Print._.4._1">{"Outflow 1",#N/A,FALSE,"Outflows-Inflows";"Outflow 2",#N/A,FALSE,"Outflows-Inflows";"Inflow 1",#N/A,FALSE,"Outflows-Inflows";"Inflow 2",#N/A,FALSE,"Outflows-Inflows"}</definedName>
    <definedName name="wrn.Print._.4._1_1">{"Outflow 1",#N/A,FALSE,"Outflows-Inflows";"Outflow 2",#N/A,FALSE,"Outflows-Inflows";"Inflow 1",#N/A,FALSE,"Outflows-Inflows";"Inflow 2",#N/A,FALSE,"Outflows-Inflows"}</definedName>
    <definedName name="wrn.Print._.4._2">{"Outflow 1",#N/A,FALSE,"Outflows-Inflows";"Outflow 2",#N/A,FALSE,"Outflows-Inflows";"Inflow 1",#N/A,FALSE,"Outflows-Inflows";"Inflow 2",#N/A,FALSE,"Outflows-Inflows"}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6._1">{"print 1.6",#N/A,FALSE,"Sheet1";"print 2.6",#N/A,FALSE,"Sheet1";"print 3.6",#N/A,FALSE,"Sheet1";"print 4.6",#N/A,FALSE,"Sheet1";"print 5.6",#N/A,FALSE,"Sheet1";"print 6.6",#N/A,FALSE,"Sheet1"}</definedName>
    <definedName name="wrn.Print._.6._1_1">{"print 1.6",#N/A,FALSE,"Sheet1";"print 2.6",#N/A,FALSE,"Sheet1";"print 3.6",#N/A,FALSE,"Sheet1";"print 4.6",#N/A,FALSE,"Sheet1";"print 5.6",#N/A,FALSE,"Sheet1";"print 6.6",#N/A,FALSE,"Sheet1"}</definedName>
    <definedName name="wrn.Print._.6._2">{"print 1.6",#N/A,FALSE,"Sheet1";"print 2.6",#N/A,FALSE,"Sheet1";"print 3.6",#N/A,FALSE,"Sheet1";"print 4.6",#N/A,FALSE,"Sheet1";"print 5.6",#N/A,FALSE,"Sheet1";"print 6.6",#N/A,FALSE,"Sheet1"}</definedName>
    <definedName name="wrn.print._.graphs.">{"cap_structure",#N/A,FALSE,"Graph-Mkt Cap";"price",#N/A,FALSE,"Graph-Price";"ebit",#N/A,FALSE,"Graph-EBITDA";"ebitda",#N/A,FALSE,"Graph-EBITDA"}</definedName>
    <definedName name="wrn.print._.graphs._1">{"cap_structure",#N/A,FALSE,"Graph-Mkt Cap";"price",#N/A,FALSE,"Graph-Price";"ebit",#N/A,FALSE,"Graph-EBITDA";"ebitda",#N/A,FALSE,"Graph-EBITDA"}</definedName>
    <definedName name="wrn.print._.graphs._1_1">{"cap_structure",#N/A,FALSE,"Graph-Mkt Cap";"price",#N/A,FALSE,"Graph-Price";"ebit",#N/A,FALSE,"Graph-EBITDA";"ebitda",#N/A,FALSE,"Graph-EBITDA"}</definedName>
    <definedName name="wrn.print._.graphs._2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raw._.data._.entry._1">{"inputs raw data",#N/A,TRUE,"INPUT"}</definedName>
    <definedName name="wrn.print._.raw._.data._.entry._1_1">{"inputs raw data",#N/A,TRUE,"INPUT"}</definedName>
    <definedName name="wrn.print._.raw._.data._.entry._2">{"inputs raw data",#N/A,TRUE,"INPUT"}</definedName>
    <definedName name="wrn.print._.summary._.sheets.">{"summary1",#N/A,TRUE,"Comps";"summary2",#N/A,TRUE,"Comps";"summary3",#N/A,TRUE,"Comps"}</definedName>
    <definedName name="wrn.print._.summary._.sheets._1">{"summary1",#N/A,TRUE,"Comps";"summary2",#N/A,TRUE,"Comps";"summary3",#N/A,TRUE,"Comps"}</definedName>
    <definedName name="wrn.print._.summary._.sheets._1_1">{"summary1",#N/A,TRUE,"Comps";"summary2",#N/A,TRUE,"Comps";"summary3",#N/A,TRUE,"Comps"}</definedName>
    <definedName name="wrn.print._.summary._.sheets._2">{"summary1",#N/A,TRUE,"Comps";"summary2",#N/A,TRUE,"Comps";"summary3",#N/A,TRUE,"Comps"}</definedName>
    <definedName name="wrn.PRINTREP.">{"PRINTREP",#N/A,FALSE,"Sheet1"}</definedName>
    <definedName name="wrn.Pulp.">{"Pulp Production",#N/A,FALSE,"Pulp";"Pulp Earnings",#N/A,FALSE,"Pulp"}</definedName>
    <definedName name="wrn.Pulp._1">{"Pulp Production",#N/A,FALSE,"Pulp";"Pulp Earnings",#N/A,FALSE,"Pulp"}</definedName>
    <definedName name="wrn.Pulp._1_1">{"Pulp Production",#N/A,FALSE,"Pulp";"Pulp Earnings",#N/A,FALSE,"Pulp"}</definedName>
    <definedName name="wrn.Pulp._2">{"Pulp Production",#N/A,FALSE,"Pulp";"Pulp Earnings",#N/A,FALSE,"Pulp"}</definedName>
    <definedName name="wrn.Pulp.2">{"Pulp Production",#N/A,FALSE,"Pulp";"Pulp Earnings",#N/A,FALSE,"Pulp"}</definedName>
    <definedName name="wrn.Pulp.2_1">{"Pulp Production",#N/A,FALSE,"Pulp";"Pulp Earnings",#N/A,FALSE,"Pulp"}</definedName>
    <definedName name="wrn.Pulp.2_1_1">{"Pulp Production",#N/A,FALSE,"Pulp";"Pulp Earnings",#N/A,FALSE,"Pulp"}</definedName>
    <definedName name="wrn.Pulp.2_2">{"Pulp Production",#N/A,FALSE,"Pulp";"Pulp Earnings",#N/A,FALSE,"Pulp"}</definedName>
    <definedName name="wrn.Pulp.3">{"Pulp Production",#N/A,FALSE,"Pulp";"Pulp Earnings",#N/A,FALSE,"Pulp"}</definedName>
    <definedName name="wrn.Pulp.3_1">{"Pulp Production",#N/A,FALSE,"Pulp";"Pulp Earnings",#N/A,FALSE,"Pulp"}</definedName>
    <definedName name="wrn.Pulp.3_1_1">{"Pulp Production",#N/A,FALSE,"Pulp";"Pulp Earnings",#N/A,FALSE,"Pulp"}</definedName>
    <definedName name="wrn.Pulp.3_2">{"Pulp Production",#N/A,FALSE,"Pulp";"Pulp Earnings",#N/A,FALSE,"Pulp"}</definedName>
    <definedName name="wrn.Pump.">{#N/A,#N/A,FALSE,"Assump";#N/A,#N/A,FALSE,"Income";#N/A,#N/A,FALSE,"Balance";#N/A,#N/A,FALSE,"DCF Pump";#N/A,#N/A,FALSE,"Trans Assump";#N/A,#N/A,FALSE,"Combined Income";#N/A,#N/A,FALSE,"Combined Balance"}</definedName>
    <definedName name="wrn.Pump._1">{#N/A,#N/A,FALSE,"Assump";#N/A,#N/A,FALSE,"Income";#N/A,#N/A,FALSE,"Balance";#N/A,#N/A,FALSE,"DCF Pump";#N/A,#N/A,FALSE,"Trans Assump";#N/A,#N/A,FALSE,"Combined Income";#N/A,#N/A,FALSE,"Combined Balance"}</definedName>
    <definedName name="wrn.Pump._1_1">{#N/A,#N/A,FALSE,"Assump";#N/A,#N/A,FALSE,"Income";#N/A,#N/A,FALSE,"Balance";#N/A,#N/A,FALSE,"DCF Pump";#N/A,#N/A,FALSE,"Trans Assump";#N/A,#N/A,FALSE,"Combined Income";#N/A,#N/A,FALSE,"Combined Balance"}</definedName>
    <definedName name="wrn.Pump._2">{#N/A,#N/A,FALSE,"Assump";#N/A,#N/A,FALSE,"Income";#N/A,#N/A,FALSE,"Balance";#N/A,#N/A,FALSE,"DCF Pump";#N/A,#N/A,FALSE,"Trans Assump";#N/A,#N/A,FALSE,"Combined Income";#N/A,#N/A,FALSE,"Combined Balance"}</definedName>
    <definedName name="wrn.RELEVANTSHEETS.">{#N/A,#N/A,FALSE,"AD_Purch";#N/A,#N/A,FALSE,"Projections";#N/A,#N/A,FALSE,"DCF";#N/A,#N/A,FALSE,"Mkt Val"}</definedName>
    <definedName name="wrn.RELEVANTSHEETS._1">{#N/A,#N/A,FALSE,"AD_Purch";#N/A,#N/A,FALSE,"Projections";#N/A,#N/A,FALSE,"DCF";#N/A,#N/A,FALSE,"Mkt Val"}</definedName>
    <definedName name="wrn.RELEVANTSHEETS._1_1">{#N/A,#N/A,FALSE,"AD_Purch";#N/A,#N/A,FALSE,"Projections";#N/A,#N/A,FALSE,"DCF";#N/A,#N/A,FALSE,"Mkt Val"}</definedName>
    <definedName name="wrn.RELEVANTSHEETS._2">{#N/A,#N/A,FALSE,"AD_Purch";#N/A,#N/A,FALSE,"Projections";#N/A,#N/A,FALSE,"DCF";#N/A,#N/A,FALSE,"Mkt Val"}</definedName>
    <definedName name="wrn.Report._.1.">{"Page 1",#N/A,FALSE,"Daily calendar";"Backlog",#N/A,FALSE,"Daily calendar"}</definedName>
    <definedName name="wrn.sales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wrn.SALES.">{#N/A,#N/A,FALSE,"Sheet1"}</definedName>
    <definedName name="wrn.Sales._.Split.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wrn.Sales._.Split.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wrn.Sales._.Split._1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wrn.Sales._.Split._2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wrn.SALES._1">{#N/A,#N/A,FALSE,"Sheet1"}</definedName>
    <definedName name="wrn.SALES._1_1">{#N/A,#N/A,FALSE,"Sheet1"}</definedName>
    <definedName name="wrn.SALES._2">{#N/A,#N/A,FALSE,"Sheet1"}</definedName>
    <definedName name="wrn.sales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wrn.sales_1_1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wrn.sales_2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wrn.Short._.Form._.Print._.Out.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>{#N/A,#N/A,FALSE,"General Assumptions";#N/A,#N/A,FALSE,"Accounts";#N/A,#N/A,FALSE,"OperatingAssumptions";#N/A,#N/A,FALSE,"Cashflow";#N/A,#N/A,FALSE,"Debt";#N/A,#N/A,FALSE,"Ops Summary";#N/A,#N/A,FALSE,"Summary"}</definedName>
    <definedName name="wrn.summaries.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wrn.Summary.">{"Summary",#N/A,FALSE,"Summary"}</definedName>
    <definedName name="wrn.Summary._1">{"Summary",#N/A,FALSE,"Summary"}</definedName>
    <definedName name="wrn.Summary._1_1">{"Summary",#N/A,FALSE,"Summary"}</definedName>
    <definedName name="wrn.Summary._2">{"Summary",#N/A,FALSE,"Summary"}</definedName>
    <definedName name="wrn.summary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wrn.summary_1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wrn.summary_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wrn.T.B.I..">{#N/A,#N/A,TRUE,"Índice";#N/A,#N/A,TRUE,"Indicadores Ind.";#N/A,#N/A,TRUE,"Rend. y Sat.";#N/A,#N/A,TRUE,"Síntesis de Informe";#N/A,#N/A,TRUE,"T.B.I. Planta Bs. As.";#N/A,#N/A,TRUE,"Análisis de Desvíos";#N/A,#N/A,TRUE,"132 Por Cuenta";#N/A,#N/A,TRUE,"132 Por C.C.";#N/A,#N/A,TRUE,"142 Por Cuenta";#N/A,#N/A,TRUE,"142 Por Cta Ranking";#N/A,#N/A,TRUE,"142 Por C.C. ";#N/A,#N/A,TRUE,"T.B.I. Chocolate";#N/A,#N/A,TRUE,"Control de Dotación";#N/A,#N/A,TRUE,"Comparativa Horas";#N/A,#N/A,TRUE,"Control Hs.Extras";#N/A,#N/A,TRUE,"Productividad por línea";#N/A,#N/A,TRUE,"Sobrepeso";#N/A,#N/A,TRUE,"Scrap";#N/A,#N/A,TRUE,"Evol. Mermas";#N/A,#N/A,TRUE,"Evol. Mermas (Res. Gráfico)";#N/A,#N/A,TRUE,"Estadística (Productos)";#N/A,#N/A,TRUE,"Estadística (Familias)";#N/A,#N/A,TRUE,"Chocolate";#N/A,#N/A,TRUE,"Dulce de Leche"}</definedName>
    <definedName name="wrn.TABLEAUX.">{#N/A,#N/A,TRUE,"SYNTHESE-t";#N/A,#N/A,TRUE,"PUB-t";#N/A,#N/A,TRUE,"OP CONSO-t";#N/A,#N/A,TRUE,"REFERENCTS-t";#N/A,#N/A,TRUE,"ETUDES MKG-t";#N/A,#N/A,TRUE,"PACKAGING-t";#N/A,#N/A,TRUE,"DIR COM-t";#N/A,#N/A,TRUE,"MEDIA-t"}</definedName>
    <definedName name="wrn.test.">{"test2",#N/A,TRUE,"Prices"}</definedName>
    <definedName name="wrn.TestRep.">{"Test",#N/A,FALSE,"Index";#N/A,"RISK",FALSE,"MarketProjection"}</definedName>
    <definedName name="wrn.TestRep._1">{"Test",#N/A,FALSE,"Index";#N/A,"RISK",FALSE,"MarketProjection"}</definedName>
    <definedName name="wrn.TestRep._1_1">{"Test",#N/A,FALSE,"Index";#N/A,"RISK",FALSE,"MarketProjection"}</definedName>
    <definedName name="wrn.TestRep._2">{"Test",#N/A,FALSE,"Index";#N/A,"RISK",FALSE,"MarketProjection"}</definedName>
    <definedName name="wrn.TOOL.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>{#N/A,#N/A,TRUE,"TransPrcd 1";#N/A,#N/A,TRUE,"TransPrcd 2";#N/A,#N/A,TRUE,"TransPrcd 3"}</definedName>
    <definedName name="wrn.TransPrcd_123._1">{#N/A,#N/A,TRUE,"TransPrcd 1";#N/A,#N/A,TRUE,"TransPrcd 2";#N/A,#N/A,TRUE,"TransPrcd 3"}</definedName>
    <definedName name="wrn.TransPrcd_123._1_1">{#N/A,#N/A,TRUE,"TransPrcd 1";#N/A,#N/A,TRUE,"TransPrcd 2";#N/A,#N/A,TRUE,"TransPrcd 3"}</definedName>
    <definedName name="wrn.TransPrcd_123._2">{#N/A,#N/A,TRUE,"TransPrcd 1";#N/A,#N/A,TRUE,"TransPrcd 2";#N/A,#N/A,TRUE,"TransPrcd 3"}</definedName>
    <definedName name="wrn.Tycon._.Model.">{"rtn",#N/A,FALSE,"RTN";"tables",#N/A,FALSE,"RTN";"cf",#N/A,FALSE,"CF";"stats",#N/A,FALSE,"Stats";"prop",#N/A,FALSE,"Prop"}</definedName>
    <definedName name="wrn.Tycon._.Model._1">{"rtn",#N/A,FALSE,"RTN";"tables",#N/A,FALSE,"RTN";"cf",#N/A,FALSE,"CF";"stats",#N/A,FALSE,"Stats";"prop",#N/A,FALSE,"Prop"}</definedName>
    <definedName name="wrn.Tycon._.Model._1_1">{"rtn",#N/A,FALSE,"RTN";"tables",#N/A,FALSE,"RTN";"cf",#N/A,FALSE,"CF";"stats",#N/A,FALSE,"Stats";"prop",#N/A,FALSE,"Prop"}</definedName>
    <definedName name="wrn.Tycon._.Model._2">{"rtn",#N/A,FALSE,"RTN";"tables",#N/A,FALSE,"RTN";"cf",#N/A,FALSE,"CF";"stats",#N/A,FALSE,"Stats";"prop",#N/A,FALSE,"Prop"}</definedName>
    <definedName name="wrn.uni">{"Units A",#N/A,FALSE,"FY95SLS";"Units B",#N/A,FALSE,"FY95SLS"}</definedName>
    <definedName name="wrn.uni_1">{"Units A",#N/A,FALSE,"FY95SLS";"Units B",#N/A,FALSE,"FY95SLS"}</definedName>
    <definedName name="wrn.uni_1_1">{"Units A",#N/A,FALSE,"FY95SLS";"Units B",#N/A,FALSE,"FY95SLS"}</definedName>
    <definedName name="wrn.uni_2">{"Units A",#N/A,FALSE,"FY95SLS";"Units B",#N/A,FALSE,"FY95SLS"}</definedName>
    <definedName name="wrn.Units.">{"Units A",#N/A,FALSE,"FY95SLS";"Units B",#N/A,FALSE,"FY95SLS"}</definedName>
    <definedName name="wrn.Units._1">{"Units A",#N/A,FALSE,"FY95SLS";"Units B",#N/A,FALSE,"FY95SLS"}</definedName>
    <definedName name="wrn.Units._1_1">{"Units A",#N/A,FALSE,"FY95SLS";"Units B",#N/A,FALSE,"FY95SLS"}</definedName>
    <definedName name="wrn.Units._2">{"Units A",#N/A,FALSE,"FY95SLS";"Units B",#N/A,FALSE,"FY95SLS"}</definedName>
    <definedName name="wrn.US._.Dollar.">{"US Dollars",#N/A,TRUE,"PPD";"US Dollar",#N/A,TRUE,"Anaquest";"US Dollar",#N/A,TRUE,"Delta";"US Dollar",#N/A,TRUE,"INO"}</definedName>
    <definedName name="wrn.US._.Dollar._1">{"US Dollars",#N/A,TRUE,"PPD";"US Dollar",#N/A,TRUE,"Anaquest";"US Dollar",#N/A,TRUE,"Delta";"US Dollar",#N/A,TRUE,"INO"}</definedName>
    <definedName name="wrn.US._.Dollar._1_1">{"US Dollars",#N/A,TRUE,"PPD";"US Dollar",#N/A,TRUE,"Anaquest";"US Dollar",#N/A,TRUE,"Delta";"US Dollar",#N/A,TRUE,"INO"}</definedName>
    <definedName name="wrn.US._.Dollar._2">{"US Dollars",#N/A,TRUE,"PPD";"US Dollar",#N/A,TRUE,"Anaquest";"US Dollar",#N/A,TRUE,"Delta";"US Dollar",#N/A,TRUE,"INO"}</definedName>
    <definedName name="wrn.VALUATION.">{#N/A,#N/A,FALSE,"Pooling";#N/A,#N/A,FALSE,"income";#N/A,#N/A,FALSE,"valuation"}</definedName>
    <definedName name="wrn.VALUATION._1">{#N/A,#N/A,FALSE,"Pooling";#N/A,#N/A,FALSE,"income";#N/A,#N/A,FALSE,"valuation"}</definedName>
    <definedName name="wrn.VALUATION._1_1">{#N/A,#N/A,FALSE,"Pooling";#N/A,#N/A,FALSE,"income";#N/A,#N/A,FALSE,"valuation"}</definedName>
    <definedName name="wrn.VALUATION._2">{#N/A,#N/A,FALSE,"Pooling";#N/A,#N/A,FALSE,"income";#N/A,#N/A,FALSE,"valuation"}</definedName>
    <definedName name="wrn.whole._.report.">{"Contents",#N/A,FALSE,"Contents";#N/A,#N/A,FALSE,"Key Data";"P&amp;L",#N/A,FALSE,"Contents";"Overheads 1",#N/A,FALSE,"Contents";"Overheads 2",#N/A,FALSE,"Contents";"Balance Sheet",#N/A,FALSE,"Contents";"Cash Flow",#N/A,FALSE,"Contents";"Bank Rec",#N/A,FALSE,"Contents";"net worth ratio",#N/A,FALSE,"Contents";"gearing ratio",#N/A,FALSE,"Contents";"Fixed Asset Ratio",#N/A,FALSE,"Contents";"interest cover ratio",#N/A,FALSE,"Contents";"MAT Graph",#N/A,FALSE,"Contents";#N/A,#N/A,FALSE,"Vol. analysis";"weekly sales report",#N/A,FALSE,"Contents";"Vol/mix analysis",#N/A,FALSE,"Contents";"commission return",#N/A,FALSE,"Contents";"commission/barrel Graph",#N/A,FALSE,"Contents";"Rentroll summary",#N/A,FALSE,"Contents";"rentroll graph",#N/A,FALSE,"Contents";"overdue rent graph",#N/A,FALSE,"Contents";"substantive graph",#N/A,FALSE,"Contents";#N/A,#N/A,FALSE,"PL cons";#N/A,#N/A,FALSE,"BS cons";#N/A,#N/A,FALSE,"CF cons"}</definedName>
    <definedName name="wrn.wicor.">{#N/A,#N/A,FALSE,"FACTSHEETS";#N/A,#N/A,FALSE,"pump";#N/A,#N/A,FALSE,"filter"}</definedName>
    <definedName name="wrn.wicor._1">{#N/A,#N/A,FALSE,"FACTSHEETS";#N/A,#N/A,FALSE,"pump";#N/A,#N/A,FALSE,"filter"}</definedName>
    <definedName name="wrn.wicor._1_1">{#N/A,#N/A,FALSE,"FACTSHEETS";#N/A,#N/A,FALSE,"pump";#N/A,#N/A,FALSE,"filter"}</definedName>
    <definedName name="wrn.wicor._2">{#N/A,#N/A,FALSE,"FACTSHEETS";#N/A,#N/A,FALSE,"pump";#N/A,#N/A,FALSE,"filter"}</definedName>
    <definedName name="wrn.מאזן_בוחן_כללי.">{#N/A,#N/A,FALSE,"מאזן בוחן";"כל_מאזן_בוחן",#N/A,FALSE,"מאזן בוחן"}</definedName>
    <definedName name="wrn.מאזן_בוחן_כללי._1">{#N/A,#N/A,FALSE,"מאזן בוחן";"כל_מאזן_בוחן",#N/A,FALSE,"מאזן בוחן"}</definedName>
    <definedName name="wrn.מאזן_בוחן_כללי._1_1">{#N/A,#N/A,FALSE,"מאזן בוחן";"כל_מאזן_בוחן",#N/A,FALSE,"מאזן בוחן"}</definedName>
    <definedName name="wrn.מאזן_בוחן_כללי._2">{#N/A,#N/A,FALSE,"מאזן בוחן";"כל_מאזן_בוחן",#N/A,FALSE,"מאזן בוחן"}</definedName>
    <definedName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1_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2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3.ALL.">{#N/A,#N/A,FALSE,"DCF";#N/A,#N/A,FALSE,"WACC";#N/A,#N/A,FALSE,"Sales_EBIT";#N/A,#N/A,FALSE,"Capex_Depreciation";#N/A,#N/A,FALSE,"WC";#N/A,#N/A,FALSE,"Interest";#N/A,#N/A,FALSE,"Assumptions"}</definedName>
    <definedName name="wrnfy97">{#N/A,#N/A,FALSE,"FY97";#N/A,#N/A,FALSE,"FY98";#N/A,#N/A,FALSE,"FY99";#N/A,#N/A,FALSE,"FY00";#N/A,#N/A,FALSE,"FY01"}</definedName>
    <definedName name="wt">{#N/A,#N/A,FALSE,"FY97";#N/A,#N/A,FALSE,"FY98";#N/A,#N/A,FALSE,"FY99";#N/A,#N/A,FALSE,"FY00";#N/A,#N/A,FALSE,"FY01"}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x">#REF!</definedName>
    <definedName name="XRefColumnsCount">22</definedName>
    <definedName name="XRefPaste6Row">#REF!</definedName>
    <definedName name="XRefPasteRangeCount">31</definedName>
    <definedName name="xx">{#N/A,#N/A,FALSE,"Aging Summary";#N/A,#N/A,FALSE,"Ratio Analysis";#N/A,#N/A,FALSE,"Test 120 Day Accts";#N/A,#N/A,FALSE,"Tickmarks"}</definedName>
    <definedName name="xx_1">{#N/A,#N/A,FALSE,"Aging Summary";#N/A,#N/A,FALSE,"Ratio Analysis";#N/A,#N/A,FALSE,"Test 120 Day Accts";#N/A,#N/A,FALSE,"Tickmarks"}</definedName>
    <definedName name="xx_1_1">{#N/A,#N/A,FALSE,"Aging Summary";#N/A,#N/A,FALSE,"Ratio Analysis";#N/A,#N/A,FALSE,"Test 120 Day Accts";#N/A,#N/A,FALSE,"Tickmarks"}</definedName>
    <definedName name="xx_2">{#N/A,#N/A,FALSE,"Aging Summary";#N/A,#N/A,FALSE,"Ratio Analysis";#N/A,#N/A,FALSE,"Test 120 Day Accts";#N/A,#N/A,FALSE,"Tickmarks"}</definedName>
    <definedName name="xxxxx">{#N/A,#N/A,FALSE,"Calc";#N/A,#N/A,FALSE,"Sensitivity";#N/A,#N/A,FALSE,"LT Earn.Dil.";#N/A,#N/A,FALSE,"Dil. AVP"}</definedName>
    <definedName name="yy">{"consolidated",#N/A,FALSE,"Sheet1";"cms",#N/A,FALSE,"Sheet1";"fse",#N/A,FALSE,"Sheet1"}</definedName>
    <definedName name="zaq">{#N/A,#N/A,FALSE,"Calc";#N/A,#N/A,FALSE,"Sensitivity";#N/A,#N/A,FALSE,"LT Earn.Dil.";#N/A,#N/A,FALSE,"Dil. AVP"}</definedName>
    <definedName name="zer">{#N/A,#N/A,FALSE,"Calc";#N/A,#N/A,FALSE,"Sensitivity";#N/A,#N/A,FALSE,"LT Earn.Dil.";#N/A,#N/A,FALSE,"Dil. AVP"}</definedName>
    <definedName name="zfgzsdfgzsdf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zfgzsdfgzsdf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zfgzsdfgzsdf_1_1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zfgzsdfgzsdf_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zzz">{#N/A,#N/A,FALSE,"Aging Summary";#N/A,#N/A,FALSE,"Ratio Analysis";#N/A,#N/A,FALSE,"Test 120 Day Accts";#N/A,#N/A,FALSE,"Tickmarks"}</definedName>
    <definedName name="zzz_1">{#N/A,#N/A,FALSE,"Aging Summary";#N/A,#N/A,FALSE,"Ratio Analysis";#N/A,#N/A,FALSE,"Test 120 Day Accts";#N/A,#N/A,FALSE,"Tickmarks"}</definedName>
    <definedName name="zzz_1_1">{#N/A,#N/A,FALSE,"Aging Summary";#N/A,#N/A,FALSE,"Ratio Analysis";#N/A,#N/A,FALSE,"Test 120 Day Accts";#N/A,#N/A,FALSE,"Tickmarks"}</definedName>
    <definedName name="zzz_2">{#N/A,#N/A,FALSE,"Aging Summary";#N/A,#N/A,FALSE,"Ratio Analysis";#N/A,#N/A,FALSE,"Test 120 Day Accts";#N/A,#N/A,FALSE,"Tickmarks"}</definedName>
    <definedName name="zzzzz">{#N/A,#N/A,FALSE,"Aging Summary";#N/A,#N/A,FALSE,"Ratio Analysis";#N/A,#N/A,FALSE,"Test 120 Day Accts";#N/A,#N/A,FALSE,"Tickmarks"}</definedName>
    <definedName name="zzzzz_1">{#N/A,#N/A,FALSE,"Aging Summary";#N/A,#N/A,FALSE,"Ratio Analysis";#N/A,#N/A,FALSE,"Test 120 Day Accts";#N/A,#N/A,FALSE,"Tickmarks"}</definedName>
    <definedName name="zzzzz_1_1">{#N/A,#N/A,FALSE,"Aging Summary";#N/A,#N/A,FALSE,"Ratio Analysis";#N/A,#N/A,FALSE,"Test 120 Day Accts";#N/A,#N/A,FALSE,"Tickmarks"}</definedName>
    <definedName name="zzzzz_2">{#N/A,#N/A,FALSE,"Aging Summary";#N/A,#N/A,FALSE,"Ratio Analysis";#N/A,#N/A,FALSE,"Test 120 Day Accts";#N/A,#N/A,FALSE,"Tickmarks"}</definedName>
    <definedName name="אאא">{#N/A,#N/A,FALSE,"מאזן בוחן";"כל_מאזן_בוחן",#N/A,FALSE,"מאזן בוחן"}</definedName>
    <definedName name="אאא_1">{#N/A,#N/A,FALSE,"מאזן בוחן";"כל_מאזן_בוחן",#N/A,FALSE,"מאזן בוחן"}</definedName>
    <definedName name="אאא_1_1">{#N/A,#N/A,FALSE,"מאזן בוחן";"כל_מאזן_בוחן",#N/A,FALSE,"מאזן בוחן"}</definedName>
    <definedName name="אאא_2">{#N/A,#N/A,FALSE,"מאזן בוחן";"כל_מאזן_בוחן",#N/A,FALSE,"מאזן בוחן"}</definedName>
    <definedName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1_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2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פחת">{"Test",#N/A,FALSE,"Index";#N/A,"RISK",FALSE,"MarketProjection"}</definedName>
    <definedName name="פחת_1">{"Test",#N/A,FALSE,"Index";#N/A,"RISK",FALSE,"MarketProjection"}</definedName>
    <definedName name="פחת_1_1">{"Test",#N/A,FALSE,"Index";#N/A,"RISK",FALSE,"MarketProjection"}</definedName>
    <definedName name="פחת_2">{"Test",#N/A,FALSE,"Index";#N/A,"RISK",FALSE,"MarketProjection"}</definedName>
    <definedName name="_UNDO_UPS_" localSheetId="0">'Model Template'!$L$25</definedName>
    <definedName name="_UNDO_UPS_SEL_" localSheetId="0">'Model Template'!$L$25</definedName>
    <definedName name="_UNDO31X31X_" localSheetId="0">'Model Template'!$L$25</definedName>
    <definedName name="KH" localSheetId="0">MAIN.SAPF4HELP()</definedName>
    <definedName name="SAPFuncF4Help" localSheetId="0">MAIN.SAPF4HELP()</definedName>
    <definedName name="_xlnm.Print_Area" localSheetId="0">'Model Template'!$A$1:$Q$269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<sst xmlns="http://schemas.openxmlformats.org/spreadsheetml/2006/main" count="191" uniqueCount="191">
  <si>
    <t>Transaction</t>
  </si>
  <si>
    <t>$ in millions, except for share prices</t>
  </si>
  <si>
    <t>= Needs to be filled in the template</t>
  </si>
  <si>
    <t>Enterprise Value at December 31, 2024</t>
  </si>
  <si>
    <t>Assumptions</t>
  </si>
  <si>
    <t>FDSO (mm)</t>
  </si>
  <si>
    <t xml:space="preserve">Total Gross Leverage </t>
  </si>
  <si>
    <t>Share Price (Closing)</t>
  </si>
  <si>
    <t>Term Loan Gross Leverage</t>
  </si>
  <si>
    <t xml:space="preserve">Equity Value </t>
  </si>
  <si>
    <t>Unsecured Senior Notes Gross Leverage</t>
  </si>
  <si>
    <t>(+) Debt</t>
  </si>
  <si>
    <t>Financeable EBITDA (LTM EBITDA)</t>
  </si>
  <si>
    <t xml:space="preserve">(-) Cash </t>
  </si>
  <si>
    <t>Minimum Cash</t>
  </si>
  <si>
    <t>(+) Non-controlling Interests</t>
  </si>
  <si>
    <t>Transaction Fees</t>
  </si>
  <si>
    <t xml:space="preserve">Enterprise Value </t>
  </si>
  <si>
    <t>Corporate Tax Rate</t>
  </si>
  <si>
    <t>Dividends % of Excess Cash</t>
  </si>
  <si>
    <t>Basic Shares (mm)</t>
  </si>
  <si>
    <t>Management Options % Ownership</t>
  </si>
  <si>
    <t>#</t>
  </si>
  <si>
    <t xml:space="preserve">$ </t>
  </si>
  <si>
    <t>Dilution (mm)</t>
  </si>
  <si>
    <t>Financing Assumptions</t>
  </si>
  <si>
    <t>Options</t>
  </si>
  <si>
    <t>Preferred Investment ($)</t>
  </si>
  <si>
    <t>RSUs</t>
  </si>
  <si>
    <t>Preferred Interest Rate</t>
  </si>
  <si>
    <t>Rate</t>
  </si>
  <si>
    <t>Tenor</t>
  </si>
  <si>
    <t>Amort.</t>
  </si>
  <si>
    <t>Transaction Value</t>
  </si>
  <si>
    <t>Term Loan</t>
  </si>
  <si>
    <t>FDSO at Offer Price (mm)</t>
  </si>
  <si>
    <t>Unsecured Senior Notes</t>
  </si>
  <si>
    <t>Share Price (Offer)</t>
  </si>
  <si>
    <t>Equity Value at Offer Price</t>
  </si>
  <si>
    <t>Sources &amp; Uses</t>
  </si>
  <si>
    <t>$</t>
  </si>
  <si>
    <t>Enterprise Value at Offer Price</t>
  </si>
  <si>
    <t>Preferred Equity</t>
  </si>
  <si>
    <t>Cash from Balance Sheet</t>
  </si>
  <si>
    <t>Equity from Investors</t>
  </si>
  <si>
    <t>Total Sources</t>
  </si>
  <si>
    <t>Equity Purchase Price</t>
  </si>
  <si>
    <t>Refinance Existing Debt</t>
  </si>
  <si>
    <t>Total Uses</t>
  </si>
  <si>
    <t>Income Statement</t>
  </si>
  <si>
    <t>Step Change</t>
  </si>
  <si>
    <t>Mobility Segment</t>
  </si>
  <si>
    <t>Mobility Revenue</t>
  </si>
  <si>
    <t xml:space="preserve">% Growth - Mobility Revenue </t>
  </si>
  <si>
    <t>(-) Mobility Platform Participant Direct Transaction Costs</t>
  </si>
  <si>
    <t>% of Mobility Revenue</t>
  </si>
  <si>
    <t>(-) Mobility Other Costs</t>
  </si>
  <si>
    <t>Mobility EBITDA</t>
  </si>
  <si>
    <t>% Margin - Mobility</t>
  </si>
  <si>
    <t>Delivery Segment</t>
  </si>
  <si>
    <t>Delivery Revenue</t>
  </si>
  <si>
    <t>% Growth - Delivery Revenue</t>
  </si>
  <si>
    <t>(-) Delivery Platform Participant Direct Transaction Costs</t>
  </si>
  <si>
    <t>% of Delivery Revenue</t>
  </si>
  <si>
    <t>(-) Delivery Other Costs</t>
  </si>
  <si>
    <t>Delivery EBITDA</t>
  </si>
  <si>
    <t>% Margin - Delivery</t>
  </si>
  <si>
    <t>Freight Segment</t>
  </si>
  <si>
    <t>Freight Revenue</t>
  </si>
  <si>
    <t>% Growth - Freight Revenue</t>
  </si>
  <si>
    <t>(-) Freight Platform Participant Direct Transaction Costs</t>
  </si>
  <si>
    <t>% of Freight Revenue</t>
  </si>
  <si>
    <t>(-) Freight Other Costs</t>
  </si>
  <si>
    <t>Freight EBITDA</t>
  </si>
  <si>
    <t>% Margin - Freight</t>
  </si>
  <si>
    <t>Total Revenue</t>
  </si>
  <si>
    <t xml:space="preserve">% Growth </t>
  </si>
  <si>
    <t>Total EBITDA</t>
  </si>
  <si>
    <t>% Margin</t>
  </si>
  <si>
    <t>(-) D&amp;A</t>
  </si>
  <si>
    <t>% of Revenue</t>
  </si>
  <si>
    <t>EBIT</t>
  </si>
  <si>
    <t>Circularity</t>
  </si>
  <si>
    <t>(-) Interest Expense</t>
  </si>
  <si>
    <t>Pre-Tax Income</t>
  </si>
  <si>
    <t>(-) Taxes</t>
  </si>
  <si>
    <t>Net Income</t>
  </si>
  <si>
    <t>Tax Schedule</t>
  </si>
  <si>
    <t>(-) Tax Deductible Interest Expense</t>
  </si>
  <si>
    <t xml:space="preserve">Max Interest Deductibility (% of EBIT) </t>
  </si>
  <si>
    <t>Effective EBT</t>
  </si>
  <si>
    <t>Taxes</t>
  </si>
  <si>
    <t xml:space="preserve">Working Capital </t>
  </si>
  <si>
    <t>Accounts Receivable</t>
  </si>
  <si>
    <t>Prepaid Expenses and Other Current Assets</t>
  </si>
  <si>
    <t>Accounts Payable</t>
  </si>
  <si>
    <t xml:space="preserve">Other Current Liabilities </t>
  </si>
  <si>
    <t xml:space="preserve">Net Working Capital </t>
  </si>
  <si>
    <t>Change in Net Working Capital (Positive # = Increase in NWC)</t>
  </si>
  <si>
    <t>% of Total Revenue</t>
  </si>
  <si>
    <t>Cash Flows</t>
  </si>
  <si>
    <t>EBITDA</t>
  </si>
  <si>
    <t xml:space="preserve">(-) Cash Interest Expense </t>
  </si>
  <si>
    <t>(-) Tax Expense</t>
  </si>
  <si>
    <t>(-/+) Change in Net Working Capital</t>
  </si>
  <si>
    <t>(-) CapEx</t>
  </si>
  <si>
    <t>Capex as a % of Revenue</t>
  </si>
  <si>
    <t>Levered Free Cash Flow</t>
  </si>
  <si>
    <t>(-) Mandatory Debt Amortization / Paydown</t>
  </si>
  <si>
    <t>(-) Preferred Paydown</t>
  </si>
  <si>
    <t>Cash Flow Available for Optional Paydown</t>
  </si>
  <si>
    <t>(-) Optional Paydown</t>
  </si>
  <si>
    <t>(-) Dividends</t>
  </si>
  <si>
    <t>Change in Cash</t>
  </si>
  <si>
    <t>Beginning Cash</t>
  </si>
  <si>
    <t>(+) Change in Cash</t>
  </si>
  <si>
    <t>Ending Cash</t>
  </si>
  <si>
    <t>Preferred Equity Schedule</t>
  </si>
  <si>
    <t>Preferred Equity Beginning Balance</t>
  </si>
  <si>
    <t>(+) PIK Accrual</t>
  </si>
  <si>
    <t>(-) Paydown</t>
  </si>
  <si>
    <t>Preferred Equity Ending Balance</t>
  </si>
  <si>
    <t>Debt Schedule</t>
  </si>
  <si>
    <t>(-) Minimum Cash</t>
  </si>
  <si>
    <t>(+) Levered Free Cash Flow</t>
  </si>
  <si>
    <t>(-) Mandatory Debt Paydown</t>
  </si>
  <si>
    <t>Excess Cash Available for Optional Debt Paydown</t>
  </si>
  <si>
    <t>Beginning Balance</t>
  </si>
  <si>
    <t>Amort</t>
  </si>
  <si>
    <t>(-) Mandatory Amort</t>
  </si>
  <si>
    <t>Ending Balance</t>
  </si>
  <si>
    <t>Interest Expense</t>
  </si>
  <si>
    <t>Excess Cash Available After Term Loan Optional Paydown</t>
  </si>
  <si>
    <t>Excess Cash Available After Unsecured Senior Notes Optional Paydown</t>
  </si>
  <si>
    <t xml:space="preserve">Total Debt (Excl. Preferred Equity) </t>
  </si>
  <si>
    <t>% of Total Debt at Transaction Close</t>
  </si>
  <si>
    <t>Cash Interest</t>
  </si>
  <si>
    <t>PIK Interest</t>
  </si>
  <si>
    <t>Total Interest Expense</t>
  </si>
  <si>
    <t>Returns</t>
  </si>
  <si>
    <t>Exit EBITDA</t>
  </si>
  <si>
    <t>Exit Multiple</t>
  </si>
  <si>
    <t>Exit Enterprise Value</t>
  </si>
  <si>
    <t>(-) Debt</t>
  </si>
  <si>
    <t>(+) Cash</t>
  </si>
  <si>
    <t>(-) Preferred</t>
  </si>
  <si>
    <t>Exit Equity Value</t>
  </si>
  <si>
    <t>(-) Outstanding Equity Investor Cost Basis</t>
  </si>
  <si>
    <t>Equity Value for Management Options</t>
  </si>
  <si>
    <t>Equity Value</t>
  </si>
  <si>
    <t>(-) Management Options Value</t>
  </si>
  <si>
    <t>Equity Value to Equity Investors</t>
  </si>
  <si>
    <t>Date</t>
  </si>
  <si>
    <t>Equity Investment</t>
  </si>
  <si>
    <t>Dividends to Equity Investors</t>
  </si>
  <si>
    <t>Total Proceeds to Equity Investors</t>
  </si>
  <si>
    <t>IRR (Equity Investors)</t>
  </si>
  <si>
    <t>MOIC (Equity Investors)</t>
  </si>
  <si>
    <t>WACC</t>
  </si>
  <si>
    <t>Debt</t>
  </si>
  <si>
    <t>Market Cap</t>
  </si>
  <si>
    <t>Debt / Equity</t>
  </si>
  <si>
    <t>Tax Rate</t>
  </si>
  <si>
    <t>Equity Beta</t>
  </si>
  <si>
    <t>Asset Beta</t>
  </si>
  <si>
    <t>Peer 1</t>
  </si>
  <si>
    <t>Peer 2</t>
  </si>
  <si>
    <t>Peer 3</t>
  </si>
  <si>
    <t>Average Asset Beta</t>
  </si>
  <si>
    <t>Risk-Free Rate</t>
  </si>
  <si>
    <t>Re-Levered Beta</t>
  </si>
  <si>
    <t>Market Risk Premium</t>
  </si>
  <si>
    <t>Cost of Equity</t>
  </si>
  <si>
    <t>Cost of Debt</t>
  </si>
  <si>
    <t>After-Tax Cost of Debt</t>
  </si>
  <si>
    <t>Target Debt / Capital (D/V)</t>
  </si>
  <si>
    <t>Target Debt / Equity (D/E)</t>
  </si>
  <si>
    <t>DCF</t>
  </si>
  <si>
    <t>Perpetuity Growth Rate</t>
  </si>
  <si>
    <t>Unlevered Free Cash Flow</t>
  </si>
  <si>
    <t>(+) Cash Interest Expense</t>
  </si>
  <si>
    <t>(-) Interest Tax Shield</t>
  </si>
  <si>
    <t>Check</t>
  </si>
  <si>
    <t>Terminal Value at 2030</t>
  </si>
  <si>
    <t>Period (Mid-Year Convention)</t>
  </si>
  <si>
    <t>Discount Factor</t>
  </si>
  <si>
    <t>Present Value of Unlevered Free Cash Flow (2025-2030)</t>
  </si>
  <si>
    <t>% of EV</t>
  </si>
  <si>
    <t>Present Value of Total Unlevered Free Cash Flows (2025-2030)</t>
  </si>
  <si>
    <t>Present Value of Terminal Value</t>
  </si>
  <si>
    <t>Implied Enterprise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</si>
</sst>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7">
    <numFmt numFmtId="4173" formatCode="&quot;$&quot;#,##0.00_);\(&quot;$&quot;#,##0.00\)"/>
    <numFmt numFmtId="4174" formatCode="#,##0_);\(#,##0\);\–_);General_)"/>
    <numFmt numFmtId="4175" formatCode="#,##0.000;\(#,##0.000\);&quot;–&quot;;@"/>
    <numFmt numFmtId="4176" formatCode="&quot;$&quot;#,##0.0_);\(&quot;$&quot;#,##0.0\);\–_);General_)"/>
    <numFmt numFmtId="4177" formatCode="#,##0.0\x_);\(#,##0.0\x\);0.0\x_);General_x_)"/>
    <numFmt numFmtId="4178" formatCode="[$$-409]#,##0.00_);\([$$-409]#,##0.00\);[$$-409]#,##0.00_);@_)"/>
    <numFmt numFmtId="4179" formatCode="#,##0.00;\(#,##0.00\);&quot;–&quot;"/>
    <numFmt numFmtId="4180" formatCode="#,##0;\(#,##0\);&quot;–&quot;;@"/>
    <numFmt numFmtId="4184" formatCode="#,##0.0_);\(#,##0.0\);\–_);General_)"/>
    <numFmt numFmtId="4185" formatCode="#,##0.00\x_);\(#,##0.00\x\);0.00\x_);General_x_)"/>
    <numFmt numFmtId="4189" formatCode="#,##0.0%_);\(#,##0.0%\);0.0%_);General_%_)"/>
    <numFmt numFmtId="4192" formatCode="0.000"/>
    <numFmt numFmtId="4194" formatCode="#,##0.000;\(#,##0.000\);&quot;–&quot;"/>
    <numFmt numFmtId="4197" formatCode="0.0%;\(0.0%\);\-_)"/>
    <numFmt numFmtId="4198" formatCode="#,##0.0&quot; yrs&quot;_);\(#,##0.0\);\–_);General_)"/>
    <numFmt numFmtId="4205" formatCode="#,##0;\(#,##0\);&quot;–&quot;"/>
    <numFmt numFmtId="4213" formatCode="General&quot;A&quot;"/>
    <numFmt numFmtId="4214" formatCode="General&quot;E&quot;"/>
    <numFmt numFmtId="4219" formatCode="#,##0.0%_);\(#,##0.0%\)"/>
    <numFmt numFmtId="4220" formatCode="0.0%"/>
    <numFmt numFmtId="4227" formatCode="#,##0.0%_);\(#,##0.0%\);0.0%_);General_)"/>
    <numFmt numFmtId="4267" formatCode="#,##0.00%_);\(#,##0.00%\);0.00%_);General_)"/>
    <numFmt numFmtId="4276" formatCode="&quot;$&quot;#,##0.00_);[Red]\(&quot;$&quot;#,##0.00\)"/>
    <numFmt numFmtId="4279" formatCode="[$-409]mmm\-yy;@"/>
    <numFmt numFmtId="4280" formatCode="\€#,##0.0_);\(\€#,##0.0\);\–_);General_)"/>
    <numFmt numFmtId="4282" formatCode="0.0\x"/>
    <numFmt numFmtId="4287" formatCode="#,##0.00;\(#,##0.00\);&quot;–&quot;;@"/>
  </numFmts>
  <fonts count="22">
    <font>
      <b val="0"/>
      <i val="0"/>
      <sz val="10"/>
      <color theme="1"/>
      <name val="Segoe UI"/>
    </font>
    <font>
      <b val="0"/>
      <i val="0"/>
      <sz val="20"/>
      <color rgb="FF000000"/>
      <name val="Arial"/>
    </font>
    <font>
      <b val="0"/>
      <i val="0"/>
      <sz val="10"/>
      <color theme="1"/>
      <name val="Arial"/>
    </font>
    <font>
      <b/>
      <i val="0"/>
      <sz val="10"/>
      <color auto="1"/>
      <name val="Arial"/>
    </font>
    <font>
      <b/>
      <i val="0"/>
      <sz val="10"/>
      <color theme="0"/>
      <name val="Arial"/>
    </font>
    <font>
      <b val="0"/>
      <i/>
      <sz val="10"/>
      <color theme="1"/>
      <name val="Arial"/>
    </font>
    <font>
      <b val="0"/>
      <i val="0"/>
      <sz val="10"/>
      <color auto="1"/>
      <name val="Arial"/>
    </font>
    <font>
      <b val="0"/>
      <i val="0"/>
      <sz val="10"/>
      <color theme="0"/>
      <name val="Arial"/>
    </font>
    <font>
      <b val="0"/>
      <i val="0"/>
      <sz val="10"/>
      <color rgb="FF0000FF"/>
      <name val="Arial"/>
    </font>
    <font>
      <b/>
      <i val="0"/>
      <sz val="10"/>
      <color theme="1"/>
      <name val="Arial"/>
    </font>
    <font>
      <b/>
      <i val="0"/>
      <sz val="10"/>
      <color rgb="FF0000FF"/>
      <name val="Arial"/>
    </font>
    <font>
      <b val="0"/>
      <i/>
      <sz val="10"/>
      <color auto="1"/>
      <name val="Arial"/>
    </font>
    <font>
      <b val="0"/>
      <i val="0"/>
      <u/>
      <sz val="10"/>
      <color auto="1"/>
      <name val="Arial"/>
    </font>
    <font>
      <b/>
      <i/>
      <sz val="10"/>
      <color auto="1"/>
      <name val="Arial"/>
    </font>
    <font>
      <b/>
      <i/>
      <sz val="10"/>
      <color theme="1"/>
      <name val="Arial"/>
    </font>
    <font>
      <b val="0"/>
      <i/>
      <sz val="10"/>
      <color rgb="FF008000"/>
      <name val="Arial"/>
    </font>
    <font>
      <b val="0"/>
      <i val="0"/>
      <sz val="10"/>
      <color rgb="FF008000"/>
      <name val="Arial"/>
    </font>
    <font>
      <b/>
      <i val="0"/>
      <u/>
      <sz val="10"/>
      <color auto="1"/>
      <name val="Arial"/>
    </font>
    <font>
      <b val="0"/>
      <i/>
      <sz val="10"/>
      <color rgb="FF0000FF"/>
      <name val="Arial"/>
    </font>
    <font>
      <b/>
      <i/>
      <u/>
      <sz val="10"/>
      <color theme="1"/>
      <name val="Arial"/>
    </font>
    <font>
      <b val="0"/>
      <i val="0"/>
      <sz val="10"/>
      <color rgb="FFFF0000"/>
      <name val="Arial"/>
    </font>
    <font>
      <b val="0"/>
      <i/>
      <sz val="10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FFFFCC"/>
      </patternFill>
    </fill>
    <fill>
      <patternFill patternType="solid">
        <fgColor theme="0"/>
      </patternFill>
    </fill>
    <fill>
      <patternFill patternType="solid">
        <fgColor theme="0" tint="-0.15"/>
      </patternFill>
    </fill>
  </fills>
  <borders count="14">
    <border>
      <left/>
      <right/>
      <top/>
      <bottom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>
      <alignment horizontal="general" vertical="center"/>
    </xf>
  </cellStyleXfs>
  <cellXfs count="201">
    <xf numFmtId="0" fontId="0" fillId="0" borderId="1" xfId="0">
      <alignment vertical="center"/>
    </xf>
    <xf numFmtId="0" fontId="1" fillId="0" borderId="1" xfId="0">
      <alignment vertical="center"/>
    </xf>
    <xf numFmtId="4173" fontId="2" fillId="0" borderId="1" xfId="0">
      <alignment vertical="center"/>
    </xf>
    <xf numFmtId="0" fontId="3" fillId="0" borderId="1" xfId="0">
      <alignment horizontal="center" vertical="center"/>
    </xf>
    <xf numFmtId="0" fontId="4" fillId="2" borderId="1" xfId="0">
      <alignment vertical="center"/>
    </xf>
    <xf numFmtId="0" fontId="4" fillId="0" borderId="1" xfId="0">
      <alignment vertical="center"/>
    </xf>
    <xf numFmtId="0" fontId="5" fillId="0" borderId="1" xfId="0">
      <alignment vertical="center"/>
    </xf>
    <xf numFmtId="0" fontId="6" fillId="0" borderId="1" xfId="0">
      <alignment vertical="center"/>
    </xf>
    <xf numFmtId="0" fontId="5" fillId="3" borderId="1" xfId="0">
      <alignment vertical="center"/>
    </xf>
    <xf numFmtId="0" fontId="6" fillId="0" borderId="1" xfId="0" quotePrefix="1">
      <alignment vertical="center"/>
    </xf>
    <xf numFmtId="0" fontId="7" fillId="0" borderId="1" xfId="0">
      <alignment vertical="center"/>
    </xf>
    <xf numFmtId="4174" fontId="2" fillId="0" borderId="1" xfId="0">
      <alignment vertical="center"/>
    </xf>
    <xf numFmtId="4175" fontId="2" fillId="3" borderId="1" xfId="0">
      <alignment vertical="center"/>
    </xf>
    <xf numFmtId="4176" fontId="6" fillId="0" borderId="1" xfId="0">
      <alignment vertical="center"/>
    </xf>
    <xf numFmtId="0" fontId="2" fillId="0" borderId="1" xfId="0">
      <alignment vertical="center"/>
    </xf>
    <xf numFmtId="4177" fontId="8" fillId="0" borderId="1" xfId="0">
      <alignment vertical="center"/>
    </xf>
    <xf numFmtId="0" fontId="6" fillId="0" borderId="1" xfId="0">
      <alignment horizontal="left" vertical="center" indent="1"/>
    </xf>
    <xf numFmtId="4178" fontId="6" fillId="0" borderId="1" xfId="0">
      <alignment vertical="center"/>
    </xf>
    <xf numFmtId="9" fontId="6" fillId="0" borderId="1" xfId="0">
      <alignment vertical="center"/>
    </xf>
    <xf numFmtId="4179" fontId="8" fillId="3" borderId="1" xfId="0"/>
    <xf numFmtId="0" fontId="2" fillId="0" borderId="1" xfId="0">
      <alignment horizontal="center" vertical="center"/>
    </xf>
    <xf numFmtId="0" fontId="3" fillId="0" borderId="1" xfId="0">
      <alignment vertical="center"/>
    </xf>
    <xf numFmtId="0" fontId="6" fillId="0" borderId="2" xfId="0">
      <alignment vertical="center"/>
    </xf>
    <xf numFmtId="4180" fontId="2" fillId="3" borderId="2" xfId="0">
      <alignment vertical="center"/>
    </xf>
    <xf numFmtId="4177" fontId="6" fillId="3" borderId="1" xfId="0">
      <alignment vertical="center"/>
    </xf>
    <xf numFmtId="4180" fontId="2" fillId="0" borderId="1" xfId="0">
      <alignment vertical="center"/>
    </xf>
    <xf numFmtId="4180" fontId="8" fillId="3" borderId="1" xfId="0">
      <alignment vertical="center"/>
    </xf>
    <xf numFmtId="4184" fontId="2" fillId="0" borderId="1" xfId="0">
      <alignment vertical="center"/>
    </xf>
    <xf numFmtId="4185" fontId="6" fillId="0" borderId="1" xfId="0">
      <alignment vertical="center"/>
    </xf>
    <xf numFmtId="4174" fontId="6" fillId="3" borderId="1" xfId="0">
      <alignment vertical="center"/>
    </xf>
    <xf numFmtId="4174" fontId="8" fillId="0" borderId="1" xfId="0">
      <alignment vertical="center"/>
    </xf>
    <xf numFmtId="4175" fontId="2" fillId="0" borderId="1" xfId="0">
      <alignment vertical="center"/>
    </xf>
    <xf numFmtId="4189" fontId="8" fillId="0" borderId="1" xfId="0">
      <alignment vertical="center"/>
    </xf>
    <xf numFmtId="1" fontId="2" fillId="0" borderId="1" xfId="0">
      <alignment vertical="center"/>
    </xf>
    <xf numFmtId="4175" fontId="8" fillId="3" borderId="1" xfId="0"/>
    <xf numFmtId="4175" fontId="8" fillId="0" borderId="1" xfId="0"/>
    <xf numFmtId="0" fontId="2" fillId="0" borderId="3" xfId="0">
      <alignment horizontal="center" vertical="center"/>
    </xf>
    <xf numFmtId="4192" fontId="8" fillId="3" borderId="1" xfId="0">
      <alignment vertical="center"/>
    </xf>
    <xf numFmtId="4179" fontId="8" fillId="3" borderId="1" xfId="0">
      <alignment vertical="center"/>
    </xf>
    <xf numFmtId="4194" fontId="8" fillId="3" borderId="1" xfId="0"/>
    <xf numFmtId="4194" fontId="8" fillId="0" borderId="1" xfId="0"/>
    <xf numFmtId="4192" fontId="2" fillId="0" borderId="1" xfId="0">
      <alignment vertical="center"/>
    </xf>
    <xf numFmtId="0" fontId="9" fillId="0" borderId="3" xfId="0">
      <alignment horizontal="center" vertical="center"/>
    </xf>
    <xf numFmtId="4197" fontId="8" fillId="0" borderId="1" xfId="0">
      <alignment horizontal="center" vertical="bottom"/>
    </xf>
    <xf numFmtId="4198" fontId="8" fillId="0" borderId="1" xfId="0">
      <alignment vertical="center"/>
    </xf>
    <xf numFmtId="4189" fontId="8" fillId="0" borderId="1" xfId="0">
      <alignment horizontal="right" vertical="center"/>
    </xf>
    <xf numFmtId="4179" fontId="8" fillId="0" borderId="1" xfId="0"/>
    <xf numFmtId="4180" fontId="6" fillId="3" borderId="1" xfId="0">
      <alignment vertical="center"/>
    </xf>
    <xf numFmtId="0" fontId="9" fillId="0" borderId="1" xfId="0">
      <alignment vertical="center"/>
    </xf>
    <xf numFmtId="4184" fontId="6" fillId="0" borderId="1" xfId="0">
      <alignment vertical="center"/>
    </xf>
    <xf numFmtId="4177" fontId="2" fillId="0" borderId="1" xfId="0">
      <alignment vertical="center"/>
    </xf>
    <xf numFmtId="4180" fontId="6" fillId="3" borderId="1" xfId="0"/>
    <xf numFmtId="4205" fontId="8" fillId="3" borderId="1" xfId="0"/>
    <xf numFmtId="4175" fontId="6" fillId="3" borderId="1" xfId="0"/>
    <xf numFmtId="0" fontId="3" fillId="0" borderId="4" xfId="0">
      <alignment vertical="center"/>
    </xf>
    <xf numFmtId="4176" fontId="3" fillId="0" borderId="4" xfId="0">
      <alignment vertical="center"/>
    </xf>
    <xf numFmtId="4177" fontId="9" fillId="0" borderId="4" xfId="0">
      <alignment vertical="center"/>
    </xf>
    <xf numFmtId="4180" fontId="3" fillId="3" borderId="4" xfId="0"/>
    <xf numFmtId="4192" fontId="6" fillId="3" borderId="1" xfId="0">
      <alignment vertical="center"/>
    </xf>
    <xf numFmtId="4179" fontId="6" fillId="3" borderId="1" xfId="0">
      <alignment vertical="center"/>
    </xf>
    <xf numFmtId="4192" fontId="2" fillId="3" borderId="1" xfId="0">
      <alignment vertical="center"/>
    </xf>
    <xf numFmtId="4213" fontId="10" fillId="0" borderId="1" xfId="0">
      <alignment horizontal="center" vertical="center"/>
    </xf>
    <xf numFmtId="4214" fontId="3" fillId="0" borderId="1" xfId="0">
      <alignment horizontal="center" vertical="center"/>
    </xf>
    <xf numFmtId="0" fontId="11" fillId="0" borderId="1" xfId="0">
      <alignment vertical="center"/>
    </xf>
    <xf numFmtId="4213" fontId="3" fillId="0" borderId="3" xfId="0">
      <alignment horizontal="center" vertical="center"/>
    </xf>
    <xf numFmtId="4214" fontId="3" fillId="0" borderId="3" xfId="0">
      <alignment horizontal="center" vertical="center"/>
    </xf>
    <xf numFmtId="4214" fontId="12" fillId="0" borderId="1" xfId="0">
      <alignment horizontal="center" vertical="center"/>
    </xf>
    <xf numFmtId="0" fontId="8" fillId="0" borderId="1" xfId="0">
      <alignment vertical="center"/>
    </xf>
    <xf numFmtId="4180" fontId="8" fillId="4" borderId="1" xfId="0"/>
    <xf numFmtId="0" fontId="11" fillId="0" borderId="1" xfId="0">
      <alignment horizontal="left" vertical="center" indent="1"/>
    </xf>
    <xf numFmtId="4219" fontId="5" fillId="3" borderId="1" xfId="0">
      <alignment vertical="center"/>
    </xf>
    <xf numFmtId="4220" fontId="8" fillId="0" borderId="5" xfId="0">
      <alignment horizontal="center" vertical="center"/>
    </xf>
    <xf numFmtId="4214" fontId="6" fillId="0" borderId="1" xfId="0">
      <alignment horizontal="center" vertical="center"/>
    </xf>
    <xf numFmtId="4214" fontId="13" fillId="0" borderId="1" xfId="0">
      <alignment horizontal="center" vertical="center"/>
    </xf>
    <xf numFmtId="4219" fontId="5" fillId="0" borderId="1" xfId="0">
      <alignment vertical="center"/>
    </xf>
    <xf numFmtId="37" fontId="2" fillId="3" borderId="2" xfId="0">
      <alignment vertical="center"/>
    </xf>
    <xf numFmtId="0" fontId="14" fillId="0" borderId="1" xfId="0">
      <alignment vertical="center"/>
    </xf>
    <xf numFmtId="0" fontId="13" fillId="0" borderId="1" xfId="0">
      <alignment vertical="center"/>
    </xf>
    <xf numFmtId="0" fontId="11" fillId="0" borderId="2" xfId="0">
      <alignment vertical="center"/>
    </xf>
    <xf numFmtId="4180" fontId="3" fillId="3" borderId="1" xfId="0">
      <alignment vertical="center"/>
    </xf>
    <xf numFmtId="4176" fontId="3" fillId="0" borderId="1" xfId="0">
      <alignment vertical="center"/>
    </xf>
    <xf numFmtId="4227" fontId="15" fillId="0" borderId="1" xfId="0">
      <alignment vertical="center"/>
    </xf>
    <xf numFmtId="4227" fontId="11" fillId="3" borderId="1" xfId="0">
      <alignment vertical="center"/>
    </xf>
    <xf numFmtId="4227" fontId="11" fillId="0" borderId="1" xfId="0">
      <alignment vertical="center"/>
    </xf>
    <xf numFmtId="4176" fontId="2" fillId="0" borderId="1" xfId="0">
      <alignment vertical="center"/>
    </xf>
    <xf numFmtId="4205" fontId="8" fillId="4" borderId="1" xfId="0"/>
    <xf numFmtId="4184" fontId="16" fillId="0" borderId="1" xfId="0">
      <alignment vertical="center"/>
    </xf>
    <xf numFmtId="4174" fontId="8" fillId="0" borderId="5" xfId="0">
      <alignment horizontal="center" vertical="center"/>
    </xf>
    <xf numFmtId="0" fontId="3" fillId="0" borderId="2" xfId="0">
      <alignment vertical="center"/>
    </xf>
    <xf numFmtId="4180" fontId="3" fillId="0" borderId="2" xfId="0">
      <alignment vertical="center"/>
    </xf>
    <xf numFmtId="4174" fontId="3" fillId="3" borderId="2" xfId="0">
      <alignment vertical="center"/>
    </xf>
    <xf numFmtId="4176" fontId="3" fillId="0" borderId="2" xfId="0">
      <alignment vertical="center"/>
    </xf>
    <xf numFmtId="4174" fontId="6" fillId="0" borderId="1" xfId="0">
      <alignment vertical="center"/>
    </xf>
    <xf numFmtId="4220" fontId="8" fillId="0" borderId="1" xfId="0">
      <alignment horizontal="center" vertical="center"/>
    </xf>
    <xf numFmtId="4174" fontId="3" fillId="0" borderId="1" xfId="0">
      <alignment vertical="center"/>
    </xf>
    <xf numFmtId="0" fontId="17" fillId="0" borderId="1" xfId="0">
      <alignment vertical="center"/>
    </xf>
    <xf numFmtId="0" fontId="6" fillId="0" borderId="1" xfId="0"/>
    <xf numFmtId="4176" fontId="6" fillId="0" borderId="1" xfId="0">
      <alignment horizontal="right" vertical="center"/>
    </xf>
    <xf numFmtId="4220" fontId="18" fillId="0" borderId="1" xfId="0">
      <alignment vertical="center"/>
    </xf>
    <xf numFmtId="4220" fontId="11" fillId="3" borderId="1" xfId="0">
      <alignment vertical="center"/>
    </xf>
    <xf numFmtId="0" fontId="2" fillId="0" borderId="2" xfId="0">
      <alignment vertical="center"/>
    </xf>
    <xf numFmtId="4213" fontId="10" fillId="0" borderId="2" xfId="0">
      <alignment horizontal="center" vertical="center"/>
    </xf>
    <xf numFmtId="4214" fontId="3" fillId="0" borderId="2" xfId="0">
      <alignment horizontal="center" vertical="center"/>
    </xf>
    <xf numFmtId="4180" fontId="3" fillId="3" borderId="2" xfId="0">
      <alignment vertical="center"/>
    </xf>
    <xf numFmtId="4189" fontId="5" fillId="0" borderId="5" xfId="0">
      <alignment vertical="center"/>
    </xf>
    <xf numFmtId="4189" fontId="5" fillId="0" borderId="1" xfId="0">
      <alignment vertical="center"/>
    </xf>
    <xf numFmtId="4180" fontId="3" fillId="0" borderId="1" xfId="0">
      <alignment vertical="center"/>
    </xf>
    <xf numFmtId="4189" fontId="2" fillId="0" borderId="1" xfId="0">
      <alignment vertical="center"/>
    </xf>
    <xf numFmtId="4214" fontId="10" fillId="0" borderId="1" xfId="0">
      <alignment horizontal="center" vertical="center"/>
    </xf>
    <xf numFmtId="17" fontId="3" fillId="0" borderId="1" xfId="0">
      <alignment horizontal="center" vertical="center"/>
    </xf>
    <xf numFmtId="4214" fontId="3" fillId="5" borderId="1" xfId="0">
      <alignment horizontal="center" vertical="center"/>
    </xf>
    <xf numFmtId="4205" fontId="2" fillId="3" borderId="1" xfId="0">
      <alignment vertical="center"/>
    </xf>
    <xf numFmtId="4227" fontId="18" fillId="0" borderId="1" xfId="0">
      <alignment vertical="center"/>
    </xf>
    <xf numFmtId="4174" fontId="6" fillId="0" borderId="5" xfId="0">
      <alignment horizontal="center" vertical="center"/>
    </xf>
    <xf numFmtId="0" fontId="11" fillId="0" borderId="1" xfId="0">
      <alignment horizontal="left" vertical="center" indent="2"/>
    </xf>
    <xf numFmtId="4227" fontId="18" fillId="3" borderId="1" xfId="0">
      <alignment vertical="center"/>
    </xf>
    <xf numFmtId="39" fontId="2" fillId="0" borderId="1" xfId="0">
      <alignment vertical="center"/>
    </xf>
    <xf numFmtId="4189" fontId="11" fillId="0" borderId="5" xfId="0">
      <alignment vertical="center"/>
    </xf>
    <xf numFmtId="4174" fontId="2" fillId="3" borderId="1" xfId="0">
      <alignment vertical="center"/>
    </xf>
    <xf numFmtId="4174" fontId="8" fillId="3" borderId="1" xfId="0">
      <alignment vertical="center"/>
    </xf>
    <xf numFmtId="4180" fontId="6" fillId="3" borderId="2" xfId="0">
      <alignment vertical="center"/>
    </xf>
    <xf numFmtId="4174" fontId="6" fillId="3" borderId="2" xfId="0">
      <alignment vertical="center"/>
    </xf>
    <xf numFmtId="4180" fontId="6" fillId="0" borderId="1" xfId="0">
      <alignment vertical="center"/>
    </xf>
    <xf numFmtId="0" fontId="9" fillId="0" borderId="2" xfId="0">
      <alignment vertical="center"/>
    </xf>
    <xf numFmtId="4214" fontId="10" fillId="0" borderId="2" xfId="0">
      <alignment horizontal="center" vertical="center"/>
    </xf>
    <xf numFmtId="4174" fontId="3" fillId="3" borderId="2" xfId="0">
      <alignment horizontal="right" vertical="center"/>
    </xf>
    <xf numFmtId="4184" fontId="3" fillId="0" borderId="1" xfId="0">
      <alignment horizontal="right" vertical="center"/>
    </xf>
    <xf numFmtId="0" fontId="19" fillId="0" borderId="1" xfId="0">
      <alignment vertical="center"/>
    </xf>
    <xf numFmtId="4227" fontId="11" fillId="0" borderId="5" xfId="0">
      <alignment horizontal="center" vertical="center"/>
    </xf>
    <xf numFmtId="4220" fontId="11" fillId="0" borderId="5" xfId="0">
      <alignment horizontal="center" vertical="bottom"/>
    </xf>
    <xf numFmtId="4267" fontId="6" fillId="0" borderId="1" xfId="0">
      <alignment vertical="center"/>
    </xf>
    <xf numFmtId="4184" fontId="20" fillId="0" borderId="1" xfId="0">
      <alignment vertical="center"/>
    </xf>
    <xf numFmtId="4214" fontId="8" fillId="0" borderId="1" xfId="0">
      <alignment horizontal="center" vertical="center"/>
    </xf>
    <xf numFmtId="4174" fontId="6" fillId="3" borderId="1" xfId="0">
      <alignment horizontal="right" vertical="center"/>
    </xf>
    <xf numFmtId="4184" fontId="6" fillId="0" borderId="1" xfId="0">
      <alignment horizontal="right" vertical="center"/>
    </xf>
    <xf numFmtId="0" fontId="12" fillId="0" borderId="1" xfId="0">
      <alignment vertical="center"/>
    </xf>
    <xf numFmtId="0" fontId="9" fillId="0" borderId="1" xfId="0">
      <alignment horizontal="center" vertical="center"/>
    </xf>
    <xf numFmtId="4176" fontId="6" fillId="0" borderId="2" xfId="0">
      <alignment vertical="center"/>
    </xf>
    <xf numFmtId="4184" fontId="3" fillId="0" borderId="1" xfId="0">
      <alignment vertical="center"/>
    </xf>
    <xf numFmtId="4177" fontId="6" fillId="0" borderId="1" xfId="0">
      <alignment vertical="center"/>
    </xf>
    <xf numFmtId="4177" fontId="8" fillId="3" borderId="1" xfId="0">
      <alignment vertical="center"/>
    </xf>
    <xf numFmtId="4276" fontId="2" fillId="0" borderId="1" xfId="0">
      <alignment vertical="center"/>
    </xf>
    <xf numFmtId="9" fontId="2" fillId="0" borderId="1" xfId="0">
      <alignment vertical="center"/>
    </xf>
    <xf numFmtId="0" fontId="3" fillId="0" borderId="2" xfId="0">
      <alignment horizontal="center" vertical="center"/>
    </xf>
    <xf numFmtId="4184" fontId="3" fillId="0" borderId="2" xfId="0">
      <alignment vertical="center"/>
    </xf>
    <xf numFmtId="4174" fontId="3" fillId="3" borderId="1" xfId="0">
      <alignment vertical="center"/>
    </xf>
    <xf numFmtId="0" fontId="3" fillId="0" borderId="3" xfId="0">
      <alignment vertical="center"/>
    </xf>
    <xf numFmtId="0" fontId="9" fillId="0" borderId="3" xfId="0">
      <alignment vertical="center"/>
    </xf>
    <xf numFmtId="4279" fontId="3" fillId="0" borderId="3" xfId="0">
      <alignment vertical="center"/>
    </xf>
    <xf numFmtId="4280" fontId="6" fillId="0" borderId="1" xfId="0">
      <alignment vertical="center"/>
    </xf>
    <xf numFmtId="4220" fontId="3" fillId="3" borderId="1" xfId="0">
      <alignment vertical="center"/>
    </xf>
    <xf numFmtId="4282" fontId="3" fillId="3" borderId="1" xfId="0">
      <alignment vertical="center"/>
    </xf>
    <xf numFmtId="0" fontId="2" fillId="0" borderId="1" xfId="0">
      <alignment horizontal="center" vertical="center" wrapText="1"/>
    </xf>
    <xf numFmtId="0" fontId="3" fillId="0" borderId="1" xfId="0">
      <alignment horizontal="center" vertical="center" wrapText="1"/>
    </xf>
    <xf numFmtId="4214" fontId="3" fillId="0" borderId="1" xfId="0">
      <alignment horizontal="center" vertical="center" wrapText="1"/>
    </xf>
    <xf numFmtId="0" fontId="9" fillId="0" borderId="1" xfId="0">
      <alignment horizontal="center" vertical="center" wrapText="1"/>
    </xf>
    <xf numFmtId="0" fontId="6" fillId="0" borderId="6" xfId="0">
      <alignment vertical="center"/>
    </xf>
    <xf numFmtId="4180" fontId="8" fillId="0" borderId="2" xfId="0">
      <alignment vertical="center"/>
    </xf>
    <xf numFmtId="4220" fontId="6" fillId="3" borderId="2" xfId="0">
      <alignment vertical="center"/>
    </xf>
    <xf numFmtId="4220" fontId="8" fillId="0" borderId="2" xfId="0">
      <alignment vertical="center"/>
    </xf>
    <xf numFmtId="4287" fontId="8" fillId="0" borderId="2" xfId="0">
      <alignment vertical="center"/>
    </xf>
    <xf numFmtId="4287" fontId="6" fillId="3" borderId="7" xfId="0">
      <alignment vertical="center"/>
    </xf>
    <xf numFmtId="4287" fontId="2" fillId="0" borderId="1" xfId="0">
      <alignment vertical="center"/>
    </xf>
    <xf numFmtId="4287" fontId="6" fillId="0" borderId="1" xfId="0">
      <alignment vertical="center"/>
    </xf>
    <xf numFmtId="0" fontId="6" fillId="0" borderId="8" xfId="0">
      <alignment vertical="center"/>
    </xf>
    <xf numFmtId="4180" fontId="8" fillId="0" borderId="1" xfId="0">
      <alignment vertical="center"/>
    </xf>
    <xf numFmtId="4220" fontId="6" fillId="3" borderId="1" xfId="0">
      <alignment vertical="center"/>
    </xf>
    <xf numFmtId="4220" fontId="8" fillId="0" borderId="1" xfId="0">
      <alignment vertical="center"/>
    </xf>
    <xf numFmtId="4287" fontId="8" fillId="0" borderId="1" xfId="0">
      <alignment vertical="center"/>
    </xf>
    <xf numFmtId="4287" fontId="6" fillId="3" borderId="9" xfId="0">
      <alignment vertical="center"/>
    </xf>
    <xf numFmtId="4287" fontId="3" fillId="0" borderId="1" xfId="0">
      <alignment horizontal="center" vertical="center"/>
    </xf>
    <xf numFmtId="0" fontId="6" fillId="0" borderId="10" xfId="0">
      <alignment vertical="center"/>
    </xf>
    <xf numFmtId="0" fontId="6" fillId="0" borderId="3" xfId="0">
      <alignment vertical="center"/>
    </xf>
    <xf numFmtId="4180" fontId="8" fillId="0" borderId="3" xfId="0">
      <alignment vertical="center"/>
    </xf>
    <xf numFmtId="4220" fontId="6" fillId="3" borderId="3" xfId="0">
      <alignment vertical="center"/>
    </xf>
    <xf numFmtId="4220" fontId="8" fillId="0" borderId="3" xfId="0">
      <alignment vertical="center"/>
    </xf>
    <xf numFmtId="4287" fontId="8" fillId="0" borderId="3" xfId="0">
      <alignment vertical="center"/>
    </xf>
    <xf numFmtId="4287" fontId="6" fillId="3" borderId="11" xfId="0">
      <alignment vertical="center"/>
    </xf>
    <xf numFmtId="0" fontId="3" fillId="0" borderId="12" xfId="0">
      <alignment vertical="center"/>
    </xf>
    <xf numFmtId="4180" fontId="3" fillId="0" borderId="4" xfId="0">
      <alignment vertical="center"/>
    </xf>
    <xf numFmtId="4214" fontId="3" fillId="0" borderId="4" xfId="0">
      <alignment horizontal="center" vertical="center"/>
    </xf>
    <xf numFmtId="4287" fontId="3" fillId="0" borderId="4" xfId="0">
      <alignment vertical="center"/>
    </xf>
    <xf numFmtId="4287" fontId="3" fillId="3" borderId="13" xfId="0">
      <alignment vertical="center"/>
    </xf>
    <xf numFmtId="4220" fontId="8" fillId="3" borderId="1" xfId="0">
      <alignment vertical="center"/>
    </xf>
    <xf numFmtId="4287" fontId="6" fillId="3" borderId="1" xfId="0">
      <alignment vertical="center"/>
    </xf>
    <xf numFmtId="4189" fontId="3" fillId="3" borderId="2" xfId="0">
      <alignment vertical="center"/>
    </xf>
    <xf numFmtId="4189" fontId="6" fillId="3" borderId="1" xfId="0">
      <alignment vertical="center"/>
    </xf>
    <xf numFmtId="4220" fontId="8" fillId="3" borderId="1" xfId="0">
      <alignment horizontal="right" vertical="center"/>
    </xf>
    <xf numFmtId="9" fontId="3" fillId="0" borderId="1" xfId="0">
      <alignment horizontal="center" vertical="center"/>
    </xf>
    <xf numFmtId="4220" fontId="6" fillId="3" borderId="1" xfId="0">
      <alignment horizontal="right" vertical="center"/>
    </xf>
    <xf numFmtId="0" fontId="6" fillId="0" borderId="1" xfId="0">
      <alignment horizontal="right" vertical="center"/>
    </xf>
    <xf numFmtId="4227" fontId="3" fillId="3" borderId="1" xfId="0">
      <alignment horizontal="right" vertical="center"/>
    </xf>
    <xf numFmtId="4227" fontId="3" fillId="0" borderId="1" xfId="0">
      <alignment horizontal="right" vertical="center"/>
    </xf>
    <xf numFmtId="4227" fontId="10" fillId="3" borderId="1" xfId="0">
      <alignment horizontal="right" vertical="center"/>
    </xf>
    <xf numFmtId="0" fontId="21" fillId="0" borderId="1" xfId="0">
      <alignment vertical="center"/>
    </xf>
    <xf numFmtId="4174" fontId="21" fillId="0" borderId="1" xfId="0">
      <alignment vertical="center"/>
    </xf>
    <xf numFmtId="4184" fontId="21" fillId="0" borderId="1" xfId="0">
      <alignment vertical="center"/>
    </xf>
    <xf numFmtId="4184" fontId="8" fillId="0" borderId="1" xfId="0">
      <alignment vertical="center"/>
    </xf>
    <xf numFmtId="4184" fontId="2" fillId="3" borderId="1" xfId="0">
      <alignment vertical="center"/>
    </xf>
    <xf numFmtId="4220" fontId="2" fillId="3" borderId="1" xfId="0">
      <alignment vertical="center"/>
    </xf>
    <xf numFmtId="4174" fontId="9" fillId="3" borderId="1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Carlyle Group">
      <a:dk1>
        <a:sysClr val="windowText" lastClr="000000"/>
      </a:dk1>
      <a:lt1>
        <a:sysClr val="window" lastClr="FFFFFF"/>
      </a:lt1>
      <a:dk2>
        <a:srgbClr val="004A88"/>
      </a:dk2>
      <a:lt2>
        <a:srgbClr val="EEECE1"/>
      </a:lt2>
      <a:accent1>
        <a:srgbClr val="0065B3"/>
      </a:accent1>
      <a:accent2>
        <a:srgbClr val="00A1E0"/>
      </a:accent2>
      <a:accent3>
        <a:srgbClr val="2B8323"/>
      </a:accent3>
      <a:accent4>
        <a:srgbClr val="91E500"/>
      </a:accent4>
      <a:accent5>
        <a:srgbClr val="554371"/>
      </a:accent5>
      <a:accent6>
        <a:srgbClr val="A38FBB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66081A4-54C4-61E1-B803-730977883304}" mc:Ignorable="x14ac xr xr2 xr3">
  <sheetPr>
    <tabColor theme="6" tint="0.8"/>
  </sheetPr>
  <dimension ref="A1:CV1000"/>
  <sheetViews>
    <sheetView showGridLines="0" topLeftCell="A1" zoomScale="97" workbookViewId="0" tabSelected="1">
      <selection activeCell="A1" sqref="A1"/>
    </sheetView>
  </sheetViews>
  <sheetFormatPr defaultRowHeight="12.75" defaultColWidth="9.140625" customHeight="1"/>
  <cols>
    <col min="1" max="1" style="14" width="2.7109375" customWidth="1"/>
    <col min="2" max="5" style="14" width="9.57421875" customWidth="1"/>
    <col min="6" max="6" style="14" width="10.7109375" customWidth="1"/>
    <col min="7" max="15" style="14" width="9.57421875" customWidth="1"/>
    <col min="16" max="16" style="14" width="10.28125" customWidth="1"/>
    <col min="17" max="17" style="14" width="2.7109375" customWidth="1"/>
    <col min="18" max="20" style="14" width="12.00390625" customWidth="1"/>
    <col min="21" max="21" style="14" width="9.140625" customWidth="1"/>
  </cols>
  <sheetData>
    <row r="1" ht="24.75" customHeight="1">
      <c r="A1" s="1"/>
      <c r="I1" s="2"/>
      <c r="O1" s="3"/>
    </row>
    <row r="2" ht="12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12.75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2.75" customHeight="1">
      <c r="B4" s="6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12.75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12.75" customHeight="1">
      <c r="B6" s="8"/>
      <c r="C6" s="9" t="s">
        <v>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ht="12.75" customHeight="1">
      <c r="A7" s="6"/>
      <c r="B7" s="7"/>
      <c r="C7" s="7"/>
      <c r="D7" s="7"/>
      <c r="E7" s="7"/>
      <c r="F7" s="7"/>
      <c r="G7" s="7"/>
      <c r="H7" s="7"/>
    </row>
    <row r="8" ht="12.75" customHeight="1">
      <c r="A8" s="6"/>
      <c r="B8" s="4" t="s">
        <v>3</v>
      </c>
      <c r="C8" s="4"/>
      <c r="D8" s="4"/>
      <c r="E8" s="4"/>
      <c r="F8" s="4"/>
      <c r="H8" s="5"/>
      <c r="I8" s="5"/>
      <c r="J8" s="4" t="s">
        <v>4</v>
      </c>
      <c r="K8" s="4"/>
      <c r="L8" s="4"/>
      <c r="M8" s="4"/>
      <c r="N8" s="4"/>
      <c r="O8" s="10"/>
      <c r="P8" s="10"/>
      <c r="Q8" s="2"/>
    </row>
    <row r="9" ht="12.75" customHeight="1">
      <c r="A9" s="11"/>
      <c r="B9" s="7" t="s">
        <v>5</v>
      </c>
      <c r="C9" s="7"/>
      <c r="D9" s="7"/>
      <c r="E9" s="7"/>
      <c r="F9" s="12">
        <f t="shared" si="0" ref="F9:F25">F17+F20+F21</f>
        <v>2157.616562612732</v>
      </c>
      <c r="G9" s="13"/>
      <c r="J9" s="14" t="s">
        <v>6</v>
      </c>
      <c r="N9" s="15">
        <v>6</v>
      </c>
    </row>
    <row r="10" ht="12.75" customHeight="1">
      <c r="B10" s="16" t="s">
        <v>7</v>
      </c>
      <c r="C10" s="16"/>
      <c r="D10" s="17"/>
      <c r="E10" s="18"/>
      <c r="F10" s="19">
        <v>60.32</v>
      </c>
      <c r="G10" s="2"/>
      <c r="H10" s="20"/>
      <c r="I10" s="21"/>
      <c r="J10" s="14" t="s">
        <v>8</v>
      </c>
      <c r="N10" s="15">
        <v>4</v>
      </c>
      <c r="O10" s="7"/>
      <c r="P10" s="7"/>
    </row>
    <row r="11" ht="12.75" customHeight="1">
      <c r="A11" s="11"/>
      <c r="B11" s="22" t="s">
        <v>9</v>
      </c>
      <c r="C11" s="22"/>
      <c r="D11" s="22"/>
      <c r="E11" s="22"/>
      <c r="F11" s="23">
        <f t="shared" si="2" ref="F11:N197">F10*F9</f>
        <v>130147.43105680001</v>
      </c>
      <c r="G11" s="2"/>
      <c r="H11" s="20"/>
      <c r="I11" s="7"/>
      <c r="J11" s="14" t="s">
        <v>10</v>
      </c>
      <c r="N11" s="24">
        <f>N30/N12</f>
        <v>2</v>
      </c>
      <c r="P11" s="25"/>
    </row>
    <row r="12" ht="12.75" customHeight="1">
      <c r="A12" s="11"/>
      <c r="B12" s="16" t="s">
        <v>11</v>
      </c>
      <c r="C12" s="16"/>
      <c r="D12" s="7"/>
      <c r="E12" s="7"/>
      <c r="F12" s="26">
        <v>9600</v>
      </c>
      <c r="G12" s="27"/>
      <c r="H12" s="20"/>
      <c r="I12" s="7"/>
      <c r="J12" s="14" t="s">
        <v>12</v>
      </c>
      <c r="M12" s="28"/>
      <c r="N12" s="29">
        <f>H80</f>
        <v>8894</v>
      </c>
      <c r="P12" s="25"/>
    </row>
    <row r="13" ht="12.75" customHeight="1">
      <c r="A13" s="11"/>
      <c r="B13" s="16" t="s">
        <v>13</v>
      </c>
      <c r="C13" s="16"/>
      <c r="D13" s="7"/>
      <c r="E13" s="7"/>
      <c r="F13" s="26">
        <v>-9694</v>
      </c>
      <c r="H13" s="20"/>
      <c r="J13" s="14" t="s">
        <v>14</v>
      </c>
      <c r="N13" s="30">
        <v>250</v>
      </c>
      <c r="P13" s="25"/>
    </row>
    <row r="14" ht="12.75" customHeight="1">
      <c r="A14" s="11"/>
      <c r="B14" s="16" t="s">
        <v>15</v>
      </c>
      <c r="C14" s="16"/>
      <c r="D14" s="7"/>
      <c r="E14" s="7"/>
      <c r="F14" s="26">
        <v>918</v>
      </c>
      <c r="H14" s="20"/>
      <c r="J14" s="14" t="s">
        <v>16</v>
      </c>
      <c r="N14" s="30">
        <v>500</v>
      </c>
      <c r="P14" s="31"/>
    </row>
    <row r="15" ht="12.75" customHeight="1">
      <c r="A15" s="11"/>
      <c r="B15" s="22" t="s">
        <v>17</v>
      </c>
      <c r="C15" s="22"/>
      <c r="D15" s="22"/>
      <c r="E15" s="22"/>
      <c r="F15" s="23">
        <f t="shared" si="4" ref="F15:N252">SUM(F11:F14)</f>
        <v>130971.43105680001</v>
      </c>
      <c r="H15" s="20"/>
      <c r="J15" s="14" t="s">
        <v>18</v>
      </c>
      <c r="N15" s="32">
        <v>0.23</v>
      </c>
      <c r="P15" s="31"/>
    </row>
    <row r="16" ht="12.75" customHeight="1">
      <c r="H16" s="20"/>
      <c r="J16" s="14" t="s">
        <v>19</v>
      </c>
      <c r="N16" s="32">
        <v>0.5</v>
      </c>
      <c r="P16" s="25"/>
      <c r="Q16" s="33"/>
    </row>
    <row r="17" ht="12.75" customHeight="1">
      <c r="A17" s="11"/>
      <c r="B17" s="7" t="s">
        <v>20</v>
      </c>
      <c r="F17" s="34">
        <v>2089.008865</v>
      </c>
      <c r="J17" s="14" t="s">
        <v>21</v>
      </c>
      <c r="N17" s="32">
        <v>0.1</v>
      </c>
    </row>
    <row r="18" ht="12.75" customHeight="1">
      <c r="B18" s="7"/>
      <c r="F18" s="35"/>
      <c r="I18" s="21"/>
      <c r="O18" s="7"/>
      <c r="P18" s="7"/>
    </row>
    <row r="19" ht="12.75" customHeight="1">
      <c r="D19" s="36" t="s">
        <v>22</v>
      </c>
      <c r="E19" s="36" t="s">
        <v>23</v>
      </c>
      <c r="F19" s="36" t="s">
        <v>24</v>
      </c>
      <c r="H19" s="20"/>
      <c r="J19" s="4" t="s">
        <v>25</v>
      </c>
      <c r="K19" s="4"/>
      <c r="L19" s="4"/>
      <c r="M19" s="4"/>
      <c r="N19" s="4"/>
      <c r="P19" s="31"/>
    </row>
    <row r="20" ht="12.75" customHeight="1">
      <c r="B20" s="14" t="s">
        <v>26</v>
      </c>
      <c r="D20" s="37">
        <v>7.198</v>
      </c>
      <c r="E20" s="38">
        <v>40.16</v>
      </c>
      <c r="F20" s="12">
        <f>D20-((D20*E20)/$F$10)</f>
        <v>2.4056976127320953</v>
      </c>
      <c r="H20" s="20"/>
      <c r="J20" s="14" t="s">
        <v>27</v>
      </c>
      <c r="N20" s="30">
        <v>2000</v>
      </c>
      <c r="P20" s="25"/>
    </row>
    <row r="21" ht="12.75" customHeight="1">
      <c r="B21" s="14" t="s">
        <v>28</v>
      </c>
      <c r="D21" s="39">
        <v>66.202</v>
      </c>
      <c r="F21" s="12">
        <f t="shared" si="6" ref="F21:F37">D21</f>
        <v>66.202</v>
      </c>
      <c r="H21" s="20"/>
      <c r="J21" s="14" t="s">
        <v>29</v>
      </c>
      <c r="N21" s="32">
        <v>0.11</v>
      </c>
      <c r="P21" s="31"/>
    </row>
    <row r="22" ht="12.75" customHeight="1">
      <c r="D22" s="40"/>
      <c r="F22" s="41"/>
      <c r="H22" s="20"/>
      <c r="P22" s="31"/>
      <c r="Q22" s="33"/>
    </row>
    <row r="23" ht="12.75" customHeight="1">
      <c r="J23" s="7"/>
      <c r="L23" s="42" t="s">
        <v>30</v>
      </c>
      <c r="M23" s="42" t="s">
        <v>31</v>
      </c>
      <c r="N23" s="42" t="s">
        <v>32</v>
      </c>
    </row>
    <row r="24" ht="12.75" customHeight="1">
      <c r="B24" s="4" t="s">
        <v>33</v>
      </c>
      <c r="C24" s="4"/>
      <c r="D24" s="4"/>
      <c r="E24" s="4"/>
      <c r="F24" s="4"/>
      <c r="H24" s="20"/>
      <c r="I24" s="21"/>
      <c r="J24" s="14" t="str">
        <f t="shared" si="1" ref="J24:J25">+J29</f>
        <v>Term Loan</v>
      </c>
      <c r="L24" s="43">
        <v>0.065</v>
      </c>
      <c r="M24" s="44">
        <v>7</v>
      </c>
      <c r="N24" s="45">
        <v>0.01</v>
      </c>
      <c r="O24" s="7"/>
      <c r="P24" s="7"/>
    </row>
    <row r="25" ht="12.75" customHeight="1">
      <c r="B25" s="7" t="s">
        <v>35</v>
      </c>
      <c r="C25" s="7"/>
      <c r="D25" s="7"/>
      <c r="E25" s="7"/>
      <c r="F25" s="12">
        <f t="shared" si="0"/>
        <v>2158.5545759333327</v>
      </c>
      <c r="H25" s="20"/>
      <c r="J25" s="14" t="str">
        <f t="shared" si="1"/>
        <v>Unsecured Senior Notes</v>
      </c>
      <c r="L25" s="43">
        <v>0.1</v>
      </c>
      <c r="M25" s="44">
        <v>10</v>
      </c>
      <c r="N25" s="45">
        <v>0</v>
      </c>
      <c r="P25" s="25"/>
    </row>
    <row r="26" ht="12.75" customHeight="1">
      <c r="B26" s="16" t="s">
        <v>37</v>
      </c>
      <c r="C26" s="16"/>
      <c r="D26" s="17"/>
      <c r="E26" s="18"/>
      <c r="F26" s="46">
        <v>75</v>
      </c>
      <c r="H26" s="20"/>
      <c r="P26" s="25"/>
    </row>
    <row r="27" ht="12.75" customHeight="1">
      <c r="B27" s="22" t="s">
        <v>38</v>
      </c>
      <c r="C27" s="22"/>
      <c r="D27" s="22"/>
      <c r="E27" s="22"/>
      <c r="F27" s="23">
        <f t="shared" si="2"/>
        <v>161891.59319499996</v>
      </c>
      <c r="H27" s="20"/>
      <c r="J27" s="4" t="s">
        <v>39</v>
      </c>
      <c r="K27" s="4"/>
      <c r="L27" s="4"/>
      <c r="M27" s="4"/>
      <c r="N27" s="4"/>
      <c r="P27" s="25"/>
    </row>
    <row r="28" ht="12.75" customHeight="1">
      <c r="B28" s="16" t="s">
        <v>11</v>
      </c>
      <c r="C28" s="16"/>
      <c r="D28" s="7"/>
      <c r="E28" s="7"/>
      <c r="F28" s="47">
        <f t="shared" si="3" ref="F28:F33">F12</f>
        <v>9600</v>
      </c>
      <c r="H28" s="20"/>
      <c r="N28" s="42" t="s">
        <v>40</v>
      </c>
    </row>
    <row r="29" ht="12.75" customHeight="1">
      <c r="B29" s="16" t="s">
        <v>13</v>
      </c>
      <c r="C29" s="16"/>
      <c r="D29" s="7"/>
      <c r="E29" s="7"/>
      <c r="F29" s="47">
        <f t="shared" si="3"/>
        <v>-9694</v>
      </c>
      <c r="H29" s="20"/>
      <c r="I29" s="48"/>
      <c r="J29" s="14" t="s">
        <v>34</v>
      </c>
      <c r="K29" s="7"/>
      <c r="L29" s="49"/>
      <c r="M29" s="50"/>
      <c r="N29" s="51">
        <f>N10*N12</f>
        <v>35576</v>
      </c>
    </row>
    <row r="30" ht="12.75" customHeight="1">
      <c r="B30" s="16" t="s">
        <v>15</v>
      </c>
      <c r="C30" s="16"/>
      <c r="D30" s="7"/>
      <c r="E30" s="7"/>
      <c r="F30" s="47">
        <v>0</v>
      </c>
      <c r="H30" s="20"/>
      <c r="J30" s="14" t="s">
        <v>36</v>
      </c>
      <c r="L30" s="49"/>
      <c r="M30" s="50"/>
      <c r="N30" s="51">
        <f>N9*N12-N29</f>
        <v>17788</v>
      </c>
      <c r="P30" s="25"/>
    </row>
    <row r="31" ht="12.75" customHeight="1">
      <c r="B31" s="22" t="s">
        <v>41</v>
      </c>
      <c r="C31" s="22"/>
      <c r="D31" s="22"/>
      <c r="E31" s="22"/>
      <c r="F31" s="23">
        <f t="shared" si="4"/>
        <v>161797.59319499996</v>
      </c>
      <c r="H31" s="20"/>
      <c r="J31" s="14" t="s">
        <v>42</v>
      </c>
      <c r="K31" s="7"/>
      <c r="L31" s="49"/>
      <c r="M31" s="50"/>
      <c r="N31" s="52">
        <v>2000</v>
      </c>
      <c r="P31" s="25"/>
    </row>
    <row r="32" ht="12.75" customHeight="1">
      <c r="H32" s="20"/>
      <c r="J32" s="14" t="s">
        <v>43</v>
      </c>
      <c r="K32" s="7"/>
      <c r="L32" s="49"/>
      <c r="M32" s="50"/>
      <c r="N32" s="51">
        <f>-F29-N40</f>
        <v>9444</v>
      </c>
      <c r="P32" s="25"/>
    </row>
    <row r="33" ht="12.75" customHeight="1">
      <c r="B33" s="7" t="s">
        <v>20</v>
      </c>
      <c r="F33" s="53">
        <f t="shared" si="3"/>
        <v>2089.008865</v>
      </c>
      <c r="H33" s="20"/>
      <c r="J33" s="14" t="s">
        <v>44</v>
      </c>
      <c r="K33" s="7"/>
      <c r="L33" s="49"/>
      <c r="M33" s="50"/>
      <c r="N33" s="51">
        <f>N34-SUM(N29:N32)</f>
        <v>107433.59319499996</v>
      </c>
      <c r="P33" s="25"/>
    </row>
    <row r="34" ht="12.75" customHeight="1">
      <c r="B34" s="7"/>
      <c r="F34" s="35"/>
      <c r="H34" s="20"/>
      <c r="J34" s="54" t="s">
        <v>45</v>
      </c>
      <c r="K34" s="54"/>
      <c r="L34" s="55"/>
      <c r="M34" s="56"/>
      <c r="N34" s="57">
        <f>N41</f>
        <v>172241.59319499996</v>
      </c>
      <c r="P34" s="25"/>
    </row>
    <row r="35" ht="12.75" customHeight="1">
      <c r="D35" s="36" t="s">
        <v>22</v>
      </c>
      <c r="E35" s="36" t="s">
        <v>23</v>
      </c>
      <c r="F35" s="36" t="s">
        <v>24</v>
      </c>
      <c r="H35" s="20"/>
      <c r="P35" s="25"/>
    </row>
    <row r="36" ht="12.75" customHeight="1">
      <c r="B36" s="14" t="s">
        <v>26</v>
      </c>
      <c r="D36" s="58">
        <f t="shared" si="5" ref="D36:E37">D20</f>
        <v>7.198</v>
      </c>
      <c r="E36" s="59">
        <f t="shared" si="5"/>
        <v>40.16</v>
      </c>
      <c r="F36" s="53">
        <f>D36-((D36*E36)/$F$26)</f>
        <v>3.3437109333333335</v>
      </c>
      <c r="H36" s="20"/>
      <c r="N36" s="42" t="s">
        <v>40</v>
      </c>
      <c r="P36" s="25"/>
    </row>
    <row r="37" ht="12.75" customHeight="1">
      <c r="B37" s="14" t="s">
        <v>28</v>
      </c>
      <c r="D37" s="58">
        <f t="shared" si="5"/>
        <v>66.202</v>
      </c>
      <c r="E37" s="7"/>
      <c r="F37" s="60">
        <f t="shared" si="6"/>
        <v>66.202</v>
      </c>
      <c r="H37" s="20"/>
      <c r="J37" s="7" t="s">
        <v>46</v>
      </c>
      <c r="K37" s="7"/>
      <c r="M37" s="50"/>
      <c r="N37" s="51">
        <f t="shared" si="7" ref="N37:N38">F27</f>
        <v>161891.59319499996</v>
      </c>
      <c r="P37" s="25"/>
    </row>
    <row r="38" ht="12.75" customHeight="1">
      <c r="H38" s="20"/>
      <c r="J38" s="14" t="s">
        <v>47</v>
      </c>
      <c r="M38" s="50"/>
      <c r="N38" s="51">
        <f t="shared" si="7"/>
        <v>9600</v>
      </c>
      <c r="P38" s="25"/>
    </row>
    <row r="39" ht="12.75" customHeight="1">
      <c r="H39" s="20"/>
      <c r="J39" s="14" t="s">
        <v>16</v>
      </c>
      <c r="M39" s="50"/>
      <c r="N39" s="52">
        <v>500</v>
      </c>
      <c r="P39" s="25"/>
    </row>
    <row r="40" ht="12.75" customHeight="1">
      <c r="H40" s="20"/>
      <c r="J40" s="14" t="s">
        <v>14</v>
      </c>
      <c r="K40" s="7"/>
      <c r="M40" s="50"/>
      <c r="N40" s="52">
        <v>250</v>
      </c>
      <c r="P40" s="25"/>
    </row>
    <row r="41" ht="12.75" customHeight="1">
      <c r="H41" s="20"/>
      <c r="J41" s="54" t="s">
        <v>48</v>
      </c>
      <c r="K41" s="54"/>
      <c r="L41" s="56"/>
      <c r="M41" s="56"/>
      <c r="N41" s="57">
        <f t="shared" si="4"/>
        <v>172241.59319499996</v>
      </c>
      <c r="P41" s="25"/>
    </row>
    <row r="42" ht="12.75" customHeight="1">
      <c r="H42" s="20"/>
      <c r="P42" s="25"/>
    </row>
    <row r="43" ht="12.75" customHeight="1">
      <c r="H43" s="20"/>
      <c r="P43" s="25"/>
    </row>
    <row r="44" ht="12.75" customHeight="1">
      <c r="B44" s="4" t="s">
        <v>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ht="12.75" customHeight="1">
      <c r="B45" s="7"/>
      <c r="C45" s="7"/>
      <c r="D45" s="7"/>
      <c r="E45" s="7"/>
      <c r="G45" s="61"/>
      <c r="H45" s="62"/>
      <c r="I45" s="62"/>
      <c r="J45" s="62"/>
      <c r="K45" s="62"/>
      <c r="L45" s="62"/>
      <c r="M45" s="62"/>
      <c r="N45" s="62"/>
      <c r="O45" s="62"/>
      <c r="P45" s="62"/>
    </row>
    <row r="46" ht="12.75" customHeight="1">
      <c r="B46" s="63"/>
      <c r="C46" s="7"/>
      <c r="D46" s="7"/>
      <c r="E46" s="7"/>
      <c r="F46" s="64">
        <v>2022</v>
      </c>
      <c r="G46" s="64">
        <v>2023</v>
      </c>
      <c r="H46" s="64">
        <v>2024</v>
      </c>
      <c r="I46" s="65">
        <v>2025</v>
      </c>
      <c r="J46" s="65">
        <v>2026</v>
      </c>
      <c r="K46" s="65">
        <v>2027</v>
      </c>
      <c r="L46" s="65">
        <v>2028</v>
      </c>
      <c r="M46" s="65">
        <v>2029</v>
      </c>
      <c r="N46" s="65">
        <v>2030</v>
      </c>
      <c r="O46" s="62"/>
      <c r="P46" s="66" t="s">
        <v>50</v>
      </c>
    </row>
    <row r="47" ht="12.75" customHeight="1">
      <c r="B47" s="21" t="s">
        <v>51</v>
      </c>
      <c r="C47" s="7"/>
      <c r="D47" s="7"/>
      <c r="E47" s="7"/>
      <c r="F47" s="67"/>
      <c r="G47" s="67"/>
      <c r="H47" s="67"/>
      <c r="I47" s="62"/>
      <c r="J47" s="62"/>
      <c r="K47" s="62"/>
      <c r="L47" s="62"/>
      <c r="M47" s="62"/>
      <c r="N47" s="62"/>
      <c r="O47" s="62"/>
    </row>
    <row r="48" ht="12.75" customHeight="1" s="48" customFormat="1">
      <c r="A48" s="48"/>
      <c r="B48" s="21" t="s">
        <v>52</v>
      </c>
      <c r="C48" s="21"/>
      <c r="D48" s="21"/>
      <c r="E48" s="21"/>
      <c r="F48" s="68">
        <v>14029</v>
      </c>
      <c r="G48" s="68">
        <v>19832</v>
      </c>
      <c r="H48" s="68">
        <v>25087</v>
      </c>
      <c r="I48" s="51">
        <f t="shared" si="8" ref="I48:N48">H48*(1+I59)</f>
        <v>28265.015568666</v>
      </c>
      <c r="J48" s="51">
        <f t="shared" si="8"/>
        <v>31845.6214412617</v>
      </c>
      <c r="K48" s="51">
        <f t="shared" si="8"/>
        <v>35879.8176677604</v>
      </c>
      <c r="L48" s="51">
        <f t="shared" si="8"/>
        <v>40425.0649730994</v>
      </c>
      <c r="M48" s="51">
        <f t="shared" si="8"/>
        <v>45546.1031940443</v>
      </c>
      <c r="N48" s="51">
        <f t="shared" si="8"/>
        <v>51315.8733954531</v>
      </c>
      <c r="O48" s="62"/>
      <c r="P48" s="62"/>
      <c r="Q48" s="48"/>
      <c r="R48" s="48"/>
      <c r="S48" s="48"/>
      <c r="T48" s="48"/>
      <c r="U48" s="48"/>
    </row>
    <row r="49" ht="12.75" customHeight="1">
      <c r="B49" s="69" t="s">
        <v>53</v>
      </c>
      <c r="C49" s="7"/>
      <c r="D49" s="7"/>
      <c r="E49" s="7"/>
      <c r="G49" s="70">
        <f t="shared" si="9" ref="G49:N78">G48/F48-1</f>
        <v>0.4136431677240002</v>
      </c>
      <c r="H49" s="70">
        <f t="shared" si="9"/>
        <v>0.2649757966922146</v>
      </c>
      <c r="I49" s="70">
        <f t="shared" si="10" ref="I49:N73">H49+$P49</f>
        <v>0.2399757966922146</v>
      </c>
      <c r="J49" s="70">
        <f t="shared" si="10"/>
        <v>0.214975796692215</v>
      </c>
      <c r="K49" s="70">
        <f t="shared" si="10"/>
        <v>0.189975796692215</v>
      </c>
      <c r="L49" s="70">
        <f t="shared" si="10"/>
        <v>0.164975796692215</v>
      </c>
      <c r="M49" s="70">
        <f t="shared" si="10"/>
        <v>0.139975796692215</v>
      </c>
      <c r="N49" s="70">
        <f t="shared" si="10"/>
        <v>0.114975796692215</v>
      </c>
      <c r="O49" s="62"/>
      <c r="P49" s="71">
        <v>-0.025</v>
      </c>
    </row>
    <row r="50" ht="12.75" customHeight="1">
      <c r="B50" s="7" t="s">
        <v>54</v>
      </c>
      <c r="C50" s="7"/>
      <c r="D50" s="7"/>
      <c r="E50" s="7"/>
      <c r="F50" s="68">
        <v>-3090</v>
      </c>
      <c r="G50" s="68">
        <v>-5130</v>
      </c>
      <c r="H50" s="68">
        <v>-6884</v>
      </c>
      <c r="I50" s="51">
        <f t="shared" si="11" ref="I50:N52">I51*I$48</f>
        <v>-7614.73850786627</v>
      </c>
      <c r="J50" s="51">
        <f t="shared" si="11"/>
        <v>-8420.14377768072</v>
      </c>
      <c r="K50" s="51">
        <f t="shared" si="11"/>
        <v>-9307.40662643584</v>
      </c>
      <c r="L50" s="51">
        <f t="shared" si="11"/>
        <v>-10284.3414985934</v>
      </c>
      <c r="M50" s="51">
        <f t="shared" si="11"/>
        <v>-11359.4290715142</v>
      </c>
      <c r="N50" s="51">
        <f t="shared" si="11"/>
        <v>-12541.8596475524</v>
      </c>
      <c r="O50" s="62"/>
      <c r="P50" s="72"/>
    </row>
    <row r="51" ht="12.75" customHeight="1" s="6" customFormat="1">
      <c r="A51" s="6"/>
      <c r="B51" s="69" t="s">
        <v>55</v>
      </c>
      <c r="C51" s="63"/>
      <c r="D51" s="63"/>
      <c r="E51" s="63"/>
      <c r="F51" s="70">
        <f t="shared" si="12" ref="F51:H71">+F50/F48</f>
        <v>-0.2202580369235156</v>
      </c>
      <c r="G51" s="70">
        <f t="shared" si="12"/>
        <v>-0.258672851956434</v>
      </c>
      <c r="H51" s="70">
        <f t="shared" si="12"/>
        <v>-0.27440507035516404</v>
      </c>
      <c r="I51" s="70">
        <f t="shared" si="10"/>
        <v>-0.26940507035516403</v>
      </c>
      <c r="J51" s="70">
        <f t="shared" si="10"/>
        <v>-0.26440507035516403</v>
      </c>
      <c r="K51" s="70">
        <f t="shared" si="10"/>
        <v>-0.259405070355164</v>
      </c>
      <c r="L51" s="70">
        <f t="shared" si="10"/>
        <v>-0.254405070355164</v>
      </c>
      <c r="M51" s="70">
        <f t="shared" si="10"/>
        <v>-0.24940507035516402</v>
      </c>
      <c r="N51" s="70">
        <f t="shared" si="10"/>
        <v>-0.244405070355164</v>
      </c>
      <c r="O51" s="73"/>
      <c r="P51" s="71">
        <v>0.005</v>
      </c>
      <c r="Q51" s="6"/>
      <c r="R51" s="6"/>
      <c r="S51" s="6"/>
      <c r="T51" s="6"/>
      <c r="U51" s="6"/>
    </row>
    <row r="52" ht="12.75" customHeight="1">
      <c r="B52" s="7" t="s">
        <v>56</v>
      </c>
      <c r="C52" s="7"/>
      <c r="D52" s="7"/>
      <c r="E52" s="7"/>
      <c r="F52" s="68">
        <v>-7640</v>
      </c>
      <c r="G52" s="68">
        <v>-9739</v>
      </c>
      <c r="H52" s="68">
        <v>-11706</v>
      </c>
      <c r="I52" s="51">
        <f t="shared" si="11"/>
        <v>-13188.9134709931</v>
      </c>
      <c r="J52" s="51">
        <f t="shared" si="11"/>
        <v>-14859.6820899832</v>
      </c>
      <c r="K52" s="51">
        <f t="shared" si="11"/>
        <v>-16742.1033052499</v>
      </c>
      <c r="L52" s="51">
        <f t="shared" si="11"/>
        <v>-18862.9892205167</v>
      </c>
      <c r="M52" s="51">
        <f t="shared" si="11"/>
        <v>-21252.5484908312</v>
      </c>
      <c r="N52" s="51">
        <f t="shared" si="11"/>
        <v>-23944.8165969296</v>
      </c>
      <c r="O52" s="62"/>
      <c r="P52" s="62"/>
    </row>
    <row r="53" ht="12.75" customHeight="1" s="6" customFormat="1">
      <c r="A53" s="6"/>
      <c r="B53" s="69" t="s">
        <v>55</v>
      </c>
      <c r="C53" s="63"/>
      <c r="D53" s="63"/>
      <c r="E53" s="63"/>
      <c r="F53" s="74">
        <f t="shared" si="13" ref="F53:H73">+F52/F48</f>
        <v>-0.5445862142704399</v>
      </c>
      <c r="G53" s="70">
        <f t="shared" si="13"/>
        <v>-0.49107503025413474</v>
      </c>
      <c r="H53" s="70">
        <f t="shared" si="13"/>
        <v>-0.4666161757085343</v>
      </c>
      <c r="I53" s="70">
        <f t="shared" si="10"/>
        <v>-0.4666161757085343</v>
      </c>
      <c r="J53" s="70">
        <f t="shared" si="10"/>
        <v>-0.4666161757085343</v>
      </c>
      <c r="K53" s="70">
        <f t="shared" si="10"/>
        <v>-0.4666161757085343</v>
      </c>
      <c r="L53" s="70">
        <f t="shared" si="10"/>
        <v>-0.4666161757085343</v>
      </c>
      <c r="M53" s="70">
        <f t="shared" si="10"/>
        <v>-0.4666161757085343</v>
      </c>
      <c r="N53" s="70">
        <f t="shared" si="10"/>
        <v>-0.4666161757085343</v>
      </c>
      <c r="O53" s="73"/>
      <c r="P53" s="71">
        <v>0</v>
      </c>
      <c r="Q53" s="6"/>
      <c r="R53" s="6"/>
      <c r="S53" s="6"/>
      <c r="T53" s="6"/>
      <c r="U53" s="6"/>
    </row>
    <row r="54" ht="12.75" customHeight="1" s="48" customFormat="1">
      <c r="A54" s="48"/>
      <c r="B54" s="22" t="s">
        <v>57</v>
      </c>
      <c r="C54" s="22"/>
      <c r="D54" s="22"/>
      <c r="E54" s="22"/>
      <c r="F54" s="75">
        <f t="shared" si="14" ref="F54:N74">SUM(F48,F50,F52)</f>
        <v>3299</v>
      </c>
      <c r="G54" s="75">
        <f t="shared" si="14"/>
        <v>4963</v>
      </c>
      <c r="H54" s="75">
        <f t="shared" si="14"/>
        <v>6497</v>
      </c>
      <c r="I54" s="75">
        <f t="shared" si="14"/>
        <v>7461.36358980663</v>
      </c>
      <c r="J54" s="75">
        <f t="shared" si="14"/>
        <v>8565.79557359778</v>
      </c>
      <c r="K54" s="75">
        <f t="shared" si="14"/>
        <v>9830.30773607466</v>
      </c>
      <c r="L54" s="75">
        <f t="shared" si="14"/>
        <v>11277.7342539893</v>
      </c>
      <c r="M54" s="75">
        <f t="shared" si="14"/>
        <v>12934.1256316989</v>
      </c>
      <c r="N54" s="75">
        <f t="shared" si="14"/>
        <v>14829.1971509711</v>
      </c>
      <c r="O54" s="62"/>
      <c r="P54" s="62"/>
      <c r="Q54" s="48"/>
      <c r="R54" s="48"/>
      <c r="S54" s="48"/>
      <c r="T54" s="48"/>
      <c r="U54" s="48"/>
    </row>
    <row r="55" ht="12.75" customHeight="1" s="6" customFormat="1">
      <c r="A55" s="6"/>
      <c r="B55" s="69" t="s">
        <v>58</v>
      </c>
      <c r="C55" s="63"/>
      <c r="D55" s="63"/>
      <c r="E55" s="63"/>
      <c r="F55" s="70">
        <f t="shared" si="15" ref="F55:N84">F54/F48</f>
        <v>0.23515574880604462</v>
      </c>
      <c r="G55" s="70">
        <f t="shared" si="15"/>
        <v>0.25025211778943124</v>
      </c>
      <c r="H55" s="70">
        <f t="shared" si="15"/>
        <v>0.25897875393630165</v>
      </c>
      <c r="I55" s="70">
        <f t="shared" si="15"/>
        <v>0.263978753936302</v>
      </c>
      <c r="J55" s="70">
        <f t="shared" si="15"/>
        <v>0.268978753936303</v>
      </c>
      <c r="K55" s="70">
        <f t="shared" si="15"/>
        <v>0.273978753936301</v>
      </c>
      <c r="L55" s="70">
        <f t="shared" si="15"/>
        <v>0.278978753936302</v>
      </c>
      <c r="M55" s="70">
        <f t="shared" si="15"/>
        <v>0.283978753936301</v>
      </c>
      <c r="N55" s="70">
        <f t="shared" si="15"/>
        <v>0.288978753936303</v>
      </c>
      <c r="O55" s="73"/>
      <c r="P55" s="73"/>
      <c r="Q55" s="6"/>
      <c r="R55" s="6"/>
      <c r="S55" s="6"/>
      <c r="T55" s="6"/>
      <c r="U55" s="6"/>
    </row>
    <row r="56" ht="12.75" customHeight="1" s="6" customFormat="1">
      <c r="A56" s="6"/>
      <c r="B56" s="69"/>
      <c r="C56" s="63"/>
      <c r="D56" s="63"/>
      <c r="E56" s="63"/>
      <c r="F56" s="6"/>
      <c r="G56" s="6"/>
      <c r="H56" s="6"/>
      <c r="I56" s="73"/>
      <c r="J56" s="73"/>
      <c r="K56" s="73"/>
      <c r="L56" s="73"/>
      <c r="M56" s="73"/>
      <c r="N56" s="73"/>
      <c r="O56" s="73"/>
      <c r="P56" s="73"/>
      <c r="Q56" s="6"/>
      <c r="R56" s="6"/>
      <c r="S56" s="6"/>
      <c r="T56" s="6"/>
      <c r="U56" s="6"/>
    </row>
    <row r="57" ht="12.75" customHeight="1" s="6" customFormat="1">
      <c r="A57" s="6"/>
      <c r="B57" s="21" t="s">
        <v>59</v>
      </c>
      <c r="C57" s="63"/>
      <c r="D57" s="63"/>
      <c r="E57" s="63"/>
      <c r="F57" s="6"/>
      <c r="G57" s="6"/>
      <c r="H57" s="6"/>
      <c r="I57" s="73"/>
      <c r="J57" s="73"/>
      <c r="K57" s="73"/>
      <c r="L57" s="73"/>
      <c r="M57" s="73"/>
      <c r="N57" s="73"/>
      <c r="O57" s="73"/>
      <c r="P57" s="73"/>
      <c r="Q57" s="6"/>
      <c r="R57" s="6"/>
      <c r="S57" s="6"/>
      <c r="T57" s="6"/>
      <c r="U57" s="6"/>
    </row>
    <row r="58" ht="12.75" customHeight="1" s="76" customFormat="1">
      <c r="A58" s="76"/>
      <c r="B58" s="21" t="s">
        <v>60</v>
      </c>
      <c r="C58" s="77"/>
      <c r="D58" s="77"/>
      <c r="E58" s="77"/>
      <c r="F58" s="68">
        <v>10901</v>
      </c>
      <c r="G58" s="68">
        <v>12204</v>
      </c>
      <c r="H58" s="68">
        <v>13750</v>
      </c>
      <c r="I58" s="51">
        <f t="shared" si="16" ref="I58:N68">H58*(1+I59)</f>
        <v>15491.846935431005</v>
      </c>
      <c r="J58" s="51">
        <f t="shared" si="16"/>
        <v>17454.350652423494</v>
      </c>
      <c r="K58" s="51">
        <f t="shared" si="16"/>
        <v>19665.46390288619</v>
      </c>
      <c r="L58" s="51">
        <f t="shared" si="16"/>
        <v>22156.680487109563</v>
      </c>
      <c r="M58" s="51">
        <f t="shared" si="16"/>
        <v>24963.483832985617</v>
      </c>
      <c r="N58" s="51">
        <f t="shared" si="16"/>
        <v>28125.85240114325</v>
      </c>
      <c r="O58" s="62"/>
      <c r="P58" s="62"/>
      <c r="Q58" s="76"/>
      <c r="R58" s="76"/>
      <c r="S58" s="76"/>
      <c r="T58" s="76"/>
      <c r="U58" s="76"/>
    </row>
    <row r="59" ht="12.75" customHeight="1" s="6" customFormat="1">
      <c r="A59" s="6"/>
      <c r="B59" s="69" t="s">
        <v>61</v>
      </c>
      <c r="C59" s="63"/>
      <c r="D59" s="63"/>
      <c r="E59" s="63"/>
      <c r="F59" s="74"/>
      <c r="G59" s="70">
        <f t="shared" si="9"/>
        <v>0.11953031831942029</v>
      </c>
      <c r="H59" s="70">
        <f t="shared" si="9"/>
        <v>0.12667977712225498</v>
      </c>
      <c r="I59" s="70">
        <f t="shared" si="10"/>
        <v>0.12667977712225498</v>
      </c>
      <c r="J59" s="70">
        <f t="shared" si="10"/>
        <v>0.12667977712225498</v>
      </c>
      <c r="K59" s="70">
        <f t="shared" si="10"/>
        <v>0.12667977712225498</v>
      </c>
      <c r="L59" s="70">
        <f t="shared" si="10"/>
        <v>0.12667977712225498</v>
      </c>
      <c r="M59" s="70">
        <f t="shared" si="10"/>
        <v>0.12667977712225498</v>
      </c>
      <c r="N59" s="70">
        <f t="shared" si="10"/>
        <v>0.12667977712225498</v>
      </c>
      <c r="O59" s="62"/>
      <c r="P59" s="71">
        <v>0</v>
      </c>
      <c r="Q59" s="6"/>
      <c r="R59" s="6"/>
      <c r="S59" s="6"/>
      <c r="T59" s="6"/>
      <c r="U59" s="6"/>
    </row>
    <row r="60" ht="12.75" customHeight="1" s="6" customFormat="1">
      <c r="A60" s="6"/>
      <c r="B60" s="7" t="s">
        <v>62</v>
      </c>
      <c r="C60" s="63"/>
      <c r="D60" s="63"/>
      <c r="E60" s="63"/>
      <c r="F60" s="68">
        <v>-4788</v>
      </c>
      <c r="G60" s="68">
        <v>-5329</v>
      </c>
      <c r="H60" s="68">
        <v>-5591</v>
      </c>
      <c r="I60" s="51">
        <f t="shared" si="17" ref="I60:N62">I61*I$58</f>
        <v>-6268.282940019665</v>
      </c>
      <c r="J60" s="51">
        <f t="shared" si="17"/>
        <v>-7027.438924495743</v>
      </c>
      <c r="K60" s="51">
        <f t="shared" si="17"/>
        <v>-7878.342393385351</v>
      </c>
      <c r="L60" s="51">
        <f t="shared" si="17"/>
        <v>-8832.055690898002</v>
      </c>
      <c r="M60" s="51">
        <f t="shared" si="17"/>
        <v>-9900.971569686331</v>
      </c>
      <c r="N60" s="51">
        <f t="shared" si="17"/>
        <v>-11098.972736625692</v>
      </c>
      <c r="O60" s="62"/>
      <c r="P60" s="72"/>
      <c r="Q60" s="6"/>
      <c r="R60" s="6"/>
      <c r="S60" s="6"/>
      <c r="T60" s="6"/>
      <c r="U60" s="6"/>
    </row>
    <row r="61" ht="12.75" customHeight="1" s="6" customFormat="1">
      <c r="A61" s="6"/>
      <c r="B61" s="69" t="s">
        <v>63</v>
      </c>
      <c r="C61" s="63"/>
      <c r="D61" s="63"/>
      <c r="E61" s="63"/>
      <c r="F61" s="70">
        <f t="shared" si="12"/>
        <v>-0.4392257591046693</v>
      </c>
      <c r="G61" s="70">
        <f t="shared" si="12"/>
        <v>-0.4366601114388725</v>
      </c>
      <c r="H61" s="70">
        <f t="shared" si="12"/>
        <v>-0.4066181818181818</v>
      </c>
      <c r="I61" s="70">
        <f t="shared" si="10"/>
        <v>-0.4046181818181818</v>
      </c>
      <c r="J61" s="70">
        <f t="shared" si="10"/>
        <v>-0.4026181818181818</v>
      </c>
      <c r="K61" s="70">
        <f t="shared" si="10"/>
        <v>-0.4006181818181818</v>
      </c>
      <c r="L61" s="70">
        <f t="shared" si="10"/>
        <v>-0.3986181818181818</v>
      </c>
      <c r="M61" s="70">
        <f t="shared" si="10"/>
        <v>-0.3966181818181818</v>
      </c>
      <c r="N61" s="70">
        <f t="shared" si="10"/>
        <v>-0.3946181818181818</v>
      </c>
      <c r="O61" s="73"/>
      <c r="P61" s="71">
        <v>0.002</v>
      </c>
      <c r="Q61" s="6"/>
      <c r="R61" s="6"/>
      <c r="S61" s="6"/>
      <c r="T61" s="6"/>
      <c r="U61" s="6"/>
    </row>
    <row r="62" ht="12.75" customHeight="1" s="6" customFormat="1">
      <c r="A62" s="6"/>
      <c r="B62" s="7" t="s">
        <v>64</v>
      </c>
      <c r="C62" s="63"/>
      <c r="D62" s="63"/>
      <c r="E62" s="63"/>
      <c r="F62" s="68">
        <v>-5562</v>
      </c>
      <c r="G62" s="68">
        <v>-5369</v>
      </c>
      <c r="H62" s="68">
        <v>-5688</v>
      </c>
      <c r="I62" s="51">
        <f t="shared" si="17"/>
        <v>-6408.554572271386</v>
      </c>
      <c r="J62" s="51">
        <f t="shared" si="17"/>
        <v>-7220.3888371625335</v>
      </c>
      <c r="K62" s="51">
        <f t="shared" si="17"/>
        <v>-8135.066085790301</v>
      </c>
      <c r="L62" s="51">
        <f t="shared" si="17"/>
        <v>-9165.614444413031</v>
      </c>
      <c r="M62" s="51">
        <f t="shared" si="17"/>
        <v>-10326.712439419794</v>
      </c>
      <c r="N62" s="51">
        <f t="shared" si="17"/>
        <v>-11634.898069651112</v>
      </c>
      <c r="O62" s="62"/>
      <c r="P62" s="62"/>
      <c r="Q62" s="6"/>
      <c r="R62" s="6"/>
      <c r="S62" s="6"/>
      <c r="T62" s="6"/>
      <c r="U62" s="6"/>
    </row>
    <row r="63" ht="12.75" customHeight="1" s="6" customFormat="1">
      <c r="A63" s="6"/>
      <c r="B63" s="69" t="s">
        <v>63</v>
      </c>
      <c r="C63" s="63"/>
      <c r="D63" s="63"/>
      <c r="E63" s="63"/>
      <c r="F63" s="70">
        <f t="shared" si="13"/>
        <v>-0.5102284194110632</v>
      </c>
      <c r="G63" s="70">
        <f t="shared" si="13"/>
        <v>-0.43993772533595543</v>
      </c>
      <c r="H63" s="70">
        <f t="shared" si="13"/>
        <v>-0.41367272727272725</v>
      </c>
      <c r="I63" s="70">
        <f t="shared" si="10"/>
        <v>-0.41367272727272725</v>
      </c>
      <c r="J63" s="70">
        <f t="shared" si="10"/>
        <v>-0.41367272727272725</v>
      </c>
      <c r="K63" s="70">
        <f t="shared" si="10"/>
        <v>-0.41367272727272725</v>
      </c>
      <c r="L63" s="70">
        <f t="shared" si="10"/>
        <v>-0.41367272727272725</v>
      </c>
      <c r="M63" s="70">
        <f t="shared" si="10"/>
        <v>-0.41367272727272725</v>
      </c>
      <c r="N63" s="70">
        <f t="shared" si="10"/>
        <v>-0.41367272727272725</v>
      </c>
      <c r="O63" s="73"/>
      <c r="P63" s="71">
        <v>0</v>
      </c>
      <c r="Q63" s="6"/>
      <c r="R63" s="6"/>
      <c r="S63" s="6"/>
      <c r="T63" s="6"/>
      <c r="U63" s="6"/>
    </row>
    <row r="64" ht="12.75" customHeight="1" s="76" customFormat="1">
      <c r="A64" s="76"/>
      <c r="B64" s="22" t="s">
        <v>65</v>
      </c>
      <c r="C64" s="78"/>
      <c r="D64" s="78"/>
      <c r="E64" s="78"/>
      <c r="F64" s="75">
        <f t="shared" si="14"/>
        <v>551</v>
      </c>
      <c r="G64" s="75">
        <f t="shared" si="14"/>
        <v>1506</v>
      </c>
      <c r="H64" s="75">
        <f t="shared" si="14"/>
        <v>2471</v>
      </c>
      <c r="I64" s="75">
        <f t="shared" si="14"/>
        <v>2815.0094231399535</v>
      </c>
      <c r="J64" s="75">
        <f t="shared" si="14"/>
        <v>3206.522890765219</v>
      </c>
      <c r="K64" s="75">
        <f t="shared" si="14"/>
        <v>3652.055423710536</v>
      </c>
      <c r="L64" s="75">
        <f t="shared" si="14"/>
        <v>4159.01035179853</v>
      </c>
      <c r="M64" s="75">
        <f t="shared" si="14"/>
        <v>4735.799823879492</v>
      </c>
      <c r="N64" s="75">
        <f t="shared" si="14"/>
        <v>5391.981594866445</v>
      </c>
      <c r="O64" s="62"/>
      <c r="P64" s="62"/>
      <c r="Q64" s="76"/>
      <c r="R64" s="76"/>
      <c r="S64" s="76"/>
      <c r="T64" s="76"/>
      <c r="U64" s="76"/>
    </row>
    <row r="65" ht="12.75" customHeight="1" s="6" customFormat="1">
      <c r="A65" s="6"/>
      <c r="B65" s="69" t="s">
        <v>66</v>
      </c>
      <c r="C65" s="63"/>
      <c r="D65" s="63"/>
      <c r="E65" s="63"/>
      <c r="F65" s="70">
        <f t="shared" si="15"/>
        <v>0.0505458214842675</v>
      </c>
      <c r="G65" s="70">
        <f t="shared" si="15"/>
        <v>0.12340216322517207</v>
      </c>
      <c r="H65" s="70">
        <f t="shared" si="15"/>
        <v>0.1797090909090909</v>
      </c>
      <c r="I65" s="70">
        <f t="shared" si="15"/>
        <v>0.18170909090909088</v>
      </c>
      <c r="J65" s="70">
        <f t="shared" si="15"/>
        <v>0.18370909090909096</v>
      </c>
      <c r="K65" s="70">
        <f t="shared" si="15"/>
        <v>0.18570909090909085</v>
      </c>
      <c r="L65" s="70">
        <f t="shared" si="15"/>
        <v>0.18770909090909094</v>
      </c>
      <c r="M65" s="70">
        <f t="shared" si="15"/>
        <v>0.189709090909091</v>
      </c>
      <c r="N65" s="70">
        <f t="shared" si="15"/>
        <v>0.19170909090909097</v>
      </c>
      <c r="O65" s="73"/>
      <c r="P65" s="73"/>
      <c r="Q65" s="6"/>
      <c r="R65" s="6"/>
      <c r="S65" s="6"/>
      <c r="T65" s="6"/>
      <c r="U65" s="6"/>
    </row>
    <row r="66" ht="12.75" customHeight="1" s="6" customFormat="1">
      <c r="A66" s="6"/>
      <c r="B66" s="69"/>
      <c r="C66" s="63"/>
      <c r="D66" s="63"/>
      <c r="E66" s="63"/>
      <c r="F66" s="6"/>
      <c r="G66" s="6"/>
      <c r="H66" s="6"/>
      <c r="I66" s="73"/>
      <c r="J66" s="73"/>
      <c r="K66" s="73"/>
      <c r="L66" s="73"/>
      <c r="M66" s="73"/>
      <c r="N66" s="73"/>
      <c r="O66" s="73"/>
      <c r="P66" s="73"/>
      <c r="Q66" s="6"/>
      <c r="R66" s="6"/>
      <c r="S66" s="6"/>
      <c r="T66" s="6"/>
      <c r="U66" s="6"/>
    </row>
    <row r="67" ht="12.75" customHeight="1" s="6" customFormat="1">
      <c r="A67" s="6"/>
      <c r="B67" s="21" t="s">
        <v>67</v>
      </c>
      <c r="C67" s="63"/>
      <c r="D67" s="63"/>
      <c r="E67" s="63"/>
      <c r="F67" s="6"/>
      <c r="G67" s="6"/>
      <c r="H67" s="6"/>
      <c r="I67" s="73"/>
      <c r="J67" s="73"/>
      <c r="K67" s="73"/>
      <c r="L67" s="73"/>
      <c r="M67" s="73"/>
      <c r="N67" s="73"/>
      <c r="O67" s="73"/>
      <c r="P67" s="73"/>
      <c r="Q67" s="6"/>
      <c r="R67" s="6"/>
      <c r="S67" s="6"/>
      <c r="T67" s="6"/>
      <c r="U67" s="6"/>
    </row>
    <row r="68" ht="12.75" customHeight="1" s="6" customFormat="1">
      <c r="A68" s="6"/>
      <c r="B68" s="7" t="s">
        <v>68</v>
      </c>
      <c r="C68" s="63"/>
      <c r="D68" s="63"/>
      <c r="E68" s="63"/>
      <c r="F68" s="68">
        <v>6947</v>
      </c>
      <c r="G68" s="68">
        <v>5245</v>
      </c>
      <c r="H68" s="68">
        <v>5141</v>
      </c>
      <c r="I68" s="51">
        <f t="shared" si="16"/>
        <v>5090.472154432793</v>
      </c>
      <c r="J68" s="51">
        <f t="shared" si="16"/>
        <v>5091.345638691895</v>
      </c>
      <c r="K68" s="51">
        <f t="shared" si="16"/>
        <v>5143.132729220821</v>
      </c>
      <c r="L68" s="51">
        <f t="shared" si="16"/>
        <v>5246.877904197287</v>
      </c>
      <c r="M68" s="51">
        <f t="shared" si="16"/>
        <v>5405.184563556528</v>
      </c>
      <c r="N68" s="51">
        <f t="shared" si="16"/>
        <v>5622.319432487197</v>
      </c>
      <c r="O68" s="62"/>
      <c r="P68" s="62"/>
      <c r="Q68" s="6"/>
      <c r="R68" s="6"/>
      <c r="S68" s="6"/>
      <c r="T68" s="6"/>
      <c r="U68" s="6"/>
    </row>
    <row r="69" ht="12.75" customHeight="1" s="6" customFormat="1">
      <c r="A69" s="6"/>
      <c r="B69" s="69" t="s">
        <v>69</v>
      </c>
      <c r="C69" s="63"/>
      <c r="D69" s="63"/>
      <c r="E69" s="63"/>
      <c r="F69" s="74"/>
      <c r="G69" s="70">
        <f t="shared" si="9"/>
        <v>-0.24499784079458764</v>
      </c>
      <c r="H69" s="70">
        <f t="shared" si="9"/>
        <v>-0.019828408007626308</v>
      </c>
      <c r="I69" s="70">
        <f t="shared" si="10"/>
        <v>-0.009828408007626308</v>
      </c>
      <c r="J69" s="70">
        <f t="shared" si="10"/>
        <v>0.00017159199237369235</v>
      </c>
      <c r="K69" s="70">
        <f t="shared" si="10"/>
        <v>0.010171591992373693</v>
      </c>
      <c r="L69" s="70">
        <f t="shared" si="10"/>
        <v>0.020171591992373693</v>
      </c>
      <c r="M69" s="70">
        <f t="shared" si="10"/>
        <v>0.030171591992373695</v>
      </c>
      <c r="N69" s="70">
        <f t="shared" si="10"/>
        <v>0.0401715919923737</v>
      </c>
      <c r="O69" s="62"/>
      <c r="P69" s="71">
        <v>0.01</v>
      </c>
      <c r="Q69" s="6"/>
      <c r="R69" s="6"/>
      <c r="S69" s="6"/>
      <c r="T69" s="6"/>
      <c r="U69" s="6"/>
    </row>
    <row r="70" ht="12.75" customHeight="1" s="6" customFormat="1">
      <c r="A70" s="6"/>
      <c r="B70" s="7" t="s">
        <v>70</v>
      </c>
      <c r="C70" s="63"/>
      <c r="D70" s="63"/>
      <c r="E70" s="63"/>
      <c r="F70" s="68">
        <v>-6300</v>
      </c>
      <c r="G70" s="68">
        <v>-4714</v>
      </c>
      <c r="H70" s="68">
        <v>-4652</v>
      </c>
      <c r="I70" s="51">
        <f t="shared" si="18" ref="I70:N72">I71*I$68</f>
        <v>-4580.8258851763585</v>
      </c>
      <c r="J70" s="51">
        <f t="shared" si="18"/>
        <v>-4556.155190023253</v>
      </c>
      <c r="K70" s="51">
        <f t="shared" si="18"/>
        <v>-4576.782878024002</v>
      </c>
      <c r="L70" s="51">
        <f t="shared" si="18"/>
        <v>-4642.869485356197</v>
      </c>
      <c r="M70" s="51">
        <f t="shared" si="18"/>
        <v>-4755.926326324424</v>
      </c>
      <c r="N70" s="51">
        <f t="shared" si="18"/>
        <v>-4918.867861088882</v>
      </c>
      <c r="O70" s="62"/>
      <c r="P70" s="72"/>
      <c r="Q70" s="6"/>
      <c r="R70" s="6"/>
      <c r="S70" s="6"/>
      <c r="T70" s="6"/>
      <c r="U70" s="6"/>
    </row>
    <row r="71" ht="12.75" customHeight="1" s="6" customFormat="1">
      <c r="A71" s="6"/>
      <c r="B71" s="69" t="s">
        <v>71</v>
      </c>
      <c r="C71" s="63"/>
      <c r="D71" s="63"/>
      <c r="E71" s="63"/>
      <c r="F71" s="70">
        <f t="shared" si="12"/>
        <v>-0.9068662732114582</v>
      </c>
      <c r="G71" s="70">
        <f t="shared" si="12"/>
        <v>-0.8987607244995234</v>
      </c>
      <c r="H71" s="70">
        <f t="shared" si="12"/>
        <v>-0.9048823186150554</v>
      </c>
      <c r="I71" s="70">
        <f t="shared" si="10"/>
        <v>-0.8998823186150554</v>
      </c>
      <c r="J71" s="70">
        <f t="shared" si="10"/>
        <v>-0.8948823186150554</v>
      </c>
      <c r="K71" s="70">
        <f t="shared" si="10"/>
        <v>-0.8898823186150554</v>
      </c>
      <c r="L71" s="70">
        <f t="shared" si="10"/>
        <v>-0.8848823186150554</v>
      </c>
      <c r="M71" s="70">
        <f t="shared" si="10"/>
        <v>-0.8798823186150554</v>
      </c>
      <c r="N71" s="70">
        <f t="shared" si="10"/>
        <v>-0.8748823186150554</v>
      </c>
      <c r="O71" s="73"/>
      <c r="P71" s="71">
        <v>0.005</v>
      </c>
      <c r="Q71" s="6"/>
      <c r="R71" s="6"/>
      <c r="S71" s="6"/>
      <c r="T71" s="6"/>
      <c r="U71" s="6"/>
    </row>
    <row r="72" ht="12.75" customHeight="1" s="6" customFormat="1">
      <c r="A72" s="6"/>
      <c r="B72" s="7" t="s">
        <v>72</v>
      </c>
      <c r="C72" s="63"/>
      <c r="D72" s="63"/>
      <c r="E72" s="63"/>
      <c r="F72" s="68">
        <v>-647</v>
      </c>
      <c r="G72" s="68">
        <v>-595</v>
      </c>
      <c r="H72" s="68">
        <v>-563</v>
      </c>
      <c r="I72" s="51">
        <f t="shared" si="18"/>
        <v>-557.4666062917064</v>
      </c>
      <c r="J72" s="51">
        <f t="shared" si="18"/>
        <v>-557.5622630973618</v>
      </c>
      <c r="K72" s="51">
        <f t="shared" si="18"/>
        <v>-563.2335589479327</v>
      </c>
      <c r="L72" s="51">
        <f t="shared" si="18"/>
        <v>-574.594876495443</v>
      </c>
      <c r="M72" s="51">
        <f t="shared" si="18"/>
        <v>-591.9313186699718</v>
      </c>
      <c r="N72" s="51">
        <f t="shared" si="18"/>
        <v>-615.7101420910898</v>
      </c>
      <c r="O72" s="62"/>
      <c r="P72" s="62"/>
      <c r="Q72" s="6"/>
      <c r="R72" s="6"/>
      <c r="S72" s="6"/>
      <c r="T72" s="6"/>
      <c r="U72" s="6"/>
    </row>
    <row r="73" ht="12.75" customHeight="1" s="6" customFormat="1">
      <c r="A73" s="6"/>
      <c r="B73" s="69" t="s">
        <v>71</v>
      </c>
      <c r="C73" s="63"/>
      <c r="D73" s="63"/>
      <c r="E73" s="63"/>
      <c r="F73" s="70">
        <f t="shared" si="13"/>
        <v>-0.09313372678854182</v>
      </c>
      <c r="G73" s="70">
        <f t="shared" si="13"/>
        <v>-0.11344137273593899</v>
      </c>
      <c r="H73" s="70">
        <f t="shared" si="13"/>
        <v>-0.10951176813849446</v>
      </c>
      <c r="I73" s="70">
        <f t="shared" si="10"/>
        <v>-0.10951176813849446</v>
      </c>
      <c r="J73" s="70">
        <f t="shared" si="10"/>
        <v>-0.10951176813849446</v>
      </c>
      <c r="K73" s="70">
        <f t="shared" si="10"/>
        <v>-0.10951176813849446</v>
      </c>
      <c r="L73" s="70">
        <f t="shared" si="10"/>
        <v>-0.10951176813849446</v>
      </c>
      <c r="M73" s="70">
        <f t="shared" si="10"/>
        <v>-0.10951176813849446</v>
      </c>
      <c r="N73" s="70">
        <f t="shared" si="10"/>
        <v>-0.10951176813849446</v>
      </c>
      <c r="O73" s="73"/>
      <c r="P73" s="71">
        <v>0</v>
      </c>
      <c r="Q73" s="6"/>
      <c r="R73" s="6"/>
      <c r="S73" s="6"/>
      <c r="T73" s="6"/>
      <c r="U73" s="6"/>
    </row>
    <row r="74" ht="12.75" customHeight="1" s="6" customFormat="1">
      <c r="A74" s="6"/>
      <c r="B74" s="22" t="s">
        <v>73</v>
      </c>
      <c r="C74" s="78"/>
      <c r="D74" s="78"/>
      <c r="E74" s="78"/>
      <c r="F74" s="75">
        <f t="shared" si="14"/>
        <v>0</v>
      </c>
      <c r="G74" s="75">
        <f t="shared" si="14"/>
        <v>-64</v>
      </c>
      <c r="H74" s="75">
        <f t="shared" si="14"/>
        <v>-74</v>
      </c>
      <c r="I74" s="75">
        <f t="shared" si="14"/>
        <v>-47.82033703527179</v>
      </c>
      <c r="J74" s="75">
        <f t="shared" si="14"/>
        <v>-22.371814428720086</v>
      </c>
      <c r="K74" s="75">
        <f t="shared" si="14"/>
        <v>3.1162922488864524</v>
      </c>
      <c r="L74" s="75">
        <f t="shared" si="14"/>
        <v>29.413542345646192</v>
      </c>
      <c r="M74" s="75">
        <f t="shared" si="14"/>
        <v>57.326918562132164</v>
      </c>
      <c r="N74" s="75">
        <f t="shared" si="14"/>
        <v>87.74142930722576</v>
      </c>
      <c r="O74" s="62"/>
      <c r="P74" s="62"/>
      <c r="Q74" s="6"/>
      <c r="R74" s="6"/>
      <c r="S74" s="6"/>
      <c r="T74" s="6"/>
      <c r="U74" s="6"/>
    </row>
    <row r="75" ht="12.75" customHeight="1">
      <c r="B75" s="69" t="s">
        <v>74</v>
      </c>
      <c r="C75" s="7"/>
      <c r="D75" s="7"/>
      <c r="E75" s="7"/>
      <c r="F75" s="70">
        <f t="shared" si="15"/>
        <v>0</v>
      </c>
      <c r="G75" s="70">
        <f t="shared" si="15"/>
        <v>-0.012202097235462344</v>
      </c>
      <c r="H75" s="70">
        <f t="shared" si="15"/>
        <v>-0.014394086753549893</v>
      </c>
      <c r="I75" s="70">
        <f t="shared" si="15"/>
        <v>-0.009394086753549913</v>
      </c>
      <c r="J75" s="70">
        <f t="shared" si="15"/>
        <v>-0.0043940867535498945</v>
      </c>
      <c r="K75" s="70">
        <f t="shared" si="15"/>
        <v>0.0006059132464501976</v>
      </c>
      <c r="L75" s="70">
        <f t="shared" si="15"/>
        <v>0.005605913246450154</v>
      </c>
      <c r="M75" s="70">
        <f t="shared" si="15"/>
        <v>0.01060591324645017</v>
      </c>
      <c r="N75" s="70">
        <f t="shared" si="15"/>
        <v>0.015605913246450099</v>
      </c>
      <c r="O75" s="73"/>
      <c r="P75" s="73"/>
    </row>
    <row r="76" ht="12.75" customHeight="1">
      <c r="B76" s="7"/>
      <c r="C76" s="7"/>
      <c r="D76" s="7"/>
      <c r="E76" s="7"/>
      <c r="I76" s="62"/>
      <c r="J76" s="62"/>
      <c r="K76" s="62"/>
      <c r="L76" s="62"/>
      <c r="M76" s="62"/>
      <c r="N76" s="62"/>
      <c r="O76" s="62"/>
      <c r="P76" s="62"/>
    </row>
    <row r="77" ht="12.75" customHeight="1">
      <c r="B77" s="21" t="s">
        <v>75</v>
      </c>
      <c r="C77" s="21"/>
      <c r="D77" s="21"/>
      <c r="E77" s="21"/>
      <c r="F77" s="79">
        <f t="shared" si="19" ref="F77:H77">SUM(F48,F58,F68)</f>
        <v>31877</v>
      </c>
      <c r="G77" s="79">
        <f t="shared" si="19"/>
        <v>37281</v>
      </c>
      <c r="H77" s="79">
        <f t="shared" si="19"/>
        <v>43978</v>
      </c>
      <c r="I77" s="79">
        <f t="shared" si="20" ref="I77:N77">SUM(I48,I58)</f>
        <v>43756.862504097</v>
      </c>
      <c r="J77" s="79">
        <f t="shared" si="20"/>
        <v>49299.9720936852</v>
      </c>
      <c r="K77" s="79">
        <f t="shared" si="20"/>
        <v>55545.2815706466</v>
      </c>
      <c r="L77" s="79">
        <f t="shared" si="20"/>
        <v>62581.745460209</v>
      </c>
      <c r="M77" s="79">
        <f t="shared" si="20"/>
        <v>70509.5870270299</v>
      </c>
      <c r="N77" s="79">
        <f t="shared" si="20"/>
        <v>79441.7257965964</v>
      </c>
      <c r="O77" s="80"/>
      <c r="P77" s="80"/>
    </row>
    <row r="78" ht="12.75" customHeight="1">
      <c r="B78" s="69" t="s">
        <v>76</v>
      </c>
      <c r="C78" s="69"/>
      <c r="D78" s="69"/>
      <c r="E78" s="7"/>
      <c r="F78" s="81"/>
      <c r="G78" s="82">
        <f t="shared" si="9"/>
        <v>0.16952661793769797</v>
      </c>
      <c r="H78" s="82">
        <f t="shared" si="9"/>
        <v>0.17963573938467325</v>
      </c>
      <c r="I78" s="82">
        <f t="shared" si="9"/>
        <v>-0.00502836636279502</v>
      </c>
      <c r="J78" s="82">
        <f t="shared" si="9"/>
        <v>0.126679777122256</v>
      </c>
      <c r="K78" s="82">
        <f t="shared" si="9"/>
        <v>0.126679777122254</v>
      </c>
      <c r="L78" s="82">
        <f t="shared" si="9"/>
        <v>0.126679777122255</v>
      </c>
      <c r="M78" s="82">
        <f t="shared" si="9"/>
        <v>0.126679777122254</v>
      </c>
      <c r="N78" s="82">
        <f t="shared" si="9"/>
        <v>0.126679777122256</v>
      </c>
      <c r="O78" s="83"/>
      <c r="P78" s="83"/>
    </row>
    <row r="79" ht="12.75" customHeight="1">
      <c r="B79" s="69"/>
      <c r="C79" s="69"/>
      <c r="D79" s="69"/>
      <c r="E79" s="7"/>
      <c r="F79" s="81"/>
      <c r="G79" s="81"/>
      <c r="I79" s="83"/>
      <c r="J79" s="83"/>
      <c r="K79" s="83"/>
      <c r="L79" s="83"/>
      <c r="M79" s="83"/>
      <c r="N79" s="83"/>
      <c r="O79" s="83"/>
      <c r="P79" s="83"/>
    </row>
    <row r="80" ht="12.75" customHeight="1">
      <c r="B80" s="21" t="s">
        <v>77</v>
      </c>
      <c r="C80" s="21"/>
      <c r="D80" s="21"/>
      <c r="E80" s="21"/>
      <c r="F80" s="79">
        <f t="shared" si="21" ref="F80:N80">SUM(F54,F64,F74)</f>
        <v>3850</v>
      </c>
      <c r="G80" s="79">
        <f t="shared" si="21"/>
        <v>6405</v>
      </c>
      <c r="H80" s="79">
        <f t="shared" si="21"/>
        <v>8894</v>
      </c>
      <c r="I80" s="79">
        <f t="shared" si="21"/>
        <v>10228.5526759113</v>
      </c>
      <c r="J80" s="79">
        <f t="shared" si="21"/>
        <v>11749.9466499343</v>
      </c>
      <c r="K80" s="79">
        <f t="shared" si="21"/>
        <v>13485.4794520341</v>
      </c>
      <c r="L80" s="79">
        <f t="shared" si="21"/>
        <v>15466.1581481335</v>
      </c>
      <c r="M80" s="79">
        <f t="shared" si="21"/>
        <v>17727.2523741405</v>
      </c>
      <c r="N80" s="79">
        <f t="shared" si="21"/>
        <v>20308.9201751448</v>
      </c>
      <c r="O80" s="80"/>
      <c r="P80" s="80"/>
    </row>
    <row r="81" ht="12.75" customHeight="1">
      <c r="B81" s="69" t="s">
        <v>78</v>
      </c>
      <c r="C81" s="69"/>
      <c r="D81" s="69"/>
      <c r="E81" s="7"/>
      <c r="F81" s="82">
        <f t="shared" si="22" ref="F81:N81">F80/F77</f>
        <v>0.12077673557737553</v>
      </c>
      <c r="G81" s="82">
        <f t="shared" si="22"/>
        <v>0.17180333145570129</v>
      </c>
      <c r="H81" s="82">
        <f t="shared" si="22"/>
        <v>0.2022374823775524</v>
      </c>
      <c r="I81" s="82">
        <f t="shared" si="22"/>
        <v>0.233758822972136</v>
      </c>
      <c r="J81" s="82">
        <f t="shared" si="22"/>
        <v>0.238335766754711</v>
      </c>
      <c r="K81" s="82">
        <f t="shared" si="22"/>
        <v>0.24278352851416</v>
      </c>
      <c r="L81" s="82">
        <f t="shared" si="22"/>
        <v>0.247135295354893</v>
      </c>
      <c r="M81" s="82">
        <f t="shared" si="22"/>
        <v>0.25141619915239</v>
      </c>
      <c r="N81" s="82">
        <f t="shared" si="22"/>
        <v>0.25564550582831</v>
      </c>
      <c r="O81" s="83"/>
      <c r="P81" s="83"/>
      <c r="Q81" s="84"/>
    </row>
    <row r="82" ht="12.75" customHeight="1">
      <c r="B82" s="69"/>
      <c r="C82" s="69"/>
      <c r="D82" s="69"/>
      <c r="E82" s="7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4"/>
    </row>
    <row r="83" ht="12.75" customHeight="1">
      <c r="B83" s="7" t="s">
        <v>79</v>
      </c>
      <c r="C83" s="7"/>
      <c r="D83" s="7"/>
      <c r="E83" s="7"/>
      <c r="F83" s="85">
        <v>-947</v>
      </c>
      <c r="G83" s="85">
        <v>-823</v>
      </c>
      <c r="H83" s="85">
        <v>-711</v>
      </c>
      <c r="I83" s="29">
        <f t="shared" si="23" ref="I83:N83">ABS(I84*I77)</f>
        <v>707.424831516053</v>
      </c>
      <c r="J83" s="29">
        <f t="shared" si="23"/>
        <v>797.041251503256</v>
      </c>
      <c r="K83" s="29">
        <f t="shared" si="23"/>
        <v>898.010259600931</v>
      </c>
      <c r="L83" s="29">
        <f t="shared" si="23"/>
        <v>1011.76999914067</v>
      </c>
      <c r="M83" s="29">
        <f t="shared" si="23"/>
        <v>1139.9407971308</v>
      </c>
      <c r="N83" s="29">
        <f t="shared" si="23"/>
        <v>1284.3482432439</v>
      </c>
      <c r="O83" s="86"/>
      <c r="P83" s="86"/>
    </row>
    <row r="84" ht="12.75" customHeight="1">
      <c r="B84" s="69" t="s">
        <v>80</v>
      </c>
      <c r="C84" s="7"/>
      <c r="D84" s="7"/>
      <c r="E84" s="7"/>
      <c r="F84" s="82">
        <f t="shared" si="15"/>
        <v>-0.029707939893967437</v>
      </c>
      <c r="G84" s="82">
        <f t="shared" si="15"/>
        <v>-0.022075588101177542</v>
      </c>
      <c r="H84" s="82">
        <f t="shared" si="15"/>
        <v>-0.016167174496339077</v>
      </c>
      <c r="I84" s="82">
        <f t="shared" si="24" ref="I84:N112">H84</f>
        <v>-0.016167174496339077</v>
      </c>
      <c r="J84" s="82">
        <f t="shared" si="24"/>
        <v>-0.016167174496339077</v>
      </c>
      <c r="K84" s="82">
        <f t="shared" si="24"/>
        <v>-0.016167174496339077</v>
      </c>
      <c r="L84" s="82">
        <f t="shared" si="24"/>
        <v>-0.016167174496339077</v>
      </c>
      <c r="M84" s="82">
        <f t="shared" si="24"/>
        <v>-0.016167174496339077</v>
      </c>
      <c r="N84" s="82">
        <f t="shared" si="24"/>
        <v>-0.016167174496339077</v>
      </c>
      <c r="O84" s="86"/>
      <c r="P84" s="86"/>
    </row>
    <row r="85" ht="12.75" customHeight="1">
      <c r="B85" s="69"/>
      <c r="C85" s="7"/>
      <c r="D85" s="7"/>
      <c r="E85" s="7"/>
      <c r="F85" s="83"/>
      <c r="G85" s="83"/>
      <c r="H85" s="83"/>
      <c r="I85" s="83"/>
      <c r="J85" s="83"/>
      <c r="K85" s="83"/>
      <c r="L85" s="83"/>
      <c r="M85" s="83"/>
      <c r="N85" s="83"/>
      <c r="O85" s="86"/>
      <c r="P85" s="86"/>
    </row>
    <row r="86" ht="12.75" customHeight="1">
      <c r="B86" s="21" t="s">
        <v>81</v>
      </c>
      <c r="C86" s="21"/>
      <c r="D86" s="21"/>
      <c r="E86" s="21"/>
      <c r="F86" s="79">
        <f t="shared" si="25" ref="F86:N86">SUM(F80,F83)</f>
        <v>2903</v>
      </c>
      <c r="G86" s="79">
        <f t="shared" si="25"/>
        <v>5582</v>
      </c>
      <c r="H86" s="79">
        <f t="shared" si="25"/>
        <v>8183</v>
      </c>
      <c r="I86" s="79">
        <f t="shared" si="25"/>
        <v>10935.9775074274</v>
      </c>
      <c r="J86" s="79">
        <f t="shared" si="25"/>
        <v>12546.9879014376</v>
      </c>
      <c r="K86" s="79">
        <f t="shared" si="25"/>
        <v>14383.489711635</v>
      </c>
      <c r="L86" s="79">
        <f t="shared" si="25"/>
        <v>16477.9281472742</v>
      </c>
      <c r="M86" s="79">
        <f t="shared" si="25"/>
        <v>18867.1931712713</v>
      </c>
      <c r="N86" s="79">
        <f t="shared" si="25"/>
        <v>21593.2684183887</v>
      </c>
      <c r="O86" s="80"/>
      <c r="P86" s="14" t="s">
        <v>82</v>
      </c>
    </row>
    <row r="87" ht="12.75" customHeight="1">
      <c r="B87" s="16" t="s">
        <v>83</v>
      </c>
      <c r="C87" s="7"/>
      <c r="D87" s="7"/>
      <c r="E87" s="7"/>
      <c r="G87" s="7"/>
      <c r="H87" s="7"/>
      <c r="I87" s="29">
        <f t="shared" si="26" ref="I87:N87">-I189*$P$87</f>
        <v>-4077.1602414523927</v>
      </c>
      <c r="J87" s="29">
        <f t="shared" si="26"/>
        <v>-3620.330991050385</v>
      </c>
      <c r="K87" s="29">
        <f t="shared" si="26"/>
        <v>-3073.696575723666</v>
      </c>
      <c r="L87" s="29">
        <f t="shared" si="26"/>
        <v>-2324.234442871999</v>
      </c>
      <c r="M87" s="29">
        <f t="shared" si="26"/>
        <v>-1119.2872869463256</v>
      </c>
      <c r="N87" s="29">
        <f t="shared" si="26"/>
        <v>-370.71279412199993</v>
      </c>
      <c r="O87" s="49"/>
      <c r="P87" s="87">
        <v>1</v>
      </c>
    </row>
    <row r="88" ht="12.75" customHeight="1">
      <c r="A88" s="48"/>
      <c r="B88" s="88" t="s">
        <v>84</v>
      </c>
      <c r="C88" s="88"/>
      <c r="D88" s="88"/>
      <c r="E88" s="88"/>
      <c r="F88" s="89">
        <f t="shared" si="27" ref="F88:N269">SUM(F86:F87)</f>
        <v>2903</v>
      </c>
      <c r="G88" s="88">
        <f t="shared" si="27"/>
        <v>5582</v>
      </c>
      <c r="H88" s="88">
        <f t="shared" si="27"/>
        <v>8183</v>
      </c>
      <c r="I88" s="90">
        <f t="shared" si="27"/>
        <v>6066.013307903895</v>
      </c>
      <c r="J88" s="90">
        <f t="shared" si="27"/>
        <v>8754.228245110007</v>
      </c>
      <c r="K88" s="90">
        <f t="shared" si="27"/>
        <v>11775.373122967947</v>
      </c>
      <c r="L88" s="90">
        <f t="shared" si="27"/>
        <v>15190.997608443755</v>
      </c>
      <c r="M88" s="90">
        <f t="shared" si="27"/>
        <v>19178.796913068378</v>
      </c>
      <c r="N88" s="90">
        <f t="shared" si="27"/>
        <v>22731.453908242034</v>
      </c>
      <c r="O88" s="80"/>
      <c r="P88" s="91"/>
      <c r="Q88" s="48"/>
      <c r="R88" s="48"/>
    </row>
    <row r="89" ht="12.75" customHeight="1">
      <c r="B89" s="16" t="s">
        <v>85</v>
      </c>
      <c r="C89" s="7"/>
      <c r="D89" s="7"/>
      <c r="E89" s="7"/>
      <c r="F89" s="92"/>
      <c r="G89" s="7"/>
      <c r="H89" s="7"/>
      <c r="I89" s="29">
        <f t="shared" si="28" ref="I89:N89">-I100</f>
        <v>-1633.0509414463625</v>
      </c>
      <c r="J89" s="29">
        <f t="shared" si="28"/>
        <v>-2013.4724963753017</v>
      </c>
      <c r="K89" s="29">
        <f t="shared" si="28"/>
        <v>-2708.3358182826278</v>
      </c>
      <c r="L89" s="29">
        <f t="shared" si="28"/>
        <v>-3493.929449942064</v>
      </c>
      <c r="M89" s="29">
        <f t="shared" si="28"/>
        <v>-4411.123290005727</v>
      </c>
      <c r="N89" s="29">
        <f t="shared" si="28"/>
        <v>-5228.234398895668</v>
      </c>
      <c r="O89" s="49"/>
      <c r="P89" s="93"/>
    </row>
    <row r="90" ht="12.75" customHeight="1">
      <c r="A90" s="48"/>
      <c r="B90" s="88" t="s">
        <v>86</v>
      </c>
      <c r="C90" s="88"/>
      <c r="D90" s="88"/>
      <c r="E90" s="88"/>
      <c r="F90" s="88"/>
      <c r="G90" s="88"/>
      <c r="H90" s="88"/>
      <c r="I90" s="90">
        <f t="shared" si="27"/>
        <v>4432.962366457533</v>
      </c>
      <c r="J90" s="90">
        <f t="shared" si="27"/>
        <v>6740.755748734706</v>
      </c>
      <c r="K90" s="90">
        <f t="shared" si="27"/>
        <v>9067.03730468532</v>
      </c>
      <c r="L90" s="90">
        <f t="shared" si="27"/>
        <v>11697.06815850169</v>
      </c>
      <c r="M90" s="90">
        <f t="shared" si="27"/>
        <v>14767.673623062652</v>
      </c>
      <c r="N90" s="90">
        <f t="shared" si="27"/>
        <v>17503.219509346367</v>
      </c>
      <c r="O90" s="80"/>
      <c r="P90" s="80"/>
      <c r="Q90" s="48"/>
      <c r="R90" s="48"/>
    </row>
    <row r="91" ht="12.75" customHeight="1">
      <c r="A91" s="48"/>
      <c r="B91" s="21"/>
      <c r="C91" s="21"/>
      <c r="D91" s="21"/>
      <c r="E91" s="21"/>
      <c r="F91" s="21"/>
      <c r="G91" s="21"/>
      <c r="H91" s="21"/>
      <c r="I91" s="94"/>
      <c r="J91" s="94"/>
      <c r="K91" s="94"/>
      <c r="L91" s="94"/>
      <c r="M91" s="94"/>
      <c r="N91" s="94"/>
      <c r="O91" s="80"/>
      <c r="P91" s="80"/>
      <c r="Q91" s="48"/>
      <c r="R91" s="48"/>
    </row>
    <row r="92" ht="12.75" customHeight="1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ht="12.75" customHeight="1">
      <c r="B93" s="4" t="s">
        <v>87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t="12.75" customHeight="1">
      <c r="B94" s="9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ht="12.75" customHeight="1">
      <c r="B95" s="95"/>
      <c r="C95" s="7"/>
      <c r="D95" s="7"/>
      <c r="E95" s="7"/>
      <c r="F95" s="7"/>
      <c r="G95" s="7"/>
      <c r="H95" s="7"/>
      <c r="I95" s="65">
        <v>2025</v>
      </c>
      <c r="J95" s="65">
        <v>2026</v>
      </c>
      <c r="K95" s="65">
        <v>2027</v>
      </c>
      <c r="L95" s="65">
        <v>2028</v>
      </c>
      <c r="M95" s="65">
        <v>2029</v>
      </c>
      <c r="N95" s="65">
        <v>2030</v>
      </c>
      <c r="O95" s="7"/>
      <c r="P95" s="7"/>
    </row>
    <row r="96" ht="12.75" customHeight="1">
      <c r="B96" s="96" t="s">
        <v>81</v>
      </c>
      <c r="C96" s="7"/>
      <c r="D96" s="7"/>
      <c r="E96" s="7"/>
      <c r="G96" s="61"/>
      <c r="H96" s="62"/>
      <c r="I96" s="47">
        <f t="shared" si="29" ref="I96:N186">I86</f>
        <v>10935.9775074274</v>
      </c>
      <c r="J96" s="47">
        <f t="shared" si="29"/>
        <v>12546.9879014376</v>
      </c>
      <c r="K96" s="47">
        <f t="shared" si="29"/>
        <v>14383.489711635</v>
      </c>
      <c r="L96" s="47">
        <f t="shared" si="29"/>
        <v>16477.9281472742</v>
      </c>
      <c r="M96" s="47">
        <f t="shared" si="29"/>
        <v>18867.1931712713</v>
      </c>
      <c r="N96" s="47">
        <f t="shared" si="29"/>
        <v>21593.2684183887</v>
      </c>
      <c r="O96" s="97"/>
      <c r="P96" s="97"/>
    </row>
    <row r="97" ht="12.75" customHeight="1">
      <c r="B97" s="16" t="s">
        <v>88</v>
      </c>
      <c r="C97" s="7"/>
      <c r="D97" s="7"/>
      <c r="E97" s="7"/>
      <c r="G97" s="61"/>
      <c r="H97" s="62"/>
      <c r="I97" s="29">
        <f t="shared" si="30" ref="I97:N97">-MIN(-I87,I98*I96)</f>
        <v>-3042.9520648068865</v>
      </c>
      <c r="J97" s="29">
        <f t="shared" si="30"/>
        <v>-3620.330991050385</v>
      </c>
      <c r="K97" s="29">
        <f t="shared" si="30"/>
        <v>-3073.696575723666</v>
      </c>
      <c r="L97" s="29">
        <f t="shared" si="30"/>
        <v>-2324.234442871999</v>
      </c>
      <c r="M97" s="29">
        <f t="shared" si="30"/>
        <v>-1119.2872869463256</v>
      </c>
      <c r="N97" s="29">
        <f t="shared" si="30"/>
        <v>-370.71279412199993</v>
      </c>
      <c r="O97" s="92"/>
      <c r="P97" s="49"/>
    </row>
    <row r="98" ht="12.75" customHeight="1">
      <c r="B98" s="69" t="s">
        <v>89</v>
      </c>
      <c r="C98" s="7"/>
      <c r="D98" s="7"/>
      <c r="E98" s="7"/>
      <c r="G98" s="61"/>
      <c r="H98" s="62"/>
      <c r="I98" s="98">
        <v>0.3</v>
      </c>
      <c r="J98" s="99">
        <f t="shared" si="24"/>
        <v>0.3</v>
      </c>
      <c r="K98" s="99">
        <f t="shared" si="24"/>
        <v>0.3</v>
      </c>
      <c r="L98" s="99">
        <f t="shared" si="24"/>
        <v>0.3</v>
      </c>
      <c r="M98" s="99">
        <f t="shared" si="24"/>
        <v>0.3</v>
      </c>
      <c r="N98" s="99">
        <f t="shared" si="24"/>
        <v>0.3</v>
      </c>
      <c r="O98" s="80"/>
      <c r="P98" s="80"/>
    </row>
    <row r="99" ht="12.75" customHeight="1">
      <c r="B99" s="88" t="s">
        <v>90</v>
      </c>
      <c r="C99" s="22"/>
      <c r="D99" s="22"/>
      <c r="E99" s="22"/>
      <c r="F99" s="100"/>
      <c r="G99" s="101"/>
      <c r="H99" s="102"/>
      <c r="I99" s="103">
        <f t="shared" si="31" ref="I99:N99">I96+I97</f>
        <v>7100.221484549402</v>
      </c>
      <c r="J99" s="103">
        <f t="shared" si="31"/>
        <v>8754.228245110007</v>
      </c>
      <c r="K99" s="103">
        <f t="shared" si="31"/>
        <v>11775.373122967947</v>
      </c>
      <c r="L99" s="103">
        <f t="shared" si="31"/>
        <v>15190.997608443755</v>
      </c>
      <c r="M99" s="103">
        <f t="shared" si="31"/>
        <v>19178.796913068378</v>
      </c>
      <c r="N99" s="103">
        <f t="shared" si="31"/>
        <v>22731.453908242034</v>
      </c>
      <c r="O99" s="80"/>
      <c r="P99" s="80"/>
    </row>
    <row r="100" ht="12.75" customHeight="1">
      <c r="B100" s="21" t="s">
        <v>91</v>
      </c>
      <c r="C100" s="7"/>
      <c r="D100" s="7"/>
      <c r="E100" s="7"/>
      <c r="F100" s="104">
        <f>N15</f>
        <v>0.23</v>
      </c>
      <c r="G100" s="61"/>
      <c r="H100" s="62"/>
      <c r="I100" s="79">
        <f t="shared" si="32" ref="I100:N100">I99*$F$100</f>
        <v>1633.0509414463625</v>
      </c>
      <c r="J100" s="79">
        <f t="shared" si="32"/>
        <v>2013.4724963753017</v>
      </c>
      <c r="K100" s="79">
        <f t="shared" si="32"/>
        <v>2708.3358182826278</v>
      </c>
      <c r="L100" s="79">
        <f t="shared" si="32"/>
        <v>3493.929449942064</v>
      </c>
      <c r="M100" s="79">
        <f t="shared" si="32"/>
        <v>4411.123290005727</v>
      </c>
      <c r="N100" s="79">
        <f t="shared" si="32"/>
        <v>5228.234398895668</v>
      </c>
      <c r="O100" s="80"/>
      <c r="P100" s="80"/>
    </row>
    <row r="101" ht="12.75" customHeight="1">
      <c r="B101" s="21"/>
      <c r="C101" s="7"/>
      <c r="D101" s="7"/>
      <c r="E101" s="7"/>
      <c r="F101" s="105"/>
      <c r="G101" s="61"/>
      <c r="H101" s="62"/>
      <c r="I101" s="106"/>
      <c r="J101" s="106"/>
      <c r="K101" s="106"/>
      <c r="L101" s="106"/>
      <c r="M101" s="106"/>
      <c r="N101" s="106"/>
      <c r="O101" s="80"/>
      <c r="P101" s="80"/>
    </row>
    <row r="102" ht="12.75" customHeight="1">
      <c r="B102" s="21"/>
      <c r="C102" s="7"/>
      <c r="D102" s="7"/>
      <c r="E102" s="7"/>
      <c r="F102" s="107"/>
      <c r="G102" s="61"/>
      <c r="H102" s="62"/>
      <c r="I102" s="106"/>
      <c r="J102" s="106"/>
      <c r="K102" s="106"/>
      <c r="L102" s="106"/>
      <c r="M102" s="106"/>
      <c r="N102" s="106"/>
      <c r="O102" s="80"/>
      <c r="P102" s="80"/>
    </row>
    <row r="103" ht="12.75" customHeight="1">
      <c r="B103" s="4" t="s">
        <v>92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t="12.75" customHeight="1">
      <c r="B104" s="7"/>
      <c r="C104" s="7"/>
      <c r="D104" s="7"/>
      <c r="E104" s="7"/>
      <c r="F104" s="7"/>
      <c r="H104" s="108"/>
      <c r="I104" s="62"/>
      <c r="J104" s="62"/>
      <c r="K104" s="62"/>
      <c r="L104" s="62"/>
      <c r="M104" s="62"/>
      <c r="N104" s="62"/>
      <c r="O104" s="62"/>
      <c r="P104" s="62"/>
    </row>
    <row r="105" ht="12.75" customHeight="1">
      <c r="B105" s="7"/>
      <c r="C105" s="7"/>
      <c r="D105" s="7"/>
      <c r="E105" s="7"/>
      <c r="F105" s="7"/>
      <c r="G105" s="64">
        <v>2023</v>
      </c>
      <c r="H105" s="64">
        <v>2024</v>
      </c>
      <c r="I105" s="65">
        <v>2025</v>
      </c>
      <c r="J105" s="65">
        <v>2026</v>
      </c>
      <c r="K105" s="65">
        <v>2027</v>
      </c>
      <c r="L105" s="65">
        <v>2028</v>
      </c>
      <c r="M105" s="65">
        <v>2029</v>
      </c>
      <c r="N105" s="65">
        <v>2030</v>
      </c>
      <c r="O105" s="109"/>
      <c r="P105" s="109"/>
    </row>
    <row r="106" ht="12.75" customHeight="1">
      <c r="B106" s="7" t="s">
        <v>93</v>
      </c>
      <c r="C106" s="7"/>
      <c r="D106" s="7"/>
      <c r="E106" s="7"/>
      <c r="F106" s="7"/>
      <c r="G106" s="85">
        <v>3404</v>
      </c>
      <c r="H106" s="85">
        <v>3333</v>
      </c>
      <c r="I106" s="110"/>
      <c r="J106" s="110"/>
      <c r="K106" s="110"/>
      <c r="L106" s="110"/>
      <c r="M106" s="110"/>
      <c r="N106" s="110"/>
      <c r="O106" s="62"/>
      <c r="P106" s="62"/>
    </row>
    <row r="107" ht="12.75" customHeight="1">
      <c r="B107" s="7" t="s">
        <v>94</v>
      </c>
      <c r="C107" s="7"/>
      <c r="D107" s="7"/>
      <c r="E107" s="7"/>
      <c r="F107" s="7"/>
      <c r="G107" s="85">
        <v>1681</v>
      </c>
      <c r="H107" s="85">
        <v>1390</v>
      </c>
      <c r="I107" s="110"/>
      <c r="J107" s="110"/>
      <c r="K107" s="110"/>
      <c r="L107" s="110"/>
      <c r="M107" s="110"/>
      <c r="N107" s="110"/>
      <c r="O107" s="62"/>
      <c r="P107" s="62"/>
    </row>
    <row r="108" ht="12.75" customHeight="1">
      <c r="B108" s="7" t="s">
        <v>95</v>
      </c>
      <c r="C108" s="7"/>
      <c r="D108" s="7"/>
      <c r="E108" s="7"/>
      <c r="F108" s="7"/>
      <c r="G108" s="85">
        <v>790</v>
      </c>
      <c r="H108" s="85">
        <v>858</v>
      </c>
      <c r="I108" s="110"/>
      <c r="J108" s="110"/>
      <c r="K108" s="110"/>
      <c r="L108" s="110"/>
      <c r="M108" s="110"/>
      <c r="N108" s="110"/>
      <c r="O108" s="62"/>
      <c r="P108" s="62"/>
    </row>
    <row r="109" ht="12.75" customHeight="1">
      <c r="B109" s="7" t="s">
        <v>96</v>
      </c>
      <c r="C109" s="7"/>
      <c r="D109" s="7"/>
      <c r="E109" s="7"/>
      <c r="F109" s="7"/>
      <c r="G109" s="85">
        <v>6397</v>
      </c>
      <c r="H109" s="85">
        <v>7689</v>
      </c>
      <c r="I109" s="110"/>
      <c r="J109" s="110"/>
      <c r="K109" s="110"/>
      <c r="L109" s="110"/>
      <c r="M109" s="110"/>
      <c r="N109" s="110"/>
      <c r="O109" s="62"/>
      <c r="P109" s="62"/>
    </row>
    <row r="110" ht="12.75" customHeight="1">
      <c r="B110" s="7" t="s">
        <v>97</v>
      </c>
      <c r="C110" s="7"/>
      <c r="D110" s="7"/>
      <c r="E110" s="7"/>
      <c r="F110" s="7"/>
      <c r="G110" s="111">
        <f t="shared" si="33" ref="G110:H110">SUM(G106:G107)-SUM(G108:G109)</f>
        <v>-2102</v>
      </c>
      <c r="H110" s="111">
        <f t="shared" si="33"/>
        <v>-3824</v>
      </c>
      <c r="I110" s="111">
        <f t="shared" si="34" ref="I110:N110">H110+I111</f>
        <v>-5537.34115312327</v>
      </c>
      <c r="J110" s="111">
        <f t="shared" si="34"/>
        <v>-5537.34115312327</v>
      </c>
      <c r="K110" s="111">
        <f t="shared" si="34"/>
        <v>-5537.34115312327</v>
      </c>
      <c r="L110" s="111">
        <f t="shared" si="34"/>
        <v>-5537.34115312327</v>
      </c>
      <c r="M110" s="111">
        <f t="shared" si="34"/>
        <v>-5537.34115312327</v>
      </c>
      <c r="N110" s="111">
        <f t="shared" si="34"/>
        <v>-5537.34115312327</v>
      </c>
      <c r="O110" s="62"/>
      <c r="P110" s="62"/>
    </row>
    <row r="111" ht="12.75" customHeight="1">
      <c r="B111" s="7" t="s">
        <v>98</v>
      </c>
      <c r="C111" s="7"/>
      <c r="D111" s="7"/>
      <c r="E111" s="7"/>
      <c r="F111" s="7"/>
      <c r="H111" s="111">
        <f>H110-G110</f>
        <v>-1722</v>
      </c>
      <c r="I111" s="111">
        <f>I112*I77</f>
        <v>-1713.34115312327</v>
      </c>
      <c r="J111" s="111">
        <f t="shared" si="35" ref="J111:N111">$J$112*J77</f>
        <v>0</v>
      </c>
      <c r="K111" s="111">
        <f t="shared" si="35"/>
        <v>0</v>
      </c>
      <c r="L111" s="111">
        <f t="shared" si="35"/>
        <v>0</v>
      </c>
      <c r="M111" s="111">
        <f t="shared" si="35"/>
        <v>0</v>
      </c>
      <c r="N111" s="111">
        <f t="shared" si="35"/>
        <v>0</v>
      </c>
      <c r="O111" s="62"/>
      <c r="P111" s="62"/>
    </row>
    <row r="112" ht="12.75" customHeight="1">
      <c r="B112" s="69" t="s">
        <v>99</v>
      </c>
      <c r="C112" s="7"/>
      <c r="D112" s="7"/>
      <c r="E112" s="7"/>
      <c r="F112" s="7"/>
      <c r="H112" s="82">
        <f t="shared" si="36" ref="H112:N112">H111/H77</f>
        <v>-0.03915594160716722</v>
      </c>
      <c r="I112" s="82">
        <f t="shared" si="24"/>
        <v>-0.03915594160716722</v>
      </c>
      <c r="J112" s="112">
        <v>0</v>
      </c>
      <c r="K112" s="82">
        <f t="shared" si="36"/>
        <v>0</v>
      </c>
      <c r="L112" s="82">
        <f t="shared" si="36"/>
        <v>0</v>
      </c>
      <c r="M112" s="82">
        <f t="shared" si="36"/>
        <v>0</v>
      </c>
      <c r="N112" s="82">
        <f t="shared" si="36"/>
        <v>0</v>
      </c>
      <c r="O112" s="62"/>
      <c r="P112" s="62"/>
    </row>
    <row r="113" ht="12.75" customHeight="1">
      <c r="B113" s="69"/>
      <c r="C113" s="7"/>
      <c r="D113" s="7"/>
      <c r="E113" s="7"/>
      <c r="F113" s="7"/>
      <c r="H113" s="83"/>
      <c r="I113" s="83"/>
      <c r="J113" s="112"/>
      <c r="K113" s="83"/>
      <c r="L113" s="83"/>
      <c r="M113" s="83"/>
      <c r="N113" s="83"/>
      <c r="O113" s="62"/>
      <c r="P113" s="62"/>
    </row>
    <row r="114" ht="12.75" customHeight="1">
      <c r="B114" s="7"/>
      <c r="C114" s="7"/>
      <c r="D114" s="7"/>
      <c r="E114" s="7"/>
      <c r="G114" s="61"/>
      <c r="H114" s="62"/>
      <c r="I114" s="62"/>
      <c r="J114" s="62"/>
      <c r="K114" s="62"/>
      <c r="L114" s="62"/>
      <c r="M114" s="62"/>
      <c r="N114" s="62"/>
      <c r="O114" s="62"/>
      <c r="P114" s="62"/>
    </row>
    <row r="115" ht="12.75" customHeight="1">
      <c r="B115" s="4" t="s">
        <v>100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ht="12.75" customHeight="1">
      <c r="B116" s="7"/>
      <c r="C116" s="7"/>
      <c r="D116" s="7"/>
      <c r="E116" s="7"/>
      <c r="F116" s="7"/>
      <c r="H116" s="108"/>
      <c r="I116" s="62"/>
      <c r="J116" s="62"/>
      <c r="K116" s="62"/>
      <c r="L116" s="62"/>
      <c r="M116" s="62"/>
      <c r="N116" s="62"/>
      <c r="O116" s="62"/>
      <c r="P116" s="62"/>
    </row>
    <row r="117" ht="12.75" customHeight="1">
      <c r="B117" s="63"/>
      <c r="C117" s="7"/>
      <c r="D117" s="7"/>
      <c r="E117" s="7"/>
      <c r="F117" s="7"/>
      <c r="G117" s="7"/>
      <c r="H117" s="64">
        <v>2024</v>
      </c>
      <c r="I117" s="65">
        <v>2025</v>
      </c>
      <c r="J117" s="65">
        <v>2026</v>
      </c>
      <c r="K117" s="65">
        <v>2027</v>
      </c>
      <c r="L117" s="65">
        <v>2028</v>
      </c>
      <c r="M117" s="65">
        <v>2029</v>
      </c>
      <c r="N117" s="65">
        <v>2030</v>
      </c>
      <c r="O117" s="109"/>
      <c r="P117" s="109"/>
    </row>
    <row r="118" ht="12.75" customHeight="1">
      <c r="B118" s="7" t="s">
        <v>101</v>
      </c>
      <c r="C118" s="7"/>
      <c r="D118" s="7"/>
      <c r="E118" s="7"/>
      <c r="F118" s="7"/>
      <c r="I118" s="47">
        <f t="shared" si="37" ref="I118:N118">I80</f>
        <v>10228.5526759113</v>
      </c>
      <c r="J118" s="47">
        <f t="shared" si="37"/>
        <v>11749.9466499343</v>
      </c>
      <c r="K118" s="47">
        <f t="shared" si="37"/>
        <v>13485.4794520341</v>
      </c>
      <c r="L118" s="47">
        <f t="shared" si="37"/>
        <v>15466.1581481335</v>
      </c>
      <c r="M118" s="47">
        <f t="shared" si="37"/>
        <v>17727.2523741405</v>
      </c>
      <c r="N118" s="47">
        <f t="shared" si="37"/>
        <v>20308.9201751448</v>
      </c>
      <c r="O118" s="13"/>
      <c r="P118" s="14" t="s">
        <v>82</v>
      </c>
    </row>
    <row r="119" ht="12.75" customHeight="1">
      <c r="B119" s="16" t="s">
        <v>102</v>
      </c>
      <c r="C119" s="7"/>
      <c r="D119" s="7"/>
      <c r="E119" s="7"/>
      <c r="F119" s="7"/>
      <c r="I119" s="47">
        <f t="shared" si="38" ref="I119:N119">-$P$119*I187</f>
        <v>-3857.1602414523927</v>
      </c>
      <c r="J119" s="47">
        <f t="shared" si="38"/>
        <v>-3376.130991050385</v>
      </c>
      <c r="K119" s="47">
        <f t="shared" si="38"/>
        <v>-2802.634575723666</v>
      </c>
      <c r="L119" s="47">
        <f t="shared" si="38"/>
        <v>-2023.355622871999</v>
      </c>
      <c r="M119" s="47">
        <f t="shared" si="38"/>
        <v>-785.3117967463256</v>
      </c>
      <c r="N119" s="47">
        <f t="shared" si="38"/>
        <v>0</v>
      </c>
      <c r="O119" s="49"/>
      <c r="P119" s="113">
        <f>P87</f>
        <v>1</v>
      </c>
    </row>
    <row r="120" ht="12.75" customHeight="1">
      <c r="B120" s="16" t="s">
        <v>103</v>
      </c>
      <c r="C120" s="7"/>
      <c r="D120" s="7"/>
      <c r="E120" s="7"/>
      <c r="F120" s="7"/>
      <c r="I120" s="47">
        <f t="shared" si="39" ref="I120:N120">I89</f>
        <v>-1633.0509414463625</v>
      </c>
      <c r="J120" s="47">
        <f t="shared" si="39"/>
        <v>-2013.4724963753017</v>
      </c>
      <c r="K120" s="47">
        <f t="shared" si="39"/>
        <v>-2708.3358182826278</v>
      </c>
      <c r="L120" s="47">
        <f t="shared" si="39"/>
        <v>-3493.929449942064</v>
      </c>
      <c r="M120" s="47">
        <f t="shared" si="39"/>
        <v>-4411.123290005727</v>
      </c>
      <c r="N120" s="47">
        <f t="shared" si="39"/>
        <v>-5228.234398895668</v>
      </c>
      <c r="O120" s="49"/>
      <c r="P120" s="49"/>
    </row>
    <row r="121" ht="12.75" customHeight="1">
      <c r="B121" s="16" t="s">
        <v>104</v>
      </c>
      <c r="C121" s="7"/>
      <c r="D121" s="7"/>
      <c r="E121" s="7"/>
      <c r="F121" s="7"/>
      <c r="H121" s="108"/>
      <c r="I121" s="47">
        <f t="shared" si="40" ref="I121:N121">-I111</f>
        <v>1713.34115312327</v>
      </c>
      <c r="J121" s="47">
        <f t="shared" si="40"/>
        <v>0</v>
      </c>
      <c r="K121" s="47">
        <f t="shared" si="40"/>
        <v>0</v>
      </c>
      <c r="L121" s="47">
        <f t="shared" si="40"/>
        <v>0</v>
      </c>
      <c r="M121" s="47">
        <f t="shared" si="40"/>
        <v>0</v>
      </c>
      <c r="N121" s="47">
        <f t="shared" si="40"/>
        <v>0</v>
      </c>
      <c r="O121" s="49"/>
      <c r="P121" s="49"/>
    </row>
    <row r="122" ht="12.75" customHeight="1">
      <c r="B122" s="16" t="s">
        <v>105</v>
      </c>
      <c r="C122" s="7"/>
      <c r="D122" s="7"/>
      <c r="E122" s="7"/>
      <c r="F122" s="7"/>
      <c r="H122" s="108"/>
      <c r="I122" s="47">
        <f t="shared" si="41" ref="I122:N122">-I123*I77</f>
        <v>-262.541175024582</v>
      </c>
      <c r="J122" s="47">
        <f t="shared" si="41"/>
        <v>-295.799832562111</v>
      </c>
      <c r="K122" s="47">
        <f t="shared" si="41"/>
        <v>-333.27168942388</v>
      </c>
      <c r="L122" s="47">
        <f t="shared" si="41"/>
        <v>-375.490472761254</v>
      </c>
      <c r="M122" s="47">
        <f t="shared" si="41"/>
        <v>-423.057522162179</v>
      </c>
      <c r="N122" s="47">
        <f t="shared" si="41"/>
        <v>-476.650354779578</v>
      </c>
      <c r="O122" s="49"/>
      <c r="P122" s="49"/>
    </row>
    <row r="123" ht="12.75" customHeight="1">
      <c r="B123" s="114" t="s">
        <v>106</v>
      </c>
      <c r="C123" s="7"/>
      <c r="D123" s="7"/>
      <c r="E123" s="7"/>
      <c r="F123" s="7"/>
      <c r="H123" s="108"/>
      <c r="I123" s="115">
        <v>0.006</v>
      </c>
      <c r="J123" s="115">
        <v>0.006</v>
      </c>
      <c r="K123" s="115">
        <v>0.006</v>
      </c>
      <c r="L123" s="115">
        <v>0.006</v>
      </c>
      <c r="M123" s="115">
        <v>0.006</v>
      </c>
      <c r="N123" s="115">
        <v>0.006</v>
      </c>
      <c r="O123" s="49"/>
      <c r="P123" s="49"/>
    </row>
    <row r="124" ht="12.75" customHeight="1">
      <c r="B124" s="88" t="s">
        <v>107</v>
      </c>
      <c r="C124" s="88"/>
      <c r="D124" s="88"/>
      <c r="E124" s="88"/>
      <c r="F124" s="88"/>
      <c r="G124" s="88"/>
      <c r="H124" s="88"/>
      <c r="I124" s="103">
        <f t="shared" si="42" ref="I124:N124">SUM(I118:I122)</f>
        <v>7202.454109157157</v>
      </c>
      <c r="J124" s="103">
        <f t="shared" si="42"/>
        <v>7598.445903212307</v>
      </c>
      <c r="K124" s="103">
        <f t="shared" si="42"/>
        <v>10047.597645302121</v>
      </c>
      <c r="L124" s="103">
        <f t="shared" si="42"/>
        <v>12809.266407401903</v>
      </c>
      <c r="M124" s="103">
        <f t="shared" si="42"/>
        <v>16017.6808134684</v>
      </c>
      <c r="N124" s="103">
        <f t="shared" si="42"/>
        <v>18894.145144112656</v>
      </c>
      <c r="O124" s="80"/>
      <c r="P124" s="80"/>
    </row>
    <row r="125" ht="12.75" customHeight="1">
      <c r="B125" s="16" t="s">
        <v>108</v>
      </c>
      <c r="C125" s="16"/>
      <c r="D125" s="16"/>
      <c r="E125" s="7"/>
      <c r="F125" s="7"/>
      <c r="G125" s="7"/>
      <c r="H125" s="7"/>
      <c r="I125" s="47">
        <f t="shared" si="43" ref="I125:N125">SUM(I161,I172)</f>
        <v>-355.76</v>
      </c>
      <c r="J125" s="47">
        <f t="shared" si="43"/>
        <v>-283.7354589084284</v>
      </c>
      <c r="K125" s="47">
        <f t="shared" si="43"/>
        <v>-207.75099987630537</v>
      </c>
      <c r="L125" s="47">
        <f t="shared" si="43"/>
        <v>-107.27502342328415</v>
      </c>
      <c r="M125" s="47">
        <f t="shared" si="43"/>
        <v>0</v>
      </c>
      <c r="N125" s="47">
        <f t="shared" si="43"/>
        <v>0</v>
      </c>
      <c r="O125" s="49"/>
      <c r="P125" s="49"/>
    </row>
    <row r="126" ht="12.75" customHeight="1">
      <c r="B126" s="16" t="s">
        <v>109</v>
      </c>
      <c r="C126" s="16"/>
      <c r="D126" s="16"/>
      <c r="E126" s="7"/>
      <c r="F126" s="7"/>
      <c r="G126" s="7"/>
      <c r="H126" s="7"/>
      <c r="I126" s="47">
        <f t="shared" si="44" ref="I126:N126">I143</f>
        <v>0</v>
      </c>
      <c r="J126" s="47">
        <f t="shared" si="44"/>
        <v>0</v>
      </c>
      <c r="K126" s="47">
        <f t="shared" si="44"/>
        <v>0</v>
      </c>
      <c r="L126" s="47">
        <f t="shared" si="44"/>
        <v>0</v>
      </c>
      <c r="M126" s="47">
        <f t="shared" si="44"/>
        <v>0</v>
      </c>
      <c r="N126" s="47">
        <f t="shared" si="44"/>
        <v>0</v>
      </c>
      <c r="O126" s="49"/>
      <c r="P126" s="49"/>
      <c r="R126" s="116"/>
    </row>
    <row r="127" ht="12.75" customHeight="1">
      <c r="A127" s="48"/>
      <c r="B127" s="88" t="s">
        <v>110</v>
      </c>
      <c r="C127" s="88"/>
      <c r="D127" s="88"/>
      <c r="E127" s="88"/>
      <c r="F127" s="88"/>
      <c r="G127" s="88"/>
      <c r="H127" s="88"/>
      <c r="I127" s="103">
        <f t="shared" si="45" ref="I127:N174">SUM(I124:I126)</f>
        <v>6846.694109157157</v>
      </c>
      <c r="J127" s="103">
        <f t="shared" si="45"/>
        <v>7314.710444303879</v>
      </c>
      <c r="K127" s="103">
        <f t="shared" si="45"/>
        <v>9839.846645425816</v>
      </c>
      <c r="L127" s="103">
        <f t="shared" si="45"/>
        <v>12701.991383978619</v>
      </c>
      <c r="M127" s="103">
        <f t="shared" si="45"/>
        <v>16017.6808134684</v>
      </c>
      <c r="N127" s="103">
        <f t="shared" si="45"/>
        <v>18894.145144112656</v>
      </c>
      <c r="O127" s="80"/>
      <c r="P127" s="80"/>
      <c r="Q127" s="48"/>
    </row>
    <row r="128" ht="12.75" customHeight="1">
      <c r="B128" s="16" t="s">
        <v>111</v>
      </c>
      <c r="C128" s="16"/>
      <c r="D128" s="16"/>
      <c r="E128" s="7"/>
      <c r="F128" s="7"/>
      <c r="G128" s="7"/>
      <c r="H128" s="7"/>
      <c r="I128" s="47">
        <f t="shared" si="46" ref="I128:N128">SUM(I162,I173)</f>
        <v>-6846.694109157157</v>
      </c>
      <c r="J128" s="47">
        <f t="shared" si="46"/>
        <v>-7314.710444303879</v>
      </c>
      <c r="K128" s="47">
        <f t="shared" si="46"/>
        <v>-9839.846645425816</v>
      </c>
      <c r="L128" s="47">
        <f t="shared" si="46"/>
        <v>-12701.991383978619</v>
      </c>
      <c r="M128" s="47">
        <f t="shared" si="46"/>
        <v>-15706.235934926512</v>
      </c>
      <c r="N128" s="47">
        <f t="shared" si="46"/>
        <v>0</v>
      </c>
      <c r="O128" s="49"/>
      <c r="P128" s="49"/>
    </row>
    <row r="129" ht="12.75" customHeight="1">
      <c r="B129" s="16" t="s">
        <v>112</v>
      </c>
      <c r="C129" s="16"/>
      <c r="D129" s="16"/>
      <c r="E129" s="7"/>
      <c r="F129" s="117">
        <f>N16</f>
        <v>0.5</v>
      </c>
      <c r="G129" s="7"/>
      <c r="H129" s="7"/>
      <c r="I129" s="47">
        <f t="shared" si="47" ref="I129:N129">-SUM(I127:I128)*$F$129</f>
        <v>0</v>
      </c>
      <c r="J129" s="47">
        <f t="shared" si="47"/>
        <v>0</v>
      </c>
      <c r="K129" s="47">
        <f t="shared" si="47"/>
        <v>0</v>
      </c>
      <c r="L129" s="47">
        <f t="shared" si="47"/>
        <v>0</v>
      </c>
      <c r="M129" s="47">
        <f t="shared" si="47"/>
        <v>-155.72243927094405</v>
      </c>
      <c r="N129" s="47">
        <f t="shared" si="47"/>
        <v>-9447.072572056328</v>
      </c>
      <c r="O129" s="49"/>
      <c r="P129" s="49"/>
    </row>
    <row r="130" ht="12.75" customHeight="1">
      <c r="B130" s="88" t="s">
        <v>113</v>
      </c>
      <c r="C130" s="88"/>
      <c r="D130" s="88"/>
      <c r="E130" s="88"/>
      <c r="F130" s="88"/>
      <c r="G130" s="88"/>
      <c r="H130" s="88"/>
      <c r="I130" s="103">
        <f t="shared" si="45"/>
        <v>0</v>
      </c>
      <c r="J130" s="103">
        <f t="shared" si="45"/>
        <v>0</v>
      </c>
      <c r="K130" s="103">
        <f t="shared" si="45"/>
        <v>0</v>
      </c>
      <c r="L130" s="103">
        <f t="shared" si="45"/>
        <v>0</v>
      </c>
      <c r="M130" s="103">
        <f t="shared" si="45"/>
        <v>155.72243927094405</v>
      </c>
      <c r="N130" s="103">
        <f t="shared" si="45"/>
        <v>9447.072572056328</v>
      </c>
      <c r="O130" s="80"/>
      <c r="P130" s="80"/>
    </row>
    <row r="131" ht="12.75" customHeight="1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ht="12.75" customHeight="1">
      <c r="B132" s="7" t="s">
        <v>114</v>
      </c>
      <c r="C132" s="7"/>
      <c r="D132" s="7"/>
      <c r="E132" s="7"/>
      <c r="F132" s="7"/>
      <c r="G132" s="7"/>
      <c r="H132" s="49"/>
      <c r="I132" s="47">
        <f t="shared" si="48" ref="I132:N132">H134</f>
        <v>250</v>
      </c>
      <c r="J132" s="47">
        <f t="shared" si="48"/>
        <v>250</v>
      </c>
      <c r="K132" s="47">
        <f t="shared" si="48"/>
        <v>250</v>
      </c>
      <c r="L132" s="47">
        <f t="shared" si="48"/>
        <v>250</v>
      </c>
      <c r="M132" s="47">
        <f t="shared" si="48"/>
        <v>250</v>
      </c>
      <c r="N132" s="47">
        <f t="shared" si="48"/>
        <v>405.72243927094405</v>
      </c>
      <c r="O132" s="49"/>
      <c r="P132" s="49"/>
    </row>
    <row r="133" ht="12.75" customHeight="1">
      <c r="B133" s="16" t="s">
        <v>115</v>
      </c>
      <c r="C133" s="7"/>
      <c r="D133" s="7"/>
      <c r="E133" s="7"/>
      <c r="F133" s="7"/>
      <c r="G133" s="7"/>
      <c r="H133" s="49"/>
      <c r="I133" s="47">
        <f t="shared" si="49" ref="I133:N133">I130</f>
        <v>0</v>
      </c>
      <c r="J133" s="47">
        <f t="shared" si="49"/>
        <v>0</v>
      </c>
      <c r="K133" s="47">
        <f t="shared" si="49"/>
        <v>0</v>
      </c>
      <c r="L133" s="47">
        <f t="shared" si="49"/>
        <v>0</v>
      </c>
      <c r="M133" s="47">
        <f t="shared" si="49"/>
        <v>155.72243927094405</v>
      </c>
      <c r="N133" s="47">
        <f t="shared" si="49"/>
        <v>9447.072572056328</v>
      </c>
      <c r="O133" s="49"/>
      <c r="P133" s="49"/>
    </row>
    <row r="134" ht="12.75" customHeight="1">
      <c r="B134" s="88" t="s">
        <v>116</v>
      </c>
      <c r="C134" s="88"/>
      <c r="D134" s="88"/>
      <c r="E134" s="88"/>
      <c r="F134" s="88"/>
      <c r="G134" s="88"/>
      <c r="H134" s="103">
        <f>N40</f>
        <v>250</v>
      </c>
      <c r="I134" s="103">
        <f t="shared" si="27"/>
        <v>250</v>
      </c>
      <c r="J134" s="103">
        <f t="shared" si="27"/>
        <v>250</v>
      </c>
      <c r="K134" s="103">
        <f t="shared" si="27"/>
        <v>250</v>
      </c>
      <c r="L134" s="103">
        <f t="shared" si="27"/>
        <v>250</v>
      </c>
      <c r="M134" s="103">
        <f t="shared" si="27"/>
        <v>405.72243927094405</v>
      </c>
      <c r="N134" s="103">
        <f t="shared" si="27"/>
        <v>9852.795011327271</v>
      </c>
      <c r="O134" s="80"/>
      <c r="P134" s="80"/>
    </row>
    <row r="135" ht="12.75" customHeight="1">
      <c r="B135" s="7"/>
      <c r="C135" s="7"/>
      <c r="D135" s="7"/>
      <c r="E135" s="7"/>
      <c r="F135" s="7"/>
      <c r="H135" s="7"/>
      <c r="I135" s="7"/>
      <c r="J135" s="7"/>
      <c r="K135" s="7"/>
      <c r="L135" s="7"/>
      <c r="M135" s="7"/>
      <c r="N135" s="7"/>
      <c r="O135" s="7"/>
      <c r="P135" s="7"/>
    </row>
    <row r="136" ht="12.75" customHeight="1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ht="12.75" customHeight="1">
      <c r="B137" s="4" t="s">
        <v>117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12.75" customHeight="1">
      <c r="B138" s="7"/>
      <c r="C138" s="7"/>
      <c r="D138" s="7"/>
      <c r="E138" s="7"/>
      <c r="F138" s="7"/>
      <c r="H138" s="108"/>
      <c r="I138" s="62"/>
      <c r="J138" s="62"/>
      <c r="K138" s="62"/>
      <c r="L138" s="62"/>
      <c r="M138" s="62"/>
      <c r="N138" s="62"/>
      <c r="O138" s="62"/>
      <c r="P138" s="62"/>
    </row>
    <row r="139" ht="12.75" customHeight="1">
      <c r="B139" s="7"/>
      <c r="C139" s="7"/>
      <c r="D139" s="7"/>
      <c r="E139" s="7"/>
      <c r="F139" s="7"/>
      <c r="G139" s="7"/>
      <c r="H139" s="64">
        <v>2024</v>
      </c>
      <c r="I139" s="65">
        <v>2025</v>
      </c>
      <c r="J139" s="65">
        <v>2026</v>
      </c>
      <c r="K139" s="65">
        <v>2027</v>
      </c>
      <c r="L139" s="65">
        <v>2028</v>
      </c>
      <c r="M139" s="65">
        <v>2029</v>
      </c>
      <c r="N139" s="65">
        <v>2030</v>
      </c>
      <c r="O139" s="109"/>
      <c r="P139" s="109"/>
    </row>
    <row r="140" ht="12.75" customHeight="1">
      <c r="B140" s="7"/>
      <c r="C140" s="7"/>
      <c r="D140" s="7"/>
      <c r="E140" s="7"/>
      <c r="F140" s="7"/>
      <c r="H140" s="108"/>
      <c r="I140" s="62"/>
      <c r="J140" s="62"/>
      <c r="K140" s="62"/>
      <c r="L140" s="62"/>
      <c r="M140" s="62"/>
      <c r="N140" s="62"/>
      <c r="O140" s="62"/>
      <c r="P140" s="62"/>
    </row>
    <row r="141" ht="12.75" customHeight="1">
      <c r="B141" s="7" t="s">
        <v>118</v>
      </c>
      <c r="C141" s="7"/>
      <c r="D141" s="7"/>
      <c r="E141" s="7"/>
      <c r="G141" s="7"/>
      <c r="H141" s="7"/>
      <c r="I141" s="29">
        <f t="shared" si="50" ref="I141:N171">H144</f>
        <v>2000</v>
      </c>
      <c r="J141" s="29">
        <f t="shared" si="50"/>
        <v>2220</v>
      </c>
      <c r="K141" s="29">
        <f t="shared" si="50"/>
        <v>2464.2</v>
      </c>
      <c r="L141" s="29">
        <f t="shared" si="50"/>
        <v>2735.2619999999997</v>
      </c>
      <c r="M141" s="29">
        <f t="shared" si="50"/>
        <v>3036.1408199999996</v>
      </c>
      <c r="N141" s="29">
        <f t="shared" si="50"/>
        <v>3370.1163101999996</v>
      </c>
      <c r="O141" s="49"/>
      <c r="P141" s="49"/>
    </row>
    <row r="142" ht="12.75" customHeight="1">
      <c r="B142" s="16" t="s">
        <v>119</v>
      </c>
      <c r="C142" s="7"/>
      <c r="D142" s="7"/>
      <c r="E142" s="7"/>
      <c r="F142" s="104">
        <f>N21</f>
        <v>0.11</v>
      </c>
      <c r="G142" s="7"/>
      <c r="H142" s="7"/>
      <c r="I142" s="118">
        <f t="shared" si="51" ref="I142:N142">I141*$F$142</f>
        <v>220</v>
      </c>
      <c r="J142" s="118">
        <f t="shared" si="51"/>
        <v>244.2</v>
      </c>
      <c r="K142" s="118">
        <f t="shared" si="51"/>
        <v>271.06199999999995</v>
      </c>
      <c r="L142" s="118">
        <f t="shared" si="51"/>
        <v>300.87881999999996</v>
      </c>
      <c r="M142" s="118">
        <f t="shared" si="51"/>
        <v>333.97549019999997</v>
      </c>
      <c r="N142" s="118">
        <f t="shared" si="51"/>
        <v>370.71279412199993</v>
      </c>
      <c r="O142" s="27"/>
      <c r="P142" s="27"/>
    </row>
    <row r="143" ht="12.75" customHeight="1">
      <c r="B143" s="16" t="s">
        <v>120</v>
      </c>
      <c r="C143" s="7"/>
      <c r="D143" s="7"/>
      <c r="E143" s="7"/>
      <c r="F143" s="7"/>
      <c r="G143" s="7"/>
      <c r="H143" s="7"/>
      <c r="I143" s="119">
        <v>0</v>
      </c>
      <c r="J143" s="119">
        <v>0</v>
      </c>
      <c r="K143" s="119">
        <v>0</v>
      </c>
      <c r="L143" s="119">
        <v>0</v>
      </c>
      <c r="M143" s="119">
        <v>0</v>
      </c>
      <c r="N143" s="119">
        <v>0</v>
      </c>
      <c r="O143" s="49"/>
      <c r="P143" s="49"/>
    </row>
    <row r="144" ht="12.75" customHeight="1">
      <c r="B144" s="22" t="s">
        <v>121</v>
      </c>
      <c r="C144" s="22"/>
      <c r="D144" s="22"/>
      <c r="E144" s="22"/>
      <c r="F144" s="22"/>
      <c r="G144" s="22"/>
      <c r="H144" s="120">
        <f>N31</f>
        <v>2000</v>
      </c>
      <c r="I144" s="121">
        <f t="shared" si="45"/>
        <v>2220</v>
      </c>
      <c r="J144" s="121">
        <f t="shared" si="45"/>
        <v>2464.2</v>
      </c>
      <c r="K144" s="121">
        <f t="shared" si="45"/>
        <v>2735.2619999999997</v>
      </c>
      <c r="L144" s="121">
        <f t="shared" si="45"/>
        <v>3036.1408199999996</v>
      </c>
      <c r="M144" s="121">
        <f t="shared" si="45"/>
        <v>3370.1163101999996</v>
      </c>
      <c r="N144" s="121">
        <f t="shared" si="45"/>
        <v>3740.8291043219997</v>
      </c>
      <c r="O144" s="49"/>
      <c r="P144" s="49"/>
    </row>
    <row r="145" ht="12.75" customHeight="1">
      <c r="B145" s="7"/>
      <c r="C145" s="7"/>
      <c r="D145" s="7"/>
      <c r="E145" s="7"/>
      <c r="F145" s="7"/>
      <c r="G145" s="7"/>
      <c r="H145" s="122"/>
      <c r="I145" s="92"/>
      <c r="J145" s="92"/>
      <c r="K145" s="92"/>
      <c r="L145" s="92"/>
      <c r="M145" s="92"/>
      <c r="N145" s="92"/>
      <c r="O145" s="49"/>
      <c r="P145" s="49"/>
    </row>
    <row r="146" ht="12.75" customHeight="1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ht="12.75" customHeight="1">
      <c r="B147" s="4" t="s">
        <v>122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t="12.75" customHeight="1">
      <c r="B148" s="7"/>
      <c r="C148" s="7"/>
      <c r="D148" s="7"/>
      <c r="E148" s="7"/>
      <c r="F148" s="7"/>
      <c r="H148" s="108"/>
      <c r="I148" s="62"/>
      <c r="J148" s="62"/>
      <c r="K148" s="62"/>
      <c r="L148" s="62"/>
      <c r="M148" s="62"/>
      <c r="N148" s="62"/>
      <c r="O148" s="62"/>
      <c r="P148" s="62"/>
    </row>
    <row r="149" ht="12.75" customHeight="1">
      <c r="B149" s="7"/>
      <c r="C149" s="7"/>
      <c r="D149" s="7"/>
      <c r="E149" s="7"/>
      <c r="F149" s="7"/>
      <c r="G149" s="7"/>
      <c r="H149" s="64">
        <v>2024</v>
      </c>
      <c r="I149" s="65">
        <v>2025</v>
      </c>
      <c r="J149" s="65">
        <v>2026</v>
      </c>
      <c r="K149" s="65">
        <v>2027</v>
      </c>
      <c r="L149" s="65">
        <v>2028</v>
      </c>
      <c r="M149" s="65">
        <v>2029</v>
      </c>
      <c r="N149" s="65">
        <v>2030</v>
      </c>
      <c r="O149" s="109"/>
      <c r="P149" s="109"/>
    </row>
    <row r="150" ht="12.75" customHeight="1">
      <c r="B150" s="7"/>
      <c r="C150" s="7"/>
      <c r="D150" s="7"/>
      <c r="E150" s="7"/>
      <c r="F150" s="7"/>
      <c r="H150" s="108"/>
      <c r="I150" s="62"/>
      <c r="J150" s="62"/>
      <c r="K150" s="62"/>
      <c r="L150" s="62"/>
      <c r="M150" s="62"/>
      <c r="N150" s="62"/>
      <c r="O150" s="62"/>
      <c r="P150" s="62"/>
    </row>
    <row r="151" ht="12.75" customHeight="1">
      <c r="B151" s="7" t="s">
        <v>114</v>
      </c>
      <c r="C151" s="7"/>
      <c r="D151" s="7"/>
      <c r="E151" s="7"/>
      <c r="F151" s="7"/>
      <c r="H151" s="108"/>
      <c r="I151" s="29">
        <f t="shared" si="52" ref="I151:N151">I132</f>
        <v>250</v>
      </c>
      <c r="J151" s="29">
        <f t="shared" si="52"/>
        <v>250</v>
      </c>
      <c r="K151" s="29">
        <f t="shared" si="52"/>
        <v>250</v>
      </c>
      <c r="L151" s="29">
        <f t="shared" si="52"/>
        <v>250</v>
      </c>
      <c r="M151" s="29">
        <f t="shared" si="52"/>
        <v>250</v>
      </c>
      <c r="N151" s="29">
        <f t="shared" si="52"/>
        <v>405.72243927094405</v>
      </c>
      <c r="O151" s="49"/>
      <c r="P151" s="49"/>
    </row>
    <row r="152" ht="12.75" customHeight="1">
      <c r="B152" s="16" t="s">
        <v>123</v>
      </c>
      <c r="C152" s="7"/>
      <c r="D152" s="7"/>
      <c r="E152" s="7"/>
      <c r="F152" s="7"/>
      <c r="H152" s="108"/>
      <c r="I152" s="29">
        <f t="shared" si="53" ref="I152:N152">-$N$40</f>
        <v>-250</v>
      </c>
      <c r="J152" s="29">
        <f t="shared" si="53"/>
        <v>-250</v>
      </c>
      <c r="K152" s="29">
        <f t="shared" si="53"/>
        <v>-250</v>
      </c>
      <c r="L152" s="29">
        <f t="shared" si="53"/>
        <v>-250</v>
      </c>
      <c r="M152" s="29">
        <f t="shared" si="53"/>
        <v>-250</v>
      </c>
      <c r="N152" s="29">
        <f t="shared" si="53"/>
        <v>-250</v>
      </c>
      <c r="O152" s="49"/>
      <c r="P152" s="49"/>
    </row>
    <row r="153" ht="12.75" customHeight="1">
      <c r="B153" s="16" t="s">
        <v>124</v>
      </c>
      <c r="C153" s="7"/>
      <c r="D153" s="7"/>
      <c r="E153" s="7"/>
      <c r="F153" s="7"/>
      <c r="H153" s="108"/>
      <c r="I153" s="29">
        <f t="shared" si="54" ref="I153:N154">I124</f>
        <v>7202.454109157157</v>
      </c>
      <c r="J153" s="29">
        <f t="shared" si="54"/>
        <v>7598.445903212307</v>
      </c>
      <c r="K153" s="29">
        <f t="shared" si="54"/>
        <v>10047.597645302121</v>
      </c>
      <c r="L153" s="29">
        <f t="shared" si="54"/>
        <v>12809.266407401903</v>
      </c>
      <c r="M153" s="29">
        <f t="shared" si="54"/>
        <v>16017.6808134684</v>
      </c>
      <c r="N153" s="29">
        <f t="shared" si="54"/>
        <v>18894.145144112656</v>
      </c>
      <c r="O153" s="49"/>
      <c r="P153" s="49"/>
    </row>
    <row r="154" ht="12.75" customHeight="1">
      <c r="B154" s="16" t="s">
        <v>125</v>
      </c>
      <c r="C154" s="7"/>
      <c r="D154" s="7"/>
      <c r="E154" s="7"/>
      <c r="F154" s="7"/>
      <c r="H154" s="108"/>
      <c r="I154" s="29">
        <f t="shared" si="54"/>
        <v>-355.76</v>
      </c>
      <c r="J154" s="29">
        <f t="shared" si="54"/>
        <v>-283.7354589084284</v>
      </c>
      <c r="K154" s="29">
        <f t="shared" si="54"/>
        <v>-207.75099987630537</v>
      </c>
      <c r="L154" s="29">
        <f t="shared" si="54"/>
        <v>-107.27502342328415</v>
      </c>
      <c r="M154" s="29">
        <f t="shared" si="54"/>
        <v>0</v>
      </c>
      <c r="N154" s="29">
        <f t="shared" si="54"/>
        <v>0</v>
      </c>
      <c r="O154" s="49"/>
      <c r="P154" s="49"/>
    </row>
    <row r="155" ht="12.75" customHeight="1">
      <c r="B155" s="16" t="s">
        <v>109</v>
      </c>
      <c r="C155" s="7"/>
      <c r="D155" s="7"/>
      <c r="E155" s="7"/>
      <c r="F155" s="7"/>
      <c r="H155" s="108"/>
      <c r="I155" s="29">
        <f t="shared" si="55" ref="I155:N155">I143</f>
        <v>0</v>
      </c>
      <c r="J155" s="29">
        <f t="shared" si="55"/>
        <v>0</v>
      </c>
      <c r="K155" s="29">
        <f t="shared" si="55"/>
        <v>0</v>
      </c>
      <c r="L155" s="29">
        <f t="shared" si="55"/>
        <v>0</v>
      </c>
      <c r="M155" s="29">
        <f t="shared" si="55"/>
        <v>0</v>
      </c>
      <c r="N155" s="29">
        <f t="shared" si="55"/>
        <v>0</v>
      </c>
      <c r="O155" s="49"/>
      <c r="P155" s="49"/>
    </row>
    <row r="156" ht="12.75" customHeight="1">
      <c r="B156" s="88" t="s">
        <v>126</v>
      </c>
      <c r="C156" s="88"/>
      <c r="D156" s="88"/>
      <c r="E156" s="88"/>
      <c r="F156" s="88"/>
      <c r="G156" s="123"/>
      <c r="H156" s="124"/>
      <c r="I156" s="125">
        <f t="shared" si="56" ref="I156:N156">SUM(I151:I155)</f>
        <v>6846.694109157157</v>
      </c>
      <c r="J156" s="125">
        <f t="shared" si="56"/>
        <v>7314.710444303879</v>
      </c>
      <c r="K156" s="125">
        <f t="shared" si="56"/>
        <v>9839.846645425816</v>
      </c>
      <c r="L156" s="125">
        <f t="shared" si="56"/>
        <v>12701.991383978619</v>
      </c>
      <c r="M156" s="125">
        <f t="shared" si="56"/>
        <v>16017.6808134684</v>
      </c>
      <c r="N156" s="125">
        <f t="shared" si="56"/>
        <v>19049.8675833836</v>
      </c>
      <c r="O156" s="126"/>
      <c r="P156" s="126"/>
    </row>
    <row r="157" ht="12.75" customHeight="1">
      <c r="B157" s="21"/>
      <c r="C157" s="21"/>
      <c r="D157" s="21"/>
      <c r="E157" s="21"/>
      <c r="F157" s="21"/>
      <c r="G157" s="48"/>
      <c r="H157" s="108"/>
      <c r="I157" s="126"/>
      <c r="J157" s="126"/>
      <c r="K157" s="126"/>
      <c r="L157" s="126"/>
      <c r="M157" s="126"/>
      <c r="N157" s="126"/>
      <c r="O157" s="126"/>
      <c r="P157" s="126"/>
    </row>
    <row r="158" ht="12.75" customHeight="1">
      <c r="B158" s="127" t="str">
        <f>$J$24</f>
        <v>Term Loan</v>
      </c>
      <c r="C158" s="127"/>
      <c r="D158" s="127"/>
      <c r="E158" s="7"/>
      <c r="F158" s="7"/>
      <c r="H158" s="7"/>
      <c r="I158" s="7"/>
      <c r="J158" s="7"/>
      <c r="K158" s="7"/>
      <c r="L158" s="7"/>
      <c r="M158" s="7"/>
      <c r="N158" s="7"/>
      <c r="O158" s="7"/>
      <c r="P158" s="7"/>
    </row>
    <row r="159" ht="12.75" customHeight="1">
      <c r="B159" s="127"/>
      <c r="C159" s="127"/>
      <c r="D159" s="127"/>
      <c r="E159" s="7"/>
      <c r="F159" s="7"/>
      <c r="H159" s="7"/>
      <c r="I159" s="7"/>
      <c r="J159" s="7"/>
      <c r="K159" s="7"/>
      <c r="L159" s="7"/>
      <c r="M159" s="7"/>
      <c r="N159" s="7"/>
      <c r="O159" s="7"/>
      <c r="P159" s="7"/>
    </row>
    <row r="160" ht="12.75" customHeight="1">
      <c r="B160" s="7" t="s">
        <v>127</v>
      </c>
      <c r="C160" s="7"/>
      <c r="D160" s="7"/>
      <c r="F160" s="42" t="s">
        <v>128</v>
      </c>
      <c r="H160" s="92"/>
      <c r="I160" s="29">
        <f t="shared" si="50"/>
        <v>35576</v>
      </c>
      <c r="J160" s="29">
        <f t="shared" si="50"/>
        <v>28373.54589084284</v>
      </c>
      <c r="K160" s="29">
        <f t="shared" si="50"/>
        <v>20775.099987630536</v>
      </c>
      <c r="L160" s="29">
        <f t="shared" si="50"/>
        <v>10727.502342328415</v>
      </c>
      <c r="M160" s="29">
        <f t="shared" si="50"/>
        <v>0</v>
      </c>
      <c r="N160" s="29">
        <f t="shared" si="50"/>
        <v>0</v>
      </c>
      <c r="O160" s="49"/>
      <c r="P160" s="49"/>
    </row>
    <row r="161" ht="12.75" customHeight="1">
      <c r="B161" s="16" t="s">
        <v>129</v>
      </c>
      <c r="C161" s="16"/>
      <c r="D161" s="16"/>
      <c r="F161" s="128">
        <f>$N$24</f>
        <v>0.01</v>
      </c>
      <c r="H161" s="92"/>
      <c r="I161" s="29">
        <f t="shared" si="57" ref="I161:N172">-$F161*I160</f>
        <v>-355.76</v>
      </c>
      <c r="J161" s="29">
        <f t="shared" si="57"/>
        <v>-283.7354589084284</v>
      </c>
      <c r="K161" s="29">
        <f t="shared" si="57"/>
        <v>-207.75099987630537</v>
      </c>
      <c r="L161" s="29">
        <f t="shared" si="57"/>
        <v>-107.27502342328415</v>
      </c>
      <c r="M161" s="29">
        <f t="shared" si="57"/>
        <v>0</v>
      </c>
      <c r="N161" s="29">
        <f t="shared" si="57"/>
        <v>0</v>
      </c>
      <c r="O161" s="49"/>
      <c r="P161" s="49"/>
    </row>
    <row r="162" ht="12.75" customHeight="1">
      <c r="B162" s="16" t="s">
        <v>111</v>
      </c>
      <c r="C162" s="16"/>
      <c r="D162" s="16"/>
      <c r="E162" s="7"/>
      <c r="H162" s="92"/>
      <c r="I162" s="29">
        <f t="shared" si="58" ref="I162:N173">-MAX(MIN(I160+I161,I156),0)</f>
        <v>-6846.694109157157</v>
      </c>
      <c r="J162" s="29">
        <f t="shared" si="58"/>
        <v>-7314.710444303879</v>
      </c>
      <c r="K162" s="29">
        <f t="shared" si="58"/>
        <v>-9839.846645425816</v>
      </c>
      <c r="L162" s="29">
        <f t="shared" si="58"/>
        <v>-10620.22731890513</v>
      </c>
      <c r="M162" s="29">
        <f t="shared" si="58"/>
        <v>0</v>
      </c>
      <c r="N162" s="29">
        <f t="shared" si="58"/>
        <v>0</v>
      </c>
      <c r="O162" s="49"/>
      <c r="P162" s="49"/>
    </row>
    <row r="163" ht="12.75" customHeight="1">
      <c r="B163" s="22" t="s">
        <v>130</v>
      </c>
      <c r="C163" s="22"/>
      <c r="D163" s="22"/>
      <c r="E163" s="22"/>
      <c r="F163" s="22"/>
      <c r="G163" s="22"/>
      <c r="H163" s="121">
        <f>N29</f>
        <v>35576</v>
      </c>
      <c r="I163" s="121">
        <f t="shared" si="45"/>
        <v>28373.54589084284</v>
      </c>
      <c r="J163" s="121">
        <f t="shared" si="45"/>
        <v>20775.099987630536</v>
      </c>
      <c r="K163" s="121">
        <f t="shared" si="45"/>
        <v>10727.502342328415</v>
      </c>
      <c r="L163" s="121">
        <f t="shared" si="45"/>
        <v>0</v>
      </c>
      <c r="M163" s="121">
        <f t="shared" si="45"/>
        <v>0</v>
      </c>
      <c r="N163" s="121">
        <f t="shared" si="45"/>
        <v>0</v>
      </c>
      <c r="O163" s="49"/>
      <c r="P163" s="49"/>
    </row>
    <row r="164" ht="12.75" customHeight="1">
      <c r="B164" s="7"/>
      <c r="C164" s="7"/>
      <c r="D164" s="7"/>
      <c r="E164" s="7"/>
      <c r="F164" s="42" t="s">
        <v>30</v>
      </c>
      <c r="H164" s="92"/>
      <c r="I164" s="92"/>
      <c r="J164" s="92"/>
      <c r="K164" s="92"/>
      <c r="L164" s="92"/>
      <c r="M164" s="92"/>
      <c r="N164" s="92"/>
      <c r="O164" s="13"/>
      <c r="P164" s="13"/>
    </row>
    <row r="165" ht="12.75" customHeight="1">
      <c r="B165" s="7" t="s">
        <v>131</v>
      </c>
      <c r="C165" s="7"/>
      <c r="D165" s="7"/>
      <c r="E165" s="7"/>
      <c r="F165" s="129">
        <f>$L$24</f>
        <v>0.065</v>
      </c>
      <c r="H165" s="92"/>
      <c r="I165" s="29">
        <f t="shared" si="59" ref="I165:N176">AVERAGE(I163,I160)*$F165</f>
        <v>2078.3602414523925</v>
      </c>
      <c r="J165" s="29">
        <f t="shared" si="59"/>
        <v>1597.330991050385</v>
      </c>
      <c r="K165" s="29">
        <f t="shared" si="59"/>
        <v>1023.8345757236659</v>
      </c>
      <c r="L165" s="29">
        <f t="shared" si="59"/>
        <v>348.6438261256735</v>
      </c>
      <c r="M165" s="29">
        <f t="shared" si="59"/>
        <v>0</v>
      </c>
      <c r="N165" s="29">
        <f t="shared" si="59"/>
        <v>0</v>
      </c>
      <c r="O165" s="130"/>
      <c r="P165" s="130"/>
    </row>
    <row r="166" ht="12.75" customHeight="1">
      <c r="B166" s="7"/>
      <c r="C166" s="7"/>
      <c r="D166" s="7"/>
      <c r="E166" s="7"/>
      <c r="F166" s="7"/>
      <c r="H166" s="13"/>
      <c r="I166" s="131"/>
      <c r="J166" s="49"/>
      <c r="K166" s="49"/>
      <c r="L166" s="49"/>
      <c r="M166" s="49"/>
      <c r="N166" s="131"/>
      <c r="O166" s="49"/>
      <c r="P166" s="49"/>
    </row>
    <row r="167" ht="12.75" customHeight="1">
      <c r="B167" s="7" t="s">
        <v>132</v>
      </c>
      <c r="C167" s="7"/>
      <c r="D167" s="7"/>
      <c r="E167" s="7"/>
      <c r="F167" s="7"/>
      <c r="H167" s="132"/>
      <c r="I167" s="133">
        <f t="shared" si="60" ref="I167:N178">I156+I162</f>
        <v>0</v>
      </c>
      <c r="J167" s="133">
        <f t="shared" si="60"/>
        <v>0</v>
      </c>
      <c r="K167" s="133">
        <f t="shared" si="60"/>
        <v>0</v>
      </c>
      <c r="L167" s="133">
        <f t="shared" si="60"/>
        <v>2081.7640650734884</v>
      </c>
      <c r="M167" s="133">
        <f t="shared" si="60"/>
        <v>16017.6808134684</v>
      </c>
      <c r="N167" s="133">
        <f t="shared" si="60"/>
        <v>19049.8675833836</v>
      </c>
      <c r="O167" s="134"/>
      <c r="P167" s="134"/>
    </row>
    <row r="168" ht="12.75" customHeight="1">
      <c r="B168" s="7"/>
      <c r="C168" s="7"/>
      <c r="D168" s="7"/>
      <c r="E168" s="7"/>
      <c r="F168" s="7"/>
      <c r="H168" s="7"/>
      <c r="I168" s="7"/>
      <c r="J168" s="7"/>
      <c r="K168" s="7"/>
      <c r="L168" s="7"/>
      <c r="M168" s="7"/>
      <c r="N168" s="7"/>
      <c r="O168" s="7"/>
      <c r="P168" s="7"/>
    </row>
    <row r="169" ht="12.75" customHeight="1">
      <c r="B169" s="127" t="str">
        <f>$J$25</f>
        <v>Unsecured Senior Notes</v>
      </c>
      <c r="C169" s="127"/>
      <c r="D169" s="127"/>
      <c r="E169" s="135"/>
      <c r="F169" s="135"/>
      <c r="H169" s="7"/>
      <c r="I169" s="7"/>
      <c r="J169" s="7"/>
      <c r="K169" s="7"/>
      <c r="L169" s="7"/>
      <c r="M169" s="7"/>
      <c r="N169" s="7"/>
      <c r="O169" s="7"/>
      <c r="P169" s="7"/>
    </row>
    <row r="170" ht="12.75" customHeight="1">
      <c r="B170" s="127"/>
      <c r="C170" s="127"/>
      <c r="D170" s="127"/>
      <c r="E170" s="135"/>
      <c r="F170" s="7"/>
      <c r="H170" s="7"/>
      <c r="I170" s="7"/>
      <c r="J170" s="7"/>
      <c r="K170" s="7"/>
      <c r="L170" s="7"/>
      <c r="M170" s="7"/>
      <c r="N170" s="7"/>
      <c r="O170" s="7"/>
      <c r="P170" s="7"/>
    </row>
    <row r="171" ht="12.75" customHeight="1">
      <c r="B171" s="7" t="s">
        <v>127</v>
      </c>
      <c r="C171" s="7"/>
      <c r="D171" s="7"/>
      <c r="F171" s="42" t="s">
        <v>128</v>
      </c>
      <c r="H171" s="92"/>
      <c r="I171" s="29">
        <f t="shared" si="50"/>
        <v>17788</v>
      </c>
      <c r="J171" s="29">
        <f t="shared" si="50"/>
        <v>17788</v>
      </c>
      <c r="K171" s="29">
        <f t="shared" si="50"/>
        <v>17788</v>
      </c>
      <c r="L171" s="29">
        <f t="shared" si="50"/>
        <v>17788</v>
      </c>
      <c r="M171" s="29">
        <f t="shared" si="50"/>
        <v>15706.235934926512</v>
      </c>
      <c r="N171" s="29">
        <f t="shared" si="50"/>
        <v>0</v>
      </c>
      <c r="O171" s="49"/>
      <c r="P171" s="49"/>
    </row>
    <row r="172" ht="12.75" customHeight="1">
      <c r="B172" s="16" t="s">
        <v>129</v>
      </c>
      <c r="C172" s="16"/>
      <c r="D172" s="16"/>
      <c r="F172" s="128">
        <f>$N$25</f>
        <v>0</v>
      </c>
      <c r="H172" s="92"/>
      <c r="I172" s="29">
        <f t="shared" si="57"/>
        <v>0</v>
      </c>
      <c r="J172" s="29">
        <f t="shared" si="57"/>
        <v>0</v>
      </c>
      <c r="K172" s="29">
        <f t="shared" si="57"/>
        <v>0</v>
      </c>
      <c r="L172" s="29">
        <f t="shared" si="57"/>
        <v>0</v>
      </c>
      <c r="M172" s="29">
        <f t="shared" si="57"/>
        <v>0</v>
      </c>
      <c r="N172" s="29">
        <f t="shared" si="57"/>
        <v>0</v>
      </c>
      <c r="O172" s="49"/>
      <c r="P172" s="49"/>
    </row>
    <row r="173" ht="12.75" customHeight="1">
      <c r="B173" s="16" t="s">
        <v>111</v>
      </c>
      <c r="C173" s="16"/>
      <c r="D173" s="16"/>
      <c r="E173" s="7"/>
      <c r="F173" s="7"/>
      <c r="H173" s="92"/>
      <c r="I173" s="29">
        <f t="shared" si="58"/>
        <v>0</v>
      </c>
      <c r="J173" s="29">
        <f t="shared" si="58"/>
        <v>0</v>
      </c>
      <c r="K173" s="29">
        <f t="shared" si="58"/>
        <v>0</v>
      </c>
      <c r="L173" s="29">
        <f t="shared" si="58"/>
        <v>-2081.7640650734884</v>
      </c>
      <c r="M173" s="29">
        <f t="shared" si="58"/>
        <v>-15706.235934926512</v>
      </c>
      <c r="N173" s="29">
        <f t="shared" si="58"/>
        <v>0</v>
      </c>
      <c r="O173" s="49"/>
      <c r="P173" s="49"/>
    </row>
    <row r="174" ht="12.75" customHeight="1">
      <c r="B174" s="22" t="s">
        <v>130</v>
      </c>
      <c r="C174" s="22"/>
      <c r="D174" s="22"/>
      <c r="E174" s="22"/>
      <c r="F174" s="22"/>
      <c r="G174" s="22"/>
      <c r="H174" s="121">
        <f>+N30</f>
        <v>17788</v>
      </c>
      <c r="I174" s="121">
        <f t="shared" si="45"/>
        <v>17788</v>
      </c>
      <c r="J174" s="121">
        <f t="shared" si="45"/>
        <v>17788</v>
      </c>
      <c r="K174" s="121">
        <f t="shared" si="45"/>
        <v>17788</v>
      </c>
      <c r="L174" s="121">
        <f t="shared" si="45"/>
        <v>15706.235934926512</v>
      </c>
      <c r="M174" s="121">
        <f t="shared" si="45"/>
        <v>0</v>
      </c>
      <c r="N174" s="121">
        <f t="shared" si="45"/>
        <v>0</v>
      </c>
      <c r="O174" s="49"/>
      <c r="P174" s="49"/>
    </row>
    <row r="175" ht="12.75" customHeight="1">
      <c r="B175" s="7"/>
      <c r="C175" s="7"/>
      <c r="D175" s="7"/>
      <c r="F175" s="136" t="s">
        <v>30</v>
      </c>
      <c r="H175" s="13"/>
      <c r="I175" s="13"/>
      <c r="J175" s="13"/>
      <c r="K175" s="13"/>
      <c r="L175" s="13"/>
      <c r="M175" s="13"/>
      <c r="N175" s="13"/>
      <c r="O175" s="13"/>
      <c r="P175" s="13"/>
    </row>
    <row r="176" ht="12.75" customHeight="1">
      <c r="B176" s="7" t="s">
        <v>131</v>
      </c>
      <c r="C176" s="7"/>
      <c r="D176" s="7"/>
      <c r="F176" s="129">
        <f>+$L$25</f>
        <v>0.1</v>
      </c>
      <c r="H176" s="130"/>
      <c r="I176" s="29">
        <f t="shared" si="59"/>
        <v>1778.8000000000002</v>
      </c>
      <c r="J176" s="29">
        <f t="shared" si="59"/>
        <v>1778.8000000000002</v>
      </c>
      <c r="K176" s="29">
        <f t="shared" si="59"/>
        <v>1778.8000000000002</v>
      </c>
      <c r="L176" s="29">
        <f t="shared" si="59"/>
        <v>1674.7117967463255</v>
      </c>
      <c r="M176" s="29">
        <f t="shared" si="59"/>
        <v>785.3117967463256</v>
      </c>
      <c r="N176" s="29">
        <f t="shared" si="59"/>
        <v>0</v>
      </c>
      <c r="O176" s="130"/>
      <c r="P176" s="130"/>
    </row>
    <row r="177" ht="12.75" customHeight="1">
      <c r="B177" s="7"/>
      <c r="C177" s="7"/>
      <c r="D177" s="7"/>
      <c r="E177" s="7"/>
      <c r="F177" s="7"/>
      <c r="H177" s="7"/>
      <c r="O177" s="49"/>
      <c r="P177" s="49"/>
    </row>
    <row r="178" ht="12.75" customHeight="1">
      <c r="B178" s="7" t="s">
        <v>133</v>
      </c>
      <c r="C178" s="7"/>
      <c r="D178" s="7"/>
      <c r="E178" s="7"/>
      <c r="F178" s="7"/>
      <c r="H178" s="132"/>
      <c r="I178" s="29">
        <f t="shared" si="60"/>
        <v>0</v>
      </c>
      <c r="J178" s="29">
        <f t="shared" si="60"/>
        <v>0</v>
      </c>
      <c r="K178" s="29">
        <f t="shared" si="60"/>
        <v>0</v>
      </c>
      <c r="L178" s="29">
        <f t="shared" si="60"/>
        <v>0</v>
      </c>
      <c r="M178" s="29">
        <f t="shared" si="60"/>
        <v>311.4448785418881</v>
      </c>
      <c r="N178" s="29">
        <f t="shared" si="60"/>
        <v>19049.8675833836</v>
      </c>
      <c r="O178" s="134"/>
      <c r="P178" s="134"/>
    </row>
    <row r="179" ht="12.75" customHeight="1">
      <c r="B179" s="7"/>
      <c r="C179" s="7"/>
      <c r="D179" s="7"/>
      <c r="E179" s="7"/>
      <c r="F179" s="7"/>
      <c r="H179" s="7"/>
      <c r="I179" s="7"/>
      <c r="J179" s="7"/>
      <c r="K179" s="7"/>
      <c r="L179" s="7"/>
      <c r="M179" s="7"/>
      <c r="N179" s="7"/>
      <c r="O179" s="7"/>
      <c r="P179" s="7"/>
    </row>
    <row r="180" ht="12.75" customHeight="1">
      <c r="B180" s="14" t="str">
        <f t="shared" si="64" ref="B180:B185">$B$158</f>
        <v>Term Loan</v>
      </c>
      <c r="C180" s="127"/>
      <c r="D180" s="127"/>
      <c r="E180" s="135"/>
      <c r="F180" s="7"/>
      <c r="H180" s="29">
        <f t="shared" si="61" ref="H180:N180">H163</f>
        <v>35576</v>
      </c>
      <c r="I180" s="29">
        <f t="shared" si="61"/>
        <v>28373.54589084284</v>
      </c>
      <c r="J180" s="29">
        <f t="shared" si="61"/>
        <v>20775.099987630536</v>
      </c>
      <c r="K180" s="29">
        <f t="shared" si="61"/>
        <v>10727.502342328415</v>
      </c>
      <c r="L180" s="29">
        <f t="shared" si="61"/>
        <v>0</v>
      </c>
      <c r="M180" s="29">
        <f t="shared" si="61"/>
        <v>0</v>
      </c>
      <c r="N180" s="29">
        <f t="shared" si="61"/>
        <v>0</v>
      </c>
      <c r="O180" s="49"/>
      <c r="P180" s="49"/>
    </row>
    <row r="181" ht="12.75" customHeight="1">
      <c r="B181" s="14" t="str">
        <f t="shared" si="66" ref="B181:B186">$B$169</f>
        <v>Unsecured Senior Notes</v>
      </c>
      <c r="C181" s="127"/>
      <c r="D181" s="127"/>
      <c r="E181" s="135"/>
      <c r="F181" s="7"/>
      <c r="H181" s="29">
        <f t="shared" si="62" ref="H181:N181">H174</f>
        <v>17788</v>
      </c>
      <c r="I181" s="29">
        <f t="shared" si="62"/>
        <v>17788</v>
      </c>
      <c r="J181" s="29">
        <f t="shared" si="62"/>
        <v>17788</v>
      </c>
      <c r="K181" s="29">
        <f t="shared" si="62"/>
        <v>17788</v>
      </c>
      <c r="L181" s="29">
        <f t="shared" si="62"/>
        <v>15706.235934926512</v>
      </c>
      <c r="M181" s="29">
        <f t="shared" si="62"/>
        <v>0</v>
      </c>
      <c r="N181" s="29">
        <f t="shared" si="62"/>
        <v>0</v>
      </c>
      <c r="O181" s="49"/>
      <c r="P181" s="49"/>
    </row>
    <row r="182" ht="12.75" customHeight="1">
      <c r="A182" s="48"/>
      <c r="B182" s="88" t="s">
        <v>134</v>
      </c>
      <c r="C182" s="88"/>
      <c r="D182" s="88"/>
      <c r="E182" s="88"/>
      <c r="F182" s="88"/>
      <c r="G182" s="88"/>
      <c r="H182" s="90">
        <f t="shared" si="27"/>
        <v>53364</v>
      </c>
      <c r="I182" s="90">
        <f t="shared" si="27"/>
        <v>46161.54589084284</v>
      </c>
      <c r="J182" s="90">
        <f t="shared" si="27"/>
        <v>38563.099987630536</v>
      </c>
      <c r="K182" s="90">
        <f t="shared" si="27"/>
        <v>28515.502342328415</v>
      </c>
      <c r="L182" s="90">
        <f t="shared" si="27"/>
        <v>15706.235934926512</v>
      </c>
      <c r="M182" s="90">
        <f t="shared" si="27"/>
        <v>0</v>
      </c>
      <c r="N182" s="90">
        <f t="shared" si="27"/>
        <v>0</v>
      </c>
      <c r="O182" s="80"/>
      <c r="P182" s="80"/>
      <c r="Q182" s="48"/>
      <c r="R182" s="48"/>
    </row>
    <row r="183" ht="12.75" customHeight="1">
      <c r="A183" s="48"/>
      <c r="B183" s="63" t="s">
        <v>135</v>
      </c>
      <c r="C183" s="21"/>
      <c r="D183" s="21"/>
      <c r="E183" s="21"/>
      <c r="F183" s="21"/>
      <c r="G183" s="21"/>
      <c r="H183" s="99">
        <f t="shared" si="63" ref="H183:N183">H182/SUM($N$29:$N$30)</f>
        <v>1</v>
      </c>
      <c r="I183" s="99">
        <f t="shared" si="63"/>
        <v>0.8650315922877378</v>
      </c>
      <c r="J183" s="99">
        <f t="shared" si="63"/>
        <v>0.7226426052700423</v>
      </c>
      <c r="K183" s="99">
        <f t="shared" si="63"/>
        <v>0.5343584128312798</v>
      </c>
      <c r="L183" s="99">
        <f t="shared" si="63"/>
        <v>0.2943226882341375</v>
      </c>
      <c r="M183" s="99">
        <f t="shared" si="63"/>
        <v>0</v>
      </c>
      <c r="N183" s="99">
        <f t="shared" si="63"/>
        <v>0</v>
      </c>
      <c r="O183" s="80"/>
      <c r="P183" s="80"/>
      <c r="Q183" s="48"/>
      <c r="R183" s="48"/>
    </row>
    <row r="184" ht="12.75" customHeight="1">
      <c r="B184" s="76"/>
      <c r="C184" s="127"/>
      <c r="D184" s="127"/>
      <c r="E184" s="135"/>
      <c r="F184" s="7"/>
      <c r="H184" s="7"/>
      <c r="I184" s="7"/>
      <c r="J184" s="7"/>
      <c r="K184" s="7"/>
      <c r="L184" s="7"/>
      <c r="M184" s="7"/>
      <c r="N184" s="7"/>
      <c r="O184" s="7"/>
      <c r="P184" s="7"/>
    </row>
    <row r="185" ht="12.75" customHeight="1">
      <c r="B185" s="14" t="str">
        <f t="shared" si="64"/>
        <v>Term Loan</v>
      </c>
      <c r="C185" s="127"/>
      <c r="D185" s="127"/>
      <c r="E185" s="135"/>
      <c r="F185" s="7"/>
      <c r="H185" s="7"/>
      <c r="I185" s="29">
        <f t="shared" si="65" ref="I185:N185">I165</f>
        <v>2078.3602414523925</v>
      </c>
      <c r="J185" s="29">
        <f t="shared" si="65"/>
        <v>1597.330991050385</v>
      </c>
      <c r="K185" s="29">
        <f t="shared" si="65"/>
        <v>1023.8345757236659</v>
      </c>
      <c r="L185" s="29">
        <f t="shared" si="65"/>
        <v>348.6438261256735</v>
      </c>
      <c r="M185" s="29">
        <f t="shared" si="65"/>
        <v>0</v>
      </c>
      <c r="N185" s="29">
        <f t="shared" si="65"/>
        <v>0</v>
      </c>
      <c r="O185" s="49"/>
      <c r="P185" s="49"/>
    </row>
    <row r="186" ht="12.75" customHeight="1">
      <c r="B186" s="14" t="str">
        <f t="shared" si="66"/>
        <v>Unsecured Senior Notes</v>
      </c>
      <c r="C186" s="127"/>
      <c r="D186" s="127"/>
      <c r="E186" s="135"/>
      <c r="F186" s="7"/>
      <c r="H186" s="7"/>
      <c r="I186" s="29">
        <f t="shared" si="29"/>
        <v>1778.8000000000002</v>
      </c>
      <c r="J186" s="29">
        <f t="shared" si="29"/>
        <v>1778.8000000000002</v>
      </c>
      <c r="K186" s="29">
        <f t="shared" si="29"/>
        <v>1778.8000000000002</v>
      </c>
      <c r="L186" s="29">
        <f t="shared" si="29"/>
        <v>1674.7117967463255</v>
      </c>
      <c r="M186" s="29">
        <f t="shared" si="29"/>
        <v>785.3117967463256</v>
      </c>
      <c r="N186" s="29">
        <f t="shared" si="29"/>
        <v>0</v>
      </c>
      <c r="O186" s="49"/>
      <c r="P186" s="49"/>
    </row>
    <row r="187" ht="12.75" customHeight="1">
      <c r="B187" s="22" t="s">
        <v>136</v>
      </c>
      <c r="C187" s="22"/>
      <c r="D187" s="22"/>
      <c r="E187" s="22"/>
      <c r="F187" s="22"/>
      <c r="G187" s="22"/>
      <c r="H187" s="137"/>
      <c r="I187" s="121">
        <f t="shared" si="27"/>
        <v>3857.1602414523927</v>
      </c>
      <c r="J187" s="121">
        <f t="shared" si="27"/>
        <v>3376.130991050385</v>
      </c>
      <c r="K187" s="121">
        <f t="shared" si="27"/>
        <v>2802.634575723666</v>
      </c>
      <c r="L187" s="121">
        <f t="shared" si="27"/>
        <v>2023.355622871999</v>
      </c>
      <c r="M187" s="121">
        <f t="shared" si="27"/>
        <v>785.3117967463256</v>
      </c>
      <c r="N187" s="121">
        <f t="shared" si="27"/>
        <v>0</v>
      </c>
      <c r="O187" s="49"/>
      <c r="P187" s="49"/>
    </row>
    <row r="188" ht="12.75" customHeight="1">
      <c r="B188" s="7" t="s">
        <v>137</v>
      </c>
      <c r="C188" s="7"/>
      <c r="D188" s="7"/>
      <c r="E188" s="7"/>
      <c r="F188" s="7"/>
      <c r="G188" s="7"/>
      <c r="H188" s="7"/>
      <c r="I188" s="29">
        <f t="shared" si="67" ref="I188:N188">I142</f>
        <v>220</v>
      </c>
      <c r="J188" s="29">
        <f t="shared" si="67"/>
        <v>244.2</v>
      </c>
      <c r="K188" s="29">
        <f t="shared" si="67"/>
        <v>271.06199999999995</v>
      </c>
      <c r="L188" s="29">
        <f t="shared" si="67"/>
        <v>300.87881999999996</v>
      </c>
      <c r="M188" s="29">
        <f t="shared" si="67"/>
        <v>333.97549019999997</v>
      </c>
      <c r="N188" s="29">
        <f t="shared" si="67"/>
        <v>370.71279412199993</v>
      </c>
      <c r="O188" s="49"/>
      <c r="P188" s="49"/>
    </row>
    <row r="189" ht="12.75" customHeight="1">
      <c r="A189" s="48"/>
      <c r="B189" s="88" t="s">
        <v>138</v>
      </c>
      <c r="C189" s="88"/>
      <c r="D189" s="88"/>
      <c r="E189" s="88"/>
      <c r="F189" s="88"/>
      <c r="G189" s="88"/>
      <c r="H189" s="91"/>
      <c r="I189" s="90">
        <f t="shared" si="27"/>
        <v>4077.1602414523927</v>
      </c>
      <c r="J189" s="90">
        <f t="shared" si="27"/>
        <v>3620.330991050385</v>
      </c>
      <c r="K189" s="90">
        <f t="shared" si="27"/>
        <v>3073.696575723666</v>
      </c>
      <c r="L189" s="90">
        <f t="shared" si="27"/>
        <v>2324.234442871999</v>
      </c>
      <c r="M189" s="90">
        <f t="shared" si="27"/>
        <v>1119.2872869463256</v>
      </c>
      <c r="N189" s="90">
        <f t="shared" si="27"/>
        <v>370.71279412199993</v>
      </c>
      <c r="O189" s="138"/>
      <c r="P189" s="138"/>
      <c r="Q189" s="48"/>
      <c r="R189" s="48"/>
    </row>
    <row r="190" ht="12.75" customHeight="1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ht="12.75" customHeight="1">
      <c r="B191" s="4" t="s">
        <v>139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t="12.75" customHeight="1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ht="12.75" customHeight="1">
      <c r="B193" s="7"/>
      <c r="C193" s="7"/>
      <c r="D193" s="7"/>
      <c r="E193" s="7"/>
      <c r="H193" s="64">
        <v>2024</v>
      </c>
      <c r="I193" s="65">
        <v>2025</v>
      </c>
      <c r="J193" s="65">
        <v>2026</v>
      </c>
      <c r="K193" s="65">
        <v>2027</v>
      </c>
      <c r="L193" s="65">
        <v>2028</v>
      </c>
      <c r="M193" s="65">
        <v>2029</v>
      </c>
      <c r="N193" s="65">
        <v>2030</v>
      </c>
      <c r="O193" s="7"/>
      <c r="P193" s="7"/>
    </row>
    <row r="194" ht="12.75" customHeight="1">
      <c r="B194" s="7"/>
      <c r="C194" s="7"/>
      <c r="D194" s="7"/>
      <c r="E194" s="7"/>
      <c r="F194" s="7"/>
      <c r="H194" s="108"/>
      <c r="I194" s="62"/>
      <c r="J194" s="62"/>
      <c r="K194" s="62"/>
      <c r="L194" s="62"/>
      <c r="M194" s="62"/>
      <c r="N194" s="62"/>
      <c r="O194" s="7"/>
      <c r="P194" s="7"/>
    </row>
    <row r="195" ht="12.75" customHeight="1">
      <c r="B195" s="16" t="s">
        <v>140</v>
      </c>
      <c r="C195" s="7"/>
      <c r="D195" s="7"/>
      <c r="E195" s="7"/>
      <c r="F195" s="7"/>
      <c r="H195" s="49"/>
      <c r="I195" s="29">
        <v>10979</v>
      </c>
      <c r="J195" s="29">
        <v>13559</v>
      </c>
      <c r="K195" s="29">
        <v>16495</v>
      </c>
      <c r="L195" s="29">
        <v>19746</v>
      </c>
      <c r="M195" s="29">
        <v>23243</v>
      </c>
      <c r="N195" s="29">
        <v>26882</v>
      </c>
      <c r="O195" s="7"/>
      <c r="P195" s="7"/>
    </row>
    <row r="196" ht="12.75" customHeight="1">
      <c r="B196" s="16" t="s">
        <v>141</v>
      </c>
      <c r="C196" s="7"/>
      <c r="D196" s="7"/>
      <c r="E196" s="7"/>
      <c r="F196" s="7"/>
      <c r="H196" s="139"/>
      <c r="I196" s="140">
        <v>15</v>
      </c>
      <c r="J196" s="140">
        <v>15</v>
      </c>
      <c r="K196" s="140">
        <v>15</v>
      </c>
      <c r="L196" s="140">
        <v>15</v>
      </c>
      <c r="M196" s="140">
        <v>15</v>
      </c>
      <c r="N196" s="140">
        <v>15</v>
      </c>
      <c r="O196" s="7"/>
      <c r="P196" s="7"/>
    </row>
    <row r="197" ht="12.75" customHeight="1">
      <c r="B197" s="88" t="s">
        <v>142</v>
      </c>
      <c r="C197" s="88"/>
      <c r="D197" s="88"/>
      <c r="E197" s="88"/>
      <c r="F197" s="88"/>
      <c r="G197" s="123"/>
      <c r="H197" s="91"/>
      <c r="I197" s="90">
        <f t="shared" si="2"/>
        <v>164685</v>
      </c>
      <c r="J197" s="90">
        <f t="shared" si="2"/>
        <v>203385</v>
      </c>
      <c r="K197" s="90">
        <f t="shared" si="2"/>
        <v>247425</v>
      </c>
      <c r="L197" s="90">
        <f t="shared" si="2"/>
        <v>296190</v>
      </c>
      <c r="M197" s="90">
        <f t="shared" si="2"/>
        <v>348645</v>
      </c>
      <c r="N197" s="90">
        <f t="shared" si="2"/>
        <v>403230</v>
      </c>
      <c r="O197" s="7"/>
      <c r="P197" s="7"/>
    </row>
    <row r="198" ht="12.75" customHeight="1">
      <c r="B198" s="16" t="s">
        <v>143</v>
      </c>
      <c r="C198" s="7"/>
      <c r="D198" s="7"/>
      <c r="E198" s="7"/>
      <c r="F198" s="7"/>
      <c r="H198" s="49"/>
      <c r="I198" s="29">
        <f t="shared" si="68" ref="I198:N198">-I182</f>
        <v>-46161.54589084284</v>
      </c>
      <c r="J198" s="29">
        <f t="shared" si="68"/>
        <v>-38563.099987630536</v>
      </c>
      <c r="K198" s="29">
        <f t="shared" si="68"/>
        <v>-28515.502342328415</v>
      </c>
      <c r="L198" s="29">
        <f t="shared" si="68"/>
        <v>-15706.235934926512</v>
      </c>
      <c r="M198" s="29">
        <f t="shared" si="68"/>
        <v>0</v>
      </c>
      <c r="N198" s="29">
        <f t="shared" si="68"/>
        <v>0</v>
      </c>
      <c r="O198" s="7"/>
      <c r="P198" s="7"/>
    </row>
    <row r="199" ht="12.75" customHeight="1">
      <c r="B199" s="16" t="s">
        <v>144</v>
      </c>
      <c r="C199" s="7"/>
      <c r="D199" s="7"/>
      <c r="E199" s="7"/>
      <c r="F199" s="7"/>
      <c r="H199" s="49"/>
      <c r="I199" s="29">
        <f t="shared" si="69" ref="I199:N199">I134</f>
        <v>250</v>
      </c>
      <c r="J199" s="29">
        <f t="shared" si="69"/>
        <v>250</v>
      </c>
      <c r="K199" s="29">
        <f t="shared" si="69"/>
        <v>250</v>
      </c>
      <c r="L199" s="29">
        <f t="shared" si="69"/>
        <v>250</v>
      </c>
      <c r="M199" s="29">
        <f t="shared" si="69"/>
        <v>405.72243927094405</v>
      </c>
      <c r="N199" s="29">
        <f t="shared" si="69"/>
        <v>9852.795011327271</v>
      </c>
      <c r="O199" s="7"/>
      <c r="P199" s="7"/>
    </row>
    <row r="200" ht="12.75" customHeight="1">
      <c r="B200" s="16" t="s">
        <v>145</v>
      </c>
      <c r="C200" s="7"/>
      <c r="D200" s="7"/>
      <c r="E200" s="7"/>
      <c r="F200" s="7"/>
      <c r="H200" s="49"/>
      <c r="I200" s="29">
        <f t="shared" si="70" ref="I200:N200">-I144</f>
        <v>-2220</v>
      </c>
      <c r="J200" s="29">
        <f t="shared" si="70"/>
        <v>-2464.2</v>
      </c>
      <c r="K200" s="29">
        <f t="shared" si="70"/>
        <v>-2735.2619999999997</v>
      </c>
      <c r="L200" s="29">
        <f t="shared" si="70"/>
        <v>-3036.1408199999996</v>
      </c>
      <c r="M200" s="29">
        <f t="shared" si="70"/>
        <v>-3370.1163101999996</v>
      </c>
      <c r="N200" s="29">
        <f t="shared" si="70"/>
        <v>-3740.8291043219997</v>
      </c>
      <c r="O200" s="7"/>
      <c r="P200" s="7"/>
    </row>
    <row r="201" ht="12.75" customHeight="1">
      <c r="B201" s="88" t="s">
        <v>146</v>
      </c>
      <c r="C201" s="88"/>
      <c r="D201" s="88"/>
      <c r="E201" s="88"/>
      <c r="F201" s="88"/>
      <c r="G201" s="123"/>
      <c r="H201" s="91"/>
      <c r="I201" s="90">
        <f t="shared" si="4"/>
        <v>116553.454109157</v>
      </c>
      <c r="J201" s="90">
        <f t="shared" si="4"/>
        <v>159474.0660591893</v>
      </c>
      <c r="K201" s="90">
        <f t="shared" si="4"/>
        <v>208658.2475163819</v>
      </c>
      <c r="L201" s="90">
        <f t="shared" si="4"/>
        <v>263587.70870698296</v>
      </c>
      <c r="M201" s="90">
        <f t="shared" si="4"/>
        <v>323356.0726814736</v>
      </c>
      <c r="N201" s="90">
        <f t="shared" si="4"/>
        <v>376978.6003122656</v>
      </c>
      <c r="O201" s="7"/>
      <c r="P201" s="7"/>
    </row>
    <row r="202" ht="12.75" customHeight="1">
      <c r="B202" s="7"/>
      <c r="C202" s="7"/>
      <c r="D202" s="7"/>
      <c r="E202" s="7"/>
      <c r="F202" s="7"/>
      <c r="H202" s="49"/>
      <c r="I202" s="49"/>
      <c r="J202" s="49"/>
      <c r="K202" s="49"/>
      <c r="L202" s="49"/>
      <c r="M202" s="49"/>
      <c r="N202" s="49"/>
      <c r="O202" s="7"/>
      <c r="P202" s="7"/>
    </row>
    <row r="203" ht="12.75" customHeight="1">
      <c r="B203" s="16" t="s">
        <v>147</v>
      </c>
      <c r="C203" s="7"/>
      <c r="D203" s="7"/>
      <c r="E203" s="7"/>
      <c r="F203" s="7"/>
      <c r="H203" s="49"/>
      <c r="I203" s="29">
        <f>-(N33+I129)</f>
        <v>-107433.59319499996</v>
      </c>
      <c r="J203" s="29">
        <f t="shared" si="71" ref="J203:N203">I203-J129</f>
        <v>-107433.59319499996</v>
      </c>
      <c r="K203" s="29">
        <f t="shared" si="71"/>
        <v>-107433.59319499996</v>
      </c>
      <c r="L203" s="29">
        <f t="shared" si="71"/>
        <v>-107433.59319499996</v>
      </c>
      <c r="M203" s="29">
        <f t="shared" si="71"/>
        <v>-107277.87075572902</v>
      </c>
      <c r="N203" s="29">
        <f t="shared" si="71"/>
        <v>-97830.79818367268</v>
      </c>
      <c r="O203" s="92"/>
      <c r="P203" s="7"/>
      <c r="T203" s="141"/>
      <c r="U203" s="142"/>
    </row>
    <row r="204" ht="12.75" customHeight="1">
      <c r="B204" s="88" t="s">
        <v>148</v>
      </c>
      <c r="C204" s="88"/>
      <c r="D204" s="88"/>
      <c r="E204" s="88"/>
      <c r="F204" s="143"/>
      <c r="G204" s="123"/>
      <c r="H204" s="144"/>
      <c r="I204" s="90">
        <f t="shared" si="72" ref="I204:N204">SUM(I201,I203)</f>
        <v>9119.86091415703</v>
      </c>
      <c r="J204" s="90">
        <f t="shared" si="72"/>
        <v>52040.47286418933</v>
      </c>
      <c r="K204" s="90">
        <f t="shared" si="72"/>
        <v>101224.65432138194</v>
      </c>
      <c r="L204" s="90">
        <f t="shared" si="72"/>
        <v>156154.115511983</v>
      </c>
      <c r="M204" s="90">
        <f t="shared" si="72"/>
        <v>216078.2019257446</v>
      </c>
      <c r="N204" s="90">
        <f t="shared" si="72"/>
        <v>279147.802128593</v>
      </c>
      <c r="O204" s="7"/>
      <c r="P204" s="7"/>
      <c r="T204" s="141"/>
      <c r="U204" s="142"/>
    </row>
    <row r="205" ht="12.75" customHeight="1">
      <c r="B205" s="7"/>
      <c r="C205" s="7"/>
      <c r="D205" s="7"/>
      <c r="E205" s="7"/>
      <c r="F205" s="7"/>
      <c r="H205" s="49"/>
      <c r="I205" s="49"/>
      <c r="J205" s="49"/>
      <c r="K205" s="49"/>
      <c r="L205" s="49"/>
      <c r="M205" s="49"/>
      <c r="N205" s="49"/>
      <c r="O205" s="7"/>
      <c r="P205" s="7"/>
      <c r="R205" s="141"/>
      <c r="S205" s="141"/>
      <c r="T205" s="141"/>
    </row>
    <row r="206" ht="12.75" customHeight="1">
      <c r="B206" s="21" t="s">
        <v>149</v>
      </c>
      <c r="C206" s="21"/>
      <c r="D206" s="21"/>
      <c r="E206" s="21"/>
      <c r="F206" s="3"/>
      <c r="G206" s="48"/>
      <c r="H206" s="138"/>
      <c r="I206" s="145">
        <f t="shared" si="73" ref="I206:N213">I201</f>
        <v>116553.454109157</v>
      </c>
      <c r="J206" s="145">
        <f t="shared" si="73"/>
        <v>159474.0660591893</v>
      </c>
      <c r="K206" s="145">
        <f t="shared" si="73"/>
        <v>208658.2475163819</v>
      </c>
      <c r="L206" s="145">
        <f t="shared" si="73"/>
        <v>263587.70870698296</v>
      </c>
      <c r="M206" s="145">
        <f t="shared" si="73"/>
        <v>323356.0726814736</v>
      </c>
      <c r="N206" s="145">
        <f t="shared" si="73"/>
        <v>376978.6003122656</v>
      </c>
      <c r="O206" s="7"/>
      <c r="P206" s="7"/>
      <c r="R206" s="141"/>
      <c r="S206" s="141"/>
    </row>
    <row r="207" ht="12.75" customHeight="1">
      <c r="B207" s="16" t="s">
        <v>150</v>
      </c>
      <c r="C207" s="7"/>
      <c r="D207" s="7"/>
      <c r="E207" s="7"/>
      <c r="F207" s="117">
        <f>N17</f>
        <v>0.1</v>
      </c>
      <c r="H207" s="49"/>
      <c r="I207" s="29">
        <f t="shared" si="74" ref="I207:N207">-$F$207*I206</f>
        <v>-11655.3454109157</v>
      </c>
      <c r="J207" s="29">
        <f t="shared" si="74"/>
        <v>-15947.40660591893</v>
      </c>
      <c r="K207" s="29">
        <f t="shared" si="74"/>
        <v>-20865.824751638193</v>
      </c>
      <c r="L207" s="29">
        <f t="shared" si="74"/>
        <v>-26358.770870698296</v>
      </c>
      <c r="M207" s="29">
        <f t="shared" si="74"/>
        <v>-32335.607268147363</v>
      </c>
      <c r="N207" s="29">
        <f t="shared" si="74"/>
        <v>-37697.86003122656</v>
      </c>
      <c r="O207" s="7"/>
      <c r="P207" s="7"/>
    </row>
    <row r="208" ht="12.75" customHeight="1">
      <c r="B208" s="88" t="s">
        <v>151</v>
      </c>
      <c r="C208" s="88"/>
      <c r="D208" s="88"/>
      <c r="E208" s="88"/>
      <c r="F208" s="88"/>
      <c r="G208" s="123"/>
      <c r="H208" s="91"/>
      <c r="I208" s="90">
        <f t="shared" si="27"/>
        <v>104898.108698241</v>
      </c>
      <c r="J208" s="90">
        <f t="shared" si="27"/>
        <v>143526.65945327037</v>
      </c>
      <c r="K208" s="90">
        <f t="shared" si="27"/>
        <v>187792.4227647437</v>
      </c>
      <c r="L208" s="90">
        <f t="shared" si="27"/>
        <v>237228.93783628466</v>
      </c>
      <c r="M208" s="90">
        <f t="shared" si="27"/>
        <v>291020.4654133263</v>
      </c>
      <c r="N208" s="90">
        <f t="shared" si="27"/>
        <v>339280.74028103903</v>
      </c>
      <c r="O208" s="7"/>
      <c r="P208" s="7"/>
    </row>
    <row r="209" ht="12.75" customHeight="1">
      <c r="B209" s="21"/>
      <c r="C209" s="21"/>
      <c r="D209" s="21"/>
      <c r="E209" s="21"/>
      <c r="F209" s="21"/>
      <c r="G209" s="48"/>
      <c r="H209" s="80"/>
      <c r="I209" s="94"/>
      <c r="J209" s="94"/>
      <c r="K209" s="94"/>
      <c r="L209" s="94"/>
      <c r="M209" s="94"/>
      <c r="N209" s="94"/>
      <c r="O209" s="7"/>
      <c r="P209" s="7"/>
    </row>
    <row r="210" ht="12.75" customHeight="1">
      <c r="B210" s="146" t="s">
        <v>152</v>
      </c>
      <c r="C210" s="146"/>
      <c r="D210" s="146"/>
      <c r="E210" s="146"/>
      <c r="F210" s="146"/>
      <c r="G210" s="147"/>
      <c r="H210" s="148">
        <v>45657</v>
      </c>
      <c r="I210" s="148">
        <f t="shared" si="75" ref="I210:N210">EOMONTH(H210,12)</f>
        <v>46022</v>
      </c>
      <c r="J210" s="148">
        <f t="shared" si="75"/>
        <v>46387</v>
      </c>
      <c r="K210" s="148">
        <f t="shared" si="75"/>
        <v>46752</v>
      </c>
      <c r="L210" s="148">
        <f t="shared" si="75"/>
        <v>47118</v>
      </c>
      <c r="M210" s="148">
        <f t="shared" si="75"/>
        <v>47483</v>
      </c>
      <c r="N210" s="148">
        <f t="shared" si="75"/>
        <v>47848</v>
      </c>
      <c r="O210" s="7"/>
      <c r="P210" s="7"/>
    </row>
    <row r="211" ht="12.75" customHeight="1">
      <c r="B211" s="7" t="s">
        <v>153</v>
      </c>
      <c r="C211" s="7"/>
      <c r="D211" s="7"/>
      <c r="E211" s="7"/>
      <c r="F211" s="7"/>
      <c r="H211" s="29">
        <f>-N33</f>
        <v>-107433.59319499996</v>
      </c>
      <c r="O211" s="7"/>
      <c r="P211" s="7"/>
    </row>
    <row r="212" ht="12.75" customHeight="1">
      <c r="B212" s="7" t="s">
        <v>154</v>
      </c>
      <c r="C212" s="7"/>
      <c r="D212" s="7"/>
      <c r="E212" s="7"/>
      <c r="F212" s="7"/>
      <c r="H212" s="149"/>
      <c r="I212" s="29">
        <f t="shared" si="76" ref="I212:N212">-I129</f>
        <v>0</v>
      </c>
      <c r="J212" s="29">
        <f t="shared" si="76"/>
        <v>0</v>
      </c>
      <c r="K212" s="29">
        <f t="shared" si="76"/>
        <v>0</v>
      </c>
      <c r="L212" s="29">
        <f t="shared" si="76"/>
        <v>0</v>
      </c>
      <c r="M212" s="29">
        <f t="shared" si="76"/>
        <v>155.72243927094405</v>
      </c>
      <c r="N212" s="29">
        <f t="shared" si="76"/>
        <v>9447.072572056328</v>
      </c>
      <c r="O212" s="7"/>
      <c r="P212" s="7"/>
    </row>
    <row r="213" ht="12.75" customHeight="1">
      <c r="B213" s="7" t="s">
        <v>151</v>
      </c>
      <c r="C213" s="7"/>
      <c r="D213" s="7"/>
      <c r="E213" s="7"/>
      <c r="F213" s="7"/>
      <c r="H213" s="149"/>
      <c r="I213" s="92"/>
      <c r="J213" s="92"/>
      <c r="K213" s="92"/>
      <c r="L213" s="92"/>
      <c r="M213" s="92"/>
      <c r="N213" s="29">
        <f t="shared" si="73"/>
        <v>339280.74028103903</v>
      </c>
      <c r="O213" s="7"/>
      <c r="P213" s="7"/>
    </row>
    <row r="214" ht="12.75" customHeight="1">
      <c r="B214" s="88" t="s">
        <v>155</v>
      </c>
      <c r="C214" s="88"/>
      <c r="D214" s="88"/>
      <c r="E214" s="88"/>
      <c r="F214" s="88"/>
      <c r="G214" s="123"/>
      <c r="H214" s="90">
        <f t="shared" si="77" ref="H214:N257">SUM(H211:H213)</f>
        <v>-107433.59319499996</v>
      </c>
      <c r="I214" s="90">
        <f t="shared" si="77"/>
        <v>0</v>
      </c>
      <c r="J214" s="90">
        <f t="shared" si="77"/>
        <v>0</v>
      </c>
      <c r="K214" s="90">
        <f t="shared" si="77"/>
        <v>0</v>
      </c>
      <c r="L214" s="90">
        <f t="shared" si="77"/>
        <v>0</v>
      </c>
      <c r="M214" s="90">
        <f t="shared" si="77"/>
        <v>155.72243927094405</v>
      </c>
      <c r="N214" s="90">
        <f t="shared" si="77"/>
        <v>348727.81285309535</v>
      </c>
      <c r="O214" s="7"/>
      <c r="P214" s="7"/>
    </row>
    <row r="215" ht="12.75" customHeight="1">
      <c r="B215" s="21"/>
      <c r="C215" s="21"/>
      <c r="D215" s="21"/>
      <c r="E215" s="21"/>
      <c r="F215" s="21"/>
      <c r="G215" s="48"/>
      <c r="H215" s="94"/>
      <c r="I215" s="94"/>
      <c r="J215" s="94"/>
      <c r="K215" s="94"/>
      <c r="L215" s="94"/>
      <c r="M215" s="94"/>
      <c r="N215" s="94"/>
      <c r="O215" s="7"/>
      <c r="P215" s="7"/>
    </row>
    <row r="216" ht="12.75" customHeight="1">
      <c r="B216" s="21" t="s">
        <v>156</v>
      </c>
      <c r="C216" s="21"/>
      <c r="D216" s="21"/>
      <c r="E216" s="21"/>
      <c r="F216" s="21"/>
      <c r="G216" s="48"/>
      <c r="H216" s="94"/>
      <c r="I216" s="94"/>
      <c r="J216" s="94"/>
      <c r="K216" s="94"/>
      <c r="L216" s="94"/>
      <c r="M216" s="94"/>
      <c r="N216" s="150">
        <f>IRR(H214:N214)</f>
        <v>0.21692478611836052</v>
      </c>
      <c r="O216" s="7"/>
      <c r="P216" s="7"/>
    </row>
    <row r="217" ht="12.75" customHeight="1">
      <c r="B217" s="21" t="s">
        <v>157</v>
      </c>
      <c r="C217" s="21"/>
      <c r="D217" s="21"/>
      <c r="E217" s="21"/>
      <c r="F217" s="21"/>
      <c r="G217" s="48"/>
      <c r="H217" s="94"/>
      <c r="I217" s="94"/>
      <c r="J217" s="94"/>
      <c r="K217" s="94"/>
      <c r="L217" s="94"/>
      <c r="M217" s="94"/>
      <c r="N217" s="151">
        <f>-SUM(I214:N214)/H214</f>
        <v>3.247434297939907</v>
      </c>
      <c r="O217" s="7"/>
      <c r="P217" s="7"/>
    </row>
    <row r="218" ht="12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ht="12.75" customHeight="1">
      <c r="B219" s="4" t="s">
        <v>158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1" ht="26.25" customHeight="1" s="152" customFormat="1">
      <c r="A221" s="152"/>
      <c r="B221" s="152"/>
      <c r="C221" s="152"/>
      <c r="D221" s="152"/>
      <c r="E221" s="152"/>
      <c r="F221" s="153" t="s">
        <v>159</v>
      </c>
      <c r="G221" s="153" t="s">
        <v>160</v>
      </c>
      <c r="H221" s="154" t="s">
        <v>161</v>
      </c>
      <c r="I221" s="153" t="s">
        <v>162</v>
      </c>
      <c r="J221" s="153" t="s">
        <v>163</v>
      </c>
      <c r="K221" s="155" t="s">
        <v>164</v>
      </c>
      <c r="L221" s="152"/>
      <c r="M221" s="154"/>
      <c r="N221" s="154"/>
      <c r="O221" s="154"/>
      <c r="P221" s="154"/>
      <c r="Q221" s="152"/>
      <c r="R221" s="152"/>
      <c r="S221" s="152"/>
      <c r="T221" s="152"/>
      <c r="U221" s="152"/>
    </row>
    <row r="222" ht="13.5" customHeight="1">
      <c r="B222" s="156" t="s">
        <v>165</v>
      </c>
      <c r="C222" s="22"/>
      <c r="D222" s="22"/>
      <c r="E222" s="22"/>
      <c r="F222" s="157">
        <v>15864</v>
      </c>
      <c r="G222" s="157">
        <v>115325</v>
      </c>
      <c r="H222" s="158">
        <f t="shared" si="78" ref="H222:H224">F222/G222</f>
        <v>0.13755907218729677</v>
      </c>
      <c r="I222" s="159">
        <v>0.256</v>
      </c>
      <c r="J222" s="160">
        <v>1.12</v>
      </c>
      <c r="K222" s="161">
        <f t="shared" si="79" ref="K222:K224">J222/((1+(1-$N$15)*H222))</f>
        <v>1.012731036814409</v>
      </c>
      <c r="L222" s="162"/>
      <c r="M222" s="163"/>
      <c r="N222" s="62"/>
      <c r="O222" s="62"/>
      <c r="P222" s="62"/>
    </row>
    <row r="223" ht="13.5" customHeight="1">
      <c r="B223" s="164" t="s">
        <v>166</v>
      </c>
      <c r="C223" s="7"/>
      <c r="D223" s="7"/>
      <c r="E223" s="7"/>
      <c r="F223" s="165">
        <v>8394</v>
      </c>
      <c r="G223" s="165">
        <v>289456</v>
      </c>
      <c r="H223" s="166">
        <f t="shared" si="78"/>
        <v>0.028999226134542037</v>
      </c>
      <c r="I223" s="167">
        <v>0.223</v>
      </c>
      <c r="J223" s="168">
        <v>1.25</v>
      </c>
      <c r="K223" s="169">
        <f t="shared" si="79"/>
        <v>1.2226978848090315</v>
      </c>
      <c r="L223" s="170"/>
      <c r="M223" s="163"/>
      <c r="N223" s="62"/>
      <c r="O223" s="62"/>
      <c r="P223" s="62"/>
    </row>
    <row r="224" ht="13.5" customHeight="1">
      <c r="B224" s="171" t="s">
        <v>167</v>
      </c>
      <c r="C224" s="172"/>
      <c r="D224" s="172"/>
      <c r="E224" s="172"/>
      <c r="F224" s="173">
        <v>2973</v>
      </c>
      <c r="G224" s="173">
        <v>19824</v>
      </c>
      <c r="H224" s="174">
        <f t="shared" si="78"/>
        <v>0.14996973365617433</v>
      </c>
      <c r="I224" s="175">
        <v>0.301</v>
      </c>
      <c r="J224" s="176">
        <v>1.05</v>
      </c>
      <c r="K224" s="177">
        <f t="shared" si="79"/>
        <v>0.9413016020740544</v>
      </c>
      <c r="L224" s="170"/>
      <c r="M224" s="163"/>
      <c r="N224" s="62"/>
      <c r="O224" s="62"/>
      <c r="P224" s="62"/>
    </row>
    <row r="225" ht="13.5" customHeight="1">
      <c r="B225" s="178" t="s">
        <v>168</v>
      </c>
      <c r="C225" s="54"/>
      <c r="D225" s="54"/>
      <c r="E225" s="54"/>
      <c r="F225" s="179"/>
      <c r="G225" s="179"/>
      <c r="H225" s="179"/>
      <c r="I225" s="180"/>
      <c r="J225" s="181"/>
      <c r="K225" s="182">
        <f>AVERAGE(K222:K224)</f>
        <v>1.0589101745658316</v>
      </c>
      <c r="L225" s="170"/>
      <c r="M225" s="170"/>
      <c r="N225" s="62"/>
      <c r="O225" s="62"/>
      <c r="P225" s="62"/>
    </row>
    <row r="226" ht="13.5" customHeight="1">
      <c r="B226" s="7"/>
      <c r="C226" s="7"/>
      <c r="D226" s="7"/>
      <c r="E226" s="7"/>
      <c r="F226" s="122"/>
      <c r="G226" s="122"/>
      <c r="H226" s="122"/>
      <c r="I226" s="62"/>
      <c r="J226" s="62"/>
      <c r="K226" s="62"/>
      <c r="L226" s="62"/>
      <c r="M226" s="62"/>
      <c r="N226" s="62"/>
      <c r="O226" s="62"/>
      <c r="P226" s="62"/>
    </row>
    <row r="227" ht="13.5" customHeight="1">
      <c r="B227" s="7" t="s">
        <v>169</v>
      </c>
      <c r="C227" s="7"/>
      <c r="D227" s="7"/>
      <c r="E227" s="7"/>
      <c r="F227" s="183">
        <v>0.042</v>
      </c>
      <c r="H227" s="108"/>
      <c r="I227" s="62"/>
      <c r="J227" s="62"/>
      <c r="K227" s="62"/>
      <c r="L227" s="62"/>
      <c r="M227" s="62"/>
      <c r="N227" s="62"/>
      <c r="O227" s="62"/>
      <c r="P227" s="62"/>
    </row>
    <row r="228" ht="13.5" customHeight="1">
      <c r="B228" s="7" t="s">
        <v>170</v>
      </c>
      <c r="C228" s="7"/>
      <c r="D228" s="7"/>
      <c r="E228" s="7"/>
      <c r="F228" s="184">
        <f>K225*(1+(1-N15)*F237)</f>
        <v>1.2027973806391887</v>
      </c>
      <c r="H228" s="108"/>
      <c r="I228" s="62"/>
      <c r="J228" s="62"/>
      <c r="K228" s="62"/>
      <c r="L228" s="62"/>
      <c r="M228" s="62"/>
      <c r="N228" s="62"/>
      <c r="O228" s="62"/>
      <c r="P228" s="62"/>
    </row>
    <row r="229" ht="13.5" customHeight="1">
      <c r="B229" s="7" t="s">
        <v>171</v>
      </c>
      <c r="C229" s="7"/>
      <c r="D229" s="7"/>
      <c r="E229" s="7"/>
      <c r="F229" s="183">
        <v>0.055</v>
      </c>
      <c r="H229" s="108"/>
      <c r="I229" s="62"/>
      <c r="J229" s="62"/>
      <c r="K229" s="62"/>
      <c r="L229" s="62"/>
      <c r="M229" s="62"/>
      <c r="N229" s="62"/>
      <c r="O229" s="62"/>
      <c r="P229" s="62"/>
    </row>
    <row r="230" ht="13.5" customHeight="1">
      <c r="B230" s="88" t="s">
        <v>172</v>
      </c>
      <c r="C230" s="88"/>
      <c r="D230" s="88"/>
      <c r="E230" s="88"/>
      <c r="F230" s="185">
        <f>F227+F228*F229</f>
        <v>0.10815385593515539</v>
      </c>
      <c r="H230" s="108"/>
      <c r="I230" s="62"/>
      <c r="J230" s="62"/>
      <c r="K230" s="62"/>
      <c r="L230" s="62"/>
      <c r="M230" s="62"/>
      <c r="N230" s="62"/>
      <c r="O230" s="62"/>
      <c r="P230" s="62"/>
    </row>
    <row r="231" ht="13.5" customHeight="1">
      <c r="B231" s="7"/>
      <c r="C231" s="7"/>
      <c r="D231" s="7"/>
      <c r="E231" s="7"/>
      <c r="F231" s="7"/>
      <c r="H231" s="108"/>
      <c r="I231" s="62"/>
      <c r="J231" s="62"/>
      <c r="K231" s="62"/>
      <c r="L231" s="62"/>
      <c r="M231" s="62"/>
      <c r="N231" s="62"/>
      <c r="O231" s="62"/>
      <c r="P231" s="62"/>
    </row>
    <row r="232" ht="13.5" customHeight="1">
      <c r="B232" s="7" t="s">
        <v>162</v>
      </c>
      <c r="C232" s="7"/>
      <c r="D232" s="7"/>
      <c r="E232" s="7"/>
      <c r="F232" s="186">
        <v>0.23</v>
      </c>
      <c r="H232" s="108"/>
      <c r="I232" s="62"/>
      <c r="J232" s="62"/>
      <c r="K232" s="62"/>
      <c r="L232" s="62"/>
      <c r="M232" s="62"/>
      <c r="N232" s="62"/>
      <c r="O232" s="62"/>
      <c r="P232" s="62"/>
    </row>
    <row r="233" ht="13.5" customHeight="1">
      <c r="B233" s="7" t="s">
        <v>173</v>
      </c>
      <c r="C233" s="7"/>
      <c r="D233" s="7"/>
      <c r="E233" s="7"/>
      <c r="F233" s="183">
        <v>0.08</v>
      </c>
      <c r="H233" s="108"/>
      <c r="I233" s="62"/>
      <c r="J233" s="62"/>
      <c r="K233" s="62"/>
      <c r="L233" s="62"/>
      <c r="M233" s="62"/>
      <c r="N233" s="62"/>
      <c r="O233" s="62"/>
      <c r="P233" s="62"/>
    </row>
    <row r="234" ht="13.5" customHeight="1">
      <c r="B234" s="88" t="s">
        <v>174</v>
      </c>
      <c r="C234" s="88"/>
      <c r="D234" s="88"/>
      <c r="E234" s="88"/>
      <c r="F234" s="185">
        <f>F233*(1-F232)</f>
        <v>0.0616</v>
      </c>
      <c r="H234" s="108"/>
      <c r="I234" s="62"/>
      <c r="J234" s="62"/>
      <c r="K234" s="62"/>
      <c r="L234" s="62"/>
      <c r="M234" s="62"/>
      <c r="N234" s="62"/>
      <c r="O234" s="62"/>
      <c r="P234" s="62"/>
    </row>
    <row r="235" ht="13.5" customHeight="1">
      <c r="B235" s="7"/>
      <c r="C235" s="7"/>
      <c r="D235" s="7"/>
      <c r="E235" s="7"/>
      <c r="F235" s="7"/>
      <c r="H235" s="108"/>
      <c r="I235" s="62"/>
      <c r="J235" s="62"/>
      <c r="K235" s="62"/>
      <c r="L235" s="62"/>
      <c r="M235" s="62"/>
      <c r="N235" s="62"/>
      <c r="O235" s="62"/>
      <c r="P235" s="62"/>
    </row>
    <row r="236" ht="13.5" customHeight="1">
      <c r="B236" s="7" t="s">
        <v>175</v>
      </c>
      <c r="C236" s="7"/>
      <c r="D236" s="7"/>
      <c r="E236" s="7"/>
      <c r="F236" s="187">
        <v>0.15</v>
      </c>
      <c r="G236" s="142"/>
      <c r="H236" s="108"/>
      <c r="I236" s="188"/>
      <c r="J236" s="62"/>
      <c r="K236" s="62"/>
      <c r="L236" s="62"/>
      <c r="M236" s="62"/>
      <c r="N236" s="62"/>
      <c r="O236" s="62"/>
      <c r="P236" s="62"/>
    </row>
    <row r="237" ht="13.5" customHeight="1">
      <c r="B237" s="7" t="s">
        <v>176</v>
      </c>
      <c r="C237" s="7"/>
      <c r="D237" s="7"/>
      <c r="E237" s="7"/>
      <c r="F237" s="189">
        <f>F236/(1-F236)</f>
        <v>0.17647058823529413</v>
      </c>
      <c r="H237" s="108"/>
      <c r="I237" s="62"/>
      <c r="J237" s="62"/>
      <c r="K237" s="62"/>
      <c r="L237" s="62"/>
      <c r="M237" s="62"/>
      <c r="N237" s="62"/>
      <c r="O237" s="62"/>
      <c r="P237" s="62"/>
    </row>
    <row r="238" ht="13.5" customHeight="1">
      <c r="B238" s="7"/>
      <c r="C238" s="7"/>
      <c r="D238" s="7"/>
      <c r="E238" s="7"/>
      <c r="F238" s="190"/>
      <c r="H238" s="108"/>
      <c r="I238" s="62"/>
      <c r="J238" s="62"/>
      <c r="K238" s="62"/>
      <c r="L238" s="62"/>
      <c r="M238" s="62"/>
      <c r="N238" s="62"/>
      <c r="O238" s="62"/>
      <c r="P238" s="62"/>
    </row>
    <row r="239" ht="13.5" customHeight="1">
      <c r="B239" s="21" t="s">
        <v>158</v>
      </c>
      <c r="C239" s="21"/>
      <c r="D239" s="21"/>
      <c r="E239" s="21"/>
      <c r="F239" s="191">
        <f>F236*F230+(1-F236)*F234</f>
        <v>0.0685830783902733</v>
      </c>
      <c r="H239" s="108"/>
      <c r="I239" s="62"/>
      <c r="J239" s="62"/>
      <c r="K239" s="62"/>
      <c r="L239" s="62"/>
      <c r="M239" s="62"/>
      <c r="N239" s="62"/>
      <c r="O239" s="62"/>
      <c r="P239" s="62"/>
    </row>
    <row r="240" ht="13.5" customHeight="1">
      <c r="B240" s="21"/>
      <c r="C240" s="21"/>
      <c r="D240" s="21"/>
      <c r="E240" s="21"/>
      <c r="F240" s="192"/>
      <c r="H240" s="108"/>
      <c r="I240" s="62"/>
      <c r="J240" s="62"/>
      <c r="K240" s="62"/>
      <c r="L240" s="62"/>
      <c r="M240" s="62"/>
      <c r="N240" s="62"/>
      <c r="O240" s="62"/>
      <c r="P240" s="62"/>
    </row>
    <row r="241" ht="12.75" customHeight="1">
      <c r="B241" s="4" t="s">
        <v>177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3.5" customHeight="1">
      <c r="B242" s="21"/>
      <c r="C242" s="21"/>
      <c r="D242" s="21"/>
      <c r="E242" s="21"/>
      <c r="F242" s="192"/>
      <c r="H242" s="108"/>
      <c r="I242" s="62"/>
      <c r="J242" s="62"/>
      <c r="K242" s="62"/>
      <c r="L242" s="62"/>
      <c r="M242" s="62"/>
      <c r="N242" s="62"/>
      <c r="O242" s="62"/>
      <c r="P242" s="62"/>
    </row>
    <row r="243" ht="13.5" customHeight="1">
      <c r="B243" s="21" t="s">
        <v>158</v>
      </c>
      <c r="C243" s="21"/>
      <c r="D243" s="21"/>
      <c r="E243" s="21"/>
      <c r="F243" s="191">
        <f>F239</f>
        <v>0.0685830783902733</v>
      </c>
      <c r="H243" s="108"/>
      <c r="I243" s="62"/>
      <c r="J243" s="62"/>
      <c r="K243" s="62"/>
      <c r="L243" s="62"/>
      <c r="M243" s="62"/>
      <c r="N243" s="62"/>
      <c r="O243" s="62"/>
      <c r="P243" s="62"/>
    </row>
    <row r="244" ht="13.5" customHeight="1">
      <c r="B244" s="21" t="s">
        <v>178</v>
      </c>
      <c r="C244" s="21"/>
      <c r="D244" s="21"/>
      <c r="E244" s="21"/>
      <c r="F244" s="193">
        <v>0.02</v>
      </c>
      <c r="H244" s="108"/>
      <c r="I244" s="62"/>
      <c r="J244" s="62"/>
      <c r="K244" s="62"/>
      <c r="L244" s="62"/>
      <c r="M244" s="62"/>
      <c r="N244" s="62"/>
      <c r="O244" s="62"/>
      <c r="P244" s="62"/>
    </row>
    <row r="245" ht="13.5" customHeight="1">
      <c r="B245" s="7"/>
      <c r="C245" s="7"/>
      <c r="D245" s="7"/>
      <c r="E245" s="7"/>
      <c r="F245" s="7"/>
      <c r="H245" s="108"/>
      <c r="I245" s="62"/>
      <c r="J245" s="62"/>
      <c r="K245" s="62"/>
      <c r="L245" s="62"/>
      <c r="M245" s="62"/>
      <c r="N245" s="62"/>
      <c r="O245" s="62"/>
      <c r="P245" s="62"/>
    </row>
    <row r="246" ht="13.5" customHeight="1">
      <c r="B246" s="7"/>
      <c r="C246" s="7"/>
      <c r="D246" s="7"/>
      <c r="E246" s="7"/>
      <c r="F246" s="7"/>
      <c r="G246" s="7"/>
      <c r="H246" s="7"/>
      <c r="I246" s="65">
        <f t="shared" si="80" ref="I246:N246">I46</f>
        <v>2025</v>
      </c>
      <c r="J246" s="65">
        <f t="shared" si="80"/>
        <v>2026</v>
      </c>
      <c r="K246" s="65">
        <f t="shared" si="80"/>
        <v>2027</v>
      </c>
      <c r="L246" s="65">
        <f t="shared" si="80"/>
        <v>2028</v>
      </c>
      <c r="M246" s="65">
        <f t="shared" si="80"/>
        <v>2029</v>
      </c>
      <c r="N246" s="65">
        <f t="shared" si="80"/>
        <v>2030</v>
      </c>
      <c r="O246" s="109"/>
      <c r="P246" s="109"/>
    </row>
    <row r="247" ht="13.5" customHeight="1">
      <c r="B247" s="7"/>
      <c r="C247" s="7"/>
      <c r="D247" s="7"/>
      <c r="E247" s="7"/>
      <c r="F247" s="7"/>
      <c r="H247" s="108"/>
      <c r="I247" s="62"/>
      <c r="J247" s="62"/>
      <c r="K247" s="62"/>
      <c r="L247" s="62"/>
      <c r="M247" s="62"/>
      <c r="N247" s="62"/>
      <c r="O247" s="62"/>
      <c r="P247" s="62"/>
    </row>
    <row r="248" ht="13.5" customHeight="1">
      <c r="B248" s="7" t="s">
        <v>101</v>
      </c>
      <c r="C248" s="7"/>
      <c r="D248" s="7"/>
      <c r="E248" s="7"/>
      <c r="F248" s="7"/>
      <c r="I248" s="47">
        <f t="shared" si="81" ref="I248:N248">I195</f>
        <v>10979</v>
      </c>
      <c r="J248" s="47">
        <f t="shared" si="81"/>
        <v>13559</v>
      </c>
      <c r="K248" s="47">
        <f t="shared" si="81"/>
        <v>16495</v>
      </c>
      <c r="L248" s="47">
        <f t="shared" si="81"/>
        <v>19746</v>
      </c>
      <c r="M248" s="47">
        <f t="shared" si="81"/>
        <v>23243</v>
      </c>
      <c r="N248" s="47">
        <f t="shared" si="81"/>
        <v>26882</v>
      </c>
      <c r="O248" s="62"/>
      <c r="P248" s="62"/>
    </row>
    <row r="249" ht="13.5" customHeight="1">
      <c r="B249" s="16" t="s">
        <v>103</v>
      </c>
      <c r="C249" s="7"/>
      <c r="D249" s="7"/>
      <c r="E249" s="7"/>
      <c r="F249" s="7"/>
      <c r="I249" s="47">
        <f t="shared" si="82" ref="I249:N249">-I96*$F$100</f>
        <v>-2515.2748267083</v>
      </c>
      <c r="J249" s="47">
        <f t="shared" si="82"/>
        <v>-2885.80721733065</v>
      </c>
      <c r="K249" s="47">
        <f t="shared" si="82"/>
        <v>-3308.20263367605</v>
      </c>
      <c r="L249" s="47">
        <f t="shared" si="82"/>
        <v>-3789.92347387307</v>
      </c>
      <c r="M249" s="47">
        <f t="shared" si="82"/>
        <v>-4339.4544293924</v>
      </c>
      <c r="N249" s="47">
        <f t="shared" si="82"/>
        <v>-4966.4517362294</v>
      </c>
      <c r="O249" s="62"/>
      <c r="P249" s="62"/>
    </row>
    <row r="250" ht="13.5" customHeight="1">
      <c r="B250" s="16" t="s">
        <v>104</v>
      </c>
      <c r="C250" s="7"/>
      <c r="D250" s="7"/>
      <c r="E250" s="7"/>
      <c r="F250" s="7"/>
      <c r="H250" s="108"/>
      <c r="I250" s="47">
        <f t="shared" si="83" ref="I250:N251">I121</f>
        <v>1713.34115312327</v>
      </c>
      <c r="J250" s="47">
        <f t="shared" si="83"/>
        <v>0</v>
      </c>
      <c r="K250" s="47">
        <f t="shared" si="83"/>
        <v>0</v>
      </c>
      <c r="L250" s="47">
        <f t="shared" si="83"/>
        <v>0</v>
      </c>
      <c r="M250" s="47">
        <f t="shared" si="83"/>
        <v>0</v>
      </c>
      <c r="N250" s="47">
        <f t="shared" si="83"/>
        <v>0</v>
      </c>
      <c r="O250" s="62"/>
      <c r="P250" s="62"/>
    </row>
    <row r="251" ht="13.5" customHeight="1">
      <c r="B251" s="16" t="s">
        <v>105</v>
      </c>
      <c r="C251" s="7"/>
      <c r="D251" s="7"/>
      <c r="E251" s="7"/>
      <c r="F251" s="7"/>
      <c r="H251" s="108"/>
      <c r="I251" s="47">
        <f t="shared" si="83"/>
        <v>-262.541175024582</v>
      </c>
      <c r="J251" s="47">
        <f t="shared" si="83"/>
        <v>-295.799832562111</v>
      </c>
      <c r="K251" s="47">
        <f t="shared" si="83"/>
        <v>-333.27168942388</v>
      </c>
      <c r="L251" s="47">
        <f t="shared" si="83"/>
        <v>-375.490472761254</v>
      </c>
      <c r="M251" s="47">
        <f t="shared" si="83"/>
        <v>-423.057522162179</v>
      </c>
      <c r="N251" s="47">
        <f t="shared" si="83"/>
        <v>-476.650354779578</v>
      </c>
      <c r="O251" s="62"/>
      <c r="P251" s="62"/>
    </row>
    <row r="252" ht="13.5" customHeight="1">
      <c r="B252" s="88" t="s">
        <v>179</v>
      </c>
      <c r="C252" s="88"/>
      <c r="D252" s="88"/>
      <c r="E252" s="88"/>
      <c r="F252" s="88"/>
      <c r="G252" s="88"/>
      <c r="H252" s="88"/>
      <c r="I252" s="103">
        <f t="shared" si="4"/>
        <v>9914.52515139039</v>
      </c>
      <c r="J252" s="103">
        <f t="shared" si="4"/>
        <v>10377.3929501072</v>
      </c>
      <c r="K252" s="103">
        <f t="shared" si="4"/>
        <v>12853.5256769001</v>
      </c>
      <c r="L252" s="103">
        <f t="shared" si="4"/>
        <v>15580.5860533657</v>
      </c>
      <c r="M252" s="103">
        <f t="shared" si="4"/>
        <v>18480.4880484454</v>
      </c>
      <c r="N252" s="103">
        <f t="shared" si="4"/>
        <v>21438.897908991</v>
      </c>
      <c r="O252" s="62"/>
      <c r="P252" s="62"/>
    </row>
    <row r="253" ht="13.5" customHeight="1">
      <c r="B253" s="7"/>
      <c r="C253" s="7"/>
      <c r="D253" s="7"/>
      <c r="E253" s="7"/>
      <c r="F253" s="7"/>
      <c r="H253" s="108"/>
      <c r="I253" s="62"/>
      <c r="J253" s="62"/>
      <c r="K253" s="62"/>
      <c r="L253" s="62"/>
      <c r="M253" s="62"/>
      <c r="N253" s="62"/>
      <c r="O253" s="62"/>
      <c r="P253" s="62"/>
    </row>
    <row r="254" ht="12.75" customHeight="1">
      <c r="B254" s="7" t="s">
        <v>107</v>
      </c>
      <c r="C254" s="7"/>
      <c r="D254" s="7"/>
      <c r="E254" s="7"/>
      <c r="G254" s="7"/>
      <c r="H254" s="7"/>
      <c r="I254" s="29">
        <f t="shared" si="84" ref="I254:N254">I124</f>
        <v>7202.454109157157</v>
      </c>
      <c r="J254" s="29">
        <f t="shared" si="84"/>
        <v>7598.445903212307</v>
      </c>
      <c r="K254" s="29">
        <f t="shared" si="84"/>
        <v>10047.597645302121</v>
      </c>
      <c r="L254" s="29">
        <f t="shared" si="84"/>
        <v>12809.266407401903</v>
      </c>
      <c r="M254" s="29">
        <f t="shared" si="84"/>
        <v>16017.6808134684</v>
      </c>
      <c r="N254" s="29">
        <f t="shared" si="84"/>
        <v>18894.145144112656</v>
      </c>
      <c r="O254" s="49"/>
      <c r="P254" s="49"/>
    </row>
    <row r="255" ht="12.75" customHeight="1">
      <c r="B255" s="16" t="s">
        <v>180</v>
      </c>
      <c r="C255" s="7"/>
      <c r="D255" s="7"/>
      <c r="E255" s="7"/>
      <c r="G255" s="7"/>
      <c r="H255" s="7"/>
      <c r="I255" s="118">
        <f t="shared" si="85" ref="I255:N255">I187</f>
        <v>3857.1602414523927</v>
      </c>
      <c r="J255" s="118">
        <f t="shared" si="85"/>
        <v>3376.130991050385</v>
      </c>
      <c r="K255" s="118">
        <f t="shared" si="85"/>
        <v>2802.634575723666</v>
      </c>
      <c r="L255" s="118">
        <f t="shared" si="85"/>
        <v>2023.355622871999</v>
      </c>
      <c r="M255" s="118">
        <f t="shared" si="85"/>
        <v>785.3117967463256</v>
      </c>
      <c r="N255" s="118">
        <f t="shared" si="85"/>
        <v>0</v>
      </c>
      <c r="O255" s="27"/>
      <c r="P255" s="27"/>
    </row>
    <row r="256" ht="12.75" customHeight="1">
      <c r="B256" s="16" t="s">
        <v>181</v>
      </c>
      <c r="C256" s="7"/>
      <c r="D256" s="7"/>
      <c r="E256" s="7"/>
      <c r="F256" s="7"/>
      <c r="G256" s="7"/>
      <c r="H256" s="7"/>
      <c r="I256" s="29">
        <f t="shared" si="86" ref="I256:N256">I97*$F$100</f>
        <v>-699.878974905584</v>
      </c>
      <c r="J256" s="29">
        <f t="shared" si="86"/>
        <v>-832.6761279415886</v>
      </c>
      <c r="K256" s="29">
        <f t="shared" si="86"/>
        <v>-706.9502124164432</v>
      </c>
      <c r="L256" s="29">
        <f t="shared" si="86"/>
        <v>-534.5739218605597</v>
      </c>
      <c r="M256" s="29">
        <f t="shared" si="86"/>
        <v>-257.4360759976549</v>
      </c>
      <c r="N256" s="29">
        <f t="shared" si="86"/>
        <v>-85.26394264806</v>
      </c>
      <c r="O256" s="49"/>
      <c r="P256" s="49"/>
    </row>
    <row r="257" ht="13.5" customHeight="1">
      <c r="B257" s="88" t="s">
        <v>179</v>
      </c>
      <c r="C257" s="88"/>
      <c r="D257" s="88"/>
      <c r="E257" s="88"/>
      <c r="F257" s="88"/>
      <c r="G257" s="88"/>
      <c r="H257" s="88"/>
      <c r="I257" s="90">
        <f t="shared" si="77"/>
        <v>10359.735375703967</v>
      </c>
      <c r="J257" s="90">
        <f t="shared" si="77"/>
        <v>10141.900766321105</v>
      </c>
      <c r="K257" s="90">
        <f t="shared" si="77"/>
        <v>12143.282008609345</v>
      </c>
      <c r="L257" s="90">
        <f t="shared" si="77"/>
        <v>14298.048108413343</v>
      </c>
      <c r="M257" s="90">
        <f t="shared" si="77"/>
        <v>16545.55653421707</v>
      </c>
      <c r="N257" s="90">
        <f t="shared" si="77"/>
        <v>18808.881201464596</v>
      </c>
      <c r="O257" s="49"/>
      <c r="P257" s="49"/>
    </row>
    <row r="258" ht="12.75" customHeight="1" s="194" customFormat="1">
      <c r="A258" s="194"/>
      <c r="B258" s="194" t="s">
        <v>182</v>
      </c>
      <c r="C258" s="194"/>
      <c r="D258" s="194"/>
      <c r="E258" s="194"/>
      <c r="F258" s="194"/>
      <c r="G258" s="194"/>
      <c r="H258" s="194"/>
      <c r="I258" s="195">
        <f t="shared" si="87" ref="I258:N258">I257-I252</f>
        <v>-0.151798727933055</v>
      </c>
      <c r="J258" s="195">
        <f t="shared" si="87"/>
        <v>0</v>
      </c>
      <c r="K258" s="195">
        <f t="shared" si="87"/>
        <v>0</v>
      </c>
      <c r="L258" s="195">
        <f t="shared" si="87"/>
        <v>0</v>
      </c>
      <c r="M258" s="195">
        <f t="shared" si="87"/>
        <v>0</v>
      </c>
      <c r="N258" s="195">
        <f t="shared" si="87"/>
        <v>0</v>
      </c>
      <c r="O258" s="196"/>
      <c r="P258" s="196"/>
      <c r="Q258" s="194"/>
      <c r="R258" s="194"/>
      <c r="S258" s="194"/>
      <c r="T258" s="194"/>
      <c r="U258" s="194"/>
    </row>
    <row r="259" ht="12.75" customHeight="1" s="194" customFormat="1">
      <c r="A259" s="194"/>
      <c r="B259" s="194"/>
      <c r="C259" s="194"/>
      <c r="D259" s="194"/>
      <c r="E259" s="194"/>
      <c r="F259" s="194"/>
      <c r="G259" s="194"/>
      <c r="H259" s="194"/>
      <c r="I259" s="195"/>
      <c r="J259" s="195"/>
      <c r="K259" s="195"/>
      <c r="L259" s="195"/>
      <c r="M259" s="195"/>
      <c r="N259" s="195"/>
      <c r="O259" s="196"/>
      <c r="P259" s="196"/>
      <c r="Q259" s="194"/>
      <c r="R259" s="194"/>
      <c r="S259" s="194"/>
      <c r="T259" s="194"/>
      <c r="U259" s="194"/>
    </row>
    <row r="260" ht="12.75" customHeight="1">
      <c r="B260" s="7" t="s">
        <v>183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29">
        <f>(N257*(1+F244))/(F243-F244)</f>
        <v>236354.25710793296</v>
      </c>
      <c r="O260" s="49"/>
      <c r="P260" s="49"/>
    </row>
    <row r="262" ht="12.75" customHeight="1">
      <c r="B262" s="14" t="s">
        <v>184</v>
      </c>
      <c r="I262" s="197">
        <v>0.5</v>
      </c>
      <c r="J262" s="198">
        <f t="shared" si="88" ref="J262:N262">I262+1</f>
        <v>1.5</v>
      </c>
      <c r="K262" s="198">
        <f t="shared" si="88"/>
        <v>2.5</v>
      </c>
      <c r="L262" s="198">
        <f t="shared" si="88"/>
        <v>3.5</v>
      </c>
      <c r="M262" s="198">
        <f t="shared" si="88"/>
        <v>4.5</v>
      </c>
      <c r="N262" s="198">
        <f t="shared" si="88"/>
        <v>5.5</v>
      </c>
    </row>
    <row r="263" ht="12.75" customHeight="1">
      <c r="B263" s="14" t="s">
        <v>185</v>
      </c>
      <c r="I263" s="198">
        <f t="shared" si="89" ref="I263:N263">1/(1+$F$243)^I262</f>
        <v>0.967377214166467</v>
      </c>
      <c r="J263" s="198">
        <f t="shared" si="89"/>
        <v>0.905289662291617</v>
      </c>
      <c r="K263" s="198">
        <f t="shared" si="89"/>
        <v>0.847186971793861</v>
      </c>
      <c r="L263" s="198">
        <f t="shared" si="89"/>
        <v>0.792813388988036</v>
      </c>
      <c r="M263" s="198">
        <f t="shared" si="89"/>
        <v>0.7419295747995</v>
      </c>
      <c r="N263" s="198">
        <f t="shared" si="89"/>
        <v>0.694311551252666</v>
      </c>
    </row>
    <row r="264" ht="12.75" customHeight="1">
      <c r="B264" s="14" t="s">
        <v>186</v>
      </c>
      <c r="I264" s="118">
        <f t="shared" si="90" ref="I264:N264">I263*I257</f>
        <v>9872.367718598118</v>
      </c>
      <c r="J264" s="118">
        <f t="shared" si="90"/>
        <v>8776.823002723053</v>
      </c>
      <c r="K264" s="118">
        <f t="shared" si="90"/>
        <v>9543.31780431071</v>
      </c>
      <c r="L264" s="118">
        <f t="shared" si="90"/>
        <v>10204.350842012816</v>
      </c>
      <c r="M264" s="118">
        <f t="shared" si="90"/>
        <v>10723.469727106325</v>
      </c>
      <c r="N264" s="118">
        <f t="shared" si="90"/>
        <v>11070.372537414567</v>
      </c>
    </row>
    <row r="265" ht="12.75" customHeight="1">
      <c r="I265" s="11"/>
      <c r="J265" s="11"/>
      <c r="K265" s="11"/>
      <c r="L265" s="11"/>
      <c r="M265" s="11"/>
      <c r="N265" s="11"/>
    </row>
    <row r="266" ht="13.5" customHeight="1">
      <c r="H266" s="42" t="s">
        <v>40</v>
      </c>
      <c r="I266" s="42" t="s">
        <v>187</v>
      </c>
      <c r="J266" s="11"/>
      <c r="K266" s="11"/>
      <c r="L266" s="11"/>
      <c r="M266" s="11"/>
      <c r="N266" s="11"/>
    </row>
    <row r="267" ht="12.75" customHeight="1">
      <c r="B267" s="14" t="s">
        <v>188</v>
      </c>
      <c r="H267" s="118">
        <f>SUM(I264:N264)</f>
        <v>60190.70163216558</v>
      </c>
      <c r="I267" s="199">
        <f t="shared" si="91" ref="I267:I269">H267/$H$269</f>
        <v>0.3122609751973734</v>
      </c>
      <c r="J267" s="11"/>
      <c r="K267" s="11"/>
      <c r="L267" s="11"/>
      <c r="M267" s="11"/>
      <c r="N267" s="11"/>
    </row>
    <row r="268" ht="12.75" customHeight="1">
      <c r="B268" s="14" t="s">
        <v>189</v>
      </c>
      <c r="H268" s="118">
        <f>N260/(1+F243)^6</f>
        <v>132566.97996451918</v>
      </c>
      <c r="I268" s="199">
        <f t="shared" si="91"/>
        <v>0.6877390248026266</v>
      </c>
    </row>
    <row r="269" ht="13.5" customHeight="1">
      <c r="B269" s="48" t="s">
        <v>190</v>
      </c>
      <c r="C269" s="48"/>
      <c r="D269" s="48"/>
      <c r="E269" s="48"/>
      <c r="F269" s="48"/>
      <c r="G269" s="48"/>
      <c r="H269" s="200">
        <f t="shared" si="27"/>
        <v>192757.68159668476</v>
      </c>
      <c r="I269" s="199">
        <f t="shared" si="91"/>
        <v>1</v>
      </c>
    </row>
  </sheetData>
  <printOptions/>
  <pageMargins left="0.7" right="0.7" top="0.5" bottom="0.5" header="0.3" footer="0.3"/>
  <pageSetup paperSize="1" scale="85" pageOrder="downThenOver" orientation="landscape"/>
  <headerFooter>
    <oddFooter>&amp;L&amp;"Segoe UI,Regular"&amp;F / &amp;A&amp;C&amp;"Segoe UI,Regular"&amp;P of &amp;N&amp;R&amp;"Segoe UI,Regular"&amp;D / &amp;T</oddFooter>
  </headerFooter>
  <rowBreaks count="8" manualBreakCount="8">
    <brk id="39" man="1" max="1048576"/>
    <brk id="43" man="1" max="1048576"/>
    <brk id="92" man="1" max="1048576"/>
    <brk id="102" man="1" max="1048576"/>
    <brk id="136" man="1" max="1048576"/>
    <brk id="146" man="1" max="1048576"/>
    <brk id="190" man="1" max="1048576"/>
    <brk id="218" man="1" max="1048576"/>
  </rowBrea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Model Template</vt:lpstr>
      <vt:lpstr>'Model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Colton Moraine</cp:lastModifiedBy>
  <dcterms:created xsi:type="dcterms:W3CDTF">2025-12-08T18:10:38Z</dcterms:created>
  <dcterms:modified xsi:type="dcterms:W3CDTF">2025-12-16T17:01:25Z</dcterms:modified>
</cp:coreProperties>
</file>