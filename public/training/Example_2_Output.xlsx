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76d14b6b40ab5/Documents/CPB Model 33/"/>
    </mc:Choice>
  </mc:AlternateContent>
  <xr:revisionPtr revIDLastSave="1154" documentId="8_{D4D7324C-37A8-42BE-B93E-D82C9F265454}" xr6:coauthVersionLast="47" xr6:coauthVersionMax="47" xr10:uidLastSave="{6E68CE65-52FE-47AF-8202-24D1877260FB}"/>
  <bookViews>
    <workbookView xWindow="-120" yWindow="-120" windowWidth="51840" windowHeight="21120" activeTab="1" xr2:uid="{99FE0723-5DEB-44A8-B3C3-098B75C4DA65}"/>
  </bookViews>
  <sheets>
    <sheet name="Input" sheetId="3" r:id="rId1"/>
    <sheet name="JV Waterfall" sheetId="4" r:id="rId2"/>
  </sheets>
  <definedNames>
    <definedName name="_xlnm.Print_Area" localSheetId="0">Input!$A$1:$AC$84</definedName>
  </definedNames>
  <calcPr calcId="191029" calcMode="autoNoTable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4" l="1"/>
  <c r="I19" i="4"/>
  <c r="I69" i="4" s="1"/>
  <c r="H19" i="4"/>
  <c r="H69" i="4" s="1"/>
  <c r="G19" i="4"/>
  <c r="G69" i="4" s="1"/>
  <c r="F19" i="4"/>
  <c r="F69" i="4" s="1"/>
  <c r="E19" i="4"/>
  <c r="E69" i="4" s="1"/>
  <c r="D19" i="4"/>
  <c r="D69" i="4" s="1"/>
  <c r="D15" i="4"/>
  <c r="D13" i="4"/>
  <c r="C7" i="4"/>
  <c r="M5" i="3"/>
  <c r="K41" i="3"/>
  <c r="J41" i="3"/>
  <c r="I41" i="3"/>
  <c r="K36" i="3"/>
  <c r="D25" i="4" l="1"/>
  <c r="D35" i="4"/>
  <c r="E35" i="4"/>
  <c r="F35" i="4"/>
  <c r="G35" i="4"/>
  <c r="H35" i="4"/>
  <c r="I35" i="4"/>
  <c r="E25" i="4"/>
  <c r="F25" i="4"/>
  <c r="G25" i="4"/>
  <c r="H25" i="4"/>
  <c r="I25" i="4"/>
  <c r="K43" i="3"/>
  <c r="K37" i="3"/>
  <c r="K44" i="3" l="1"/>
  <c r="J45" i="3"/>
  <c r="O44" i="3" s="1"/>
  <c r="D9" i="3"/>
  <c r="R45" i="3" l="1"/>
  <c r="R44" i="3" s="1"/>
  <c r="S45" i="3"/>
  <c r="S44" i="3" s="1"/>
  <c r="W45" i="3"/>
  <c r="W44" i="3" s="1"/>
  <c r="V45" i="3"/>
  <c r="V44" i="3" s="1"/>
  <c r="U45" i="3"/>
  <c r="U44" i="3" s="1"/>
  <c r="T45" i="3"/>
  <c r="T44" i="3" s="1"/>
  <c r="M44" i="3"/>
  <c r="N44" i="3"/>
  <c r="P45" i="3"/>
  <c r="P44" i="3" s="1"/>
  <c r="Q45" i="3"/>
  <c r="Q44" i="3" s="1"/>
  <c r="R22" i="3" l="1"/>
  <c r="S22" i="3" s="1"/>
  <c r="T22" i="3" s="1"/>
  <c r="U22" i="3" s="1"/>
  <c r="V22" i="3" s="1"/>
  <c r="W22" i="3" s="1"/>
  <c r="J36" i="3" l="1"/>
  <c r="J37" i="3" s="1"/>
  <c r="J31" i="3"/>
  <c r="J30" i="3"/>
  <c r="J25" i="3"/>
  <c r="J43" i="3" l="1"/>
  <c r="M6" i="3" s="1"/>
  <c r="J44" i="3" l="1"/>
  <c r="D8" i="3" l="1"/>
  <c r="D44" i="3"/>
  <c r="Y32" i="3" s="1"/>
  <c r="D43" i="3"/>
  <c r="Y31" i="3" s="1"/>
  <c r="D42" i="3"/>
  <c r="Y30" i="3" s="1"/>
  <c r="AB15" i="3" l="1"/>
  <c r="AB8" i="3"/>
  <c r="K31" i="3" l="1"/>
  <c r="K30" i="3"/>
  <c r="K25" i="3"/>
  <c r="AB28" i="3"/>
  <c r="Y18" i="3"/>
  <c r="AB16" i="3"/>
  <c r="AB11" i="3"/>
  <c r="Y11" i="3"/>
  <c r="AB7" i="3"/>
  <c r="AB6" i="3"/>
  <c r="AB5" i="3"/>
  <c r="AB12" i="3" l="1"/>
  <c r="L74" i="3"/>
  <c r="I36" i="3"/>
  <c r="I43" i="3" l="1"/>
  <c r="I37" i="3"/>
  <c r="H11" i="3"/>
  <c r="Y20" i="3" l="1"/>
  <c r="H6" i="3"/>
  <c r="Q6" i="3" l="1"/>
  <c r="J5" i="3"/>
  <c r="C21" i="3" l="1"/>
  <c r="I30" i="3"/>
  <c r="I31" i="3"/>
  <c r="R30" i="3"/>
  <c r="S30" i="3" s="1"/>
  <c r="T30" i="3" s="1"/>
  <c r="U30" i="3" s="1"/>
  <c r="V30" i="3" s="1"/>
  <c r="W30" i="3" s="1"/>
  <c r="I8" i="3" l="1"/>
  <c r="L75" i="3" l="1"/>
  <c r="L66" i="3"/>
  <c r="L17" i="3" l="1"/>
  <c r="I44" i="3"/>
  <c r="I25" i="3"/>
  <c r="I6" i="3" l="1"/>
  <c r="AB13" i="3" s="1"/>
  <c r="R24" i="3"/>
  <c r="S24" i="3" s="1"/>
  <c r="T24" i="3" s="1"/>
  <c r="U24" i="3" s="1"/>
  <c r="V24" i="3" s="1"/>
  <c r="W24" i="3" s="1"/>
  <c r="P8" i="3"/>
  <c r="Y13" i="3"/>
  <c r="I7" i="3" l="1"/>
  <c r="C31" i="3"/>
  <c r="D31" i="3" s="1"/>
  <c r="L76" i="3" l="1"/>
  <c r="C32" i="3"/>
  <c r="D32" i="3" s="1"/>
  <c r="L65" i="3"/>
  <c r="L64" i="3"/>
  <c r="L63" i="3"/>
  <c r="M25" i="3"/>
  <c r="N23" i="3"/>
  <c r="M17" i="3"/>
  <c r="M16" i="3"/>
  <c r="M54" i="3" s="1"/>
  <c r="M68" i="3" l="1"/>
  <c r="M66" i="3"/>
  <c r="M18" i="3"/>
  <c r="O23" i="3"/>
  <c r="N17" i="3"/>
  <c r="M15" i="3"/>
  <c r="M29" i="3"/>
  <c r="M80" i="3"/>
  <c r="M69" i="3"/>
  <c r="N25" i="3"/>
  <c r="M63" i="3"/>
  <c r="M81" i="3" s="1"/>
  <c r="N16" i="3"/>
  <c r="N54" i="3" s="1"/>
  <c r="M82" i="3"/>
  <c r="N15" i="3" l="1"/>
  <c r="O25" i="3"/>
  <c r="O26" i="3" s="1"/>
  <c r="M19" i="3"/>
  <c r="N66" i="3"/>
  <c r="N18" i="3"/>
  <c r="P23" i="3"/>
  <c r="M32" i="3"/>
  <c r="M41" i="3" s="1"/>
  <c r="O17" i="3"/>
  <c r="N29" i="3"/>
  <c r="N26" i="3"/>
  <c r="O16" i="3"/>
  <c r="O54" i="3" s="1"/>
  <c r="N63" i="3"/>
  <c r="O15" i="3" l="1"/>
  <c r="M36" i="3"/>
  <c r="N19" i="3"/>
  <c r="M20" i="3"/>
  <c r="O18" i="3"/>
  <c r="O29" i="3"/>
  <c r="O66" i="3"/>
  <c r="Q23" i="3"/>
  <c r="P25" i="3"/>
  <c r="P26" i="3" s="1"/>
  <c r="M31" i="3"/>
  <c r="M43" i="3"/>
  <c r="P17" i="3"/>
  <c r="N32" i="3"/>
  <c r="N41" i="3" s="1"/>
  <c r="O75" i="3"/>
  <c r="P16" i="3"/>
  <c r="O63" i="3"/>
  <c r="P15" i="3" l="1"/>
  <c r="M47" i="3"/>
  <c r="M37" i="3"/>
  <c r="M39" i="3" s="1"/>
  <c r="N36" i="3"/>
  <c r="O19" i="3"/>
  <c r="N20" i="3"/>
  <c r="P18" i="3"/>
  <c r="O32" i="3"/>
  <c r="Q25" i="3"/>
  <c r="R23" i="3"/>
  <c r="P29" i="3"/>
  <c r="P66" i="3"/>
  <c r="N43" i="3"/>
  <c r="Q17" i="3"/>
  <c r="Q16" i="3"/>
  <c r="N31" i="3"/>
  <c r="P75" i="3"/>
  <c r="P63" i="3"/>
  <c r="Q15" i="3" l="1"/>
  <c r="O41" i="3"/>
  <c r="N47" i="3"/>
  <c r="N37" i="3"/>
  <c r="N39" i="3" s="1"/>
  <c r="M67" i="3"/>
  <c r="Q26" i="3"/>
  <c r="O36" i="3"/>
  <c r="O20" i="3"/>
  <c r="P19" i="3"/>
  <c r="Q66" i="3"/>
  <c r="Q18" i="3"/>
  <c r="O43" i="3"/>
  <c r="O31" i="3"/>
  <c r="R25" i="3"/>
  <c r="R26" i="3" s="1"/>
  <c r="S23" i="3"/>
  <c r="P32" i="3"/>
  <c r="R17" i="3"/>
  <c r="Q29" i="3"/>
  <c r="R16" i="3"/>
  <c r="Q63" i="3"/>
  <c r="Q75" i="3"/>
  <c r="R53" i="3" l="1"/>
  <c r="R54" i="3"/>
  <c r="R15" i="3"/>
  <c r="S15" i="3" s="1"/>
  <c r="T15" i="3" s="1"/>
  <c r="U15" i="3" s="1"/>
  <c r="V15" i="3" s="1"/>
  <c r="W15" i="3" s="1"/>
  <c r="P41" i="3"/>
  <c r="O47" i="3"/>
  <c r="O37" i="3"/>
  <c r="O39" i="3" s="1"/>
  <c r="P31" i="3"/>
  <c r="P36" i="3"/>
  <c r="Q19" i="3"/>
  <c r="P20" i="3"/>
  <c r="R66" i="3"/>
  <c r="R18" i="3"/>
  <c r="T23" i="3"/>
  <c r="S25" i="3"/>
  <c r="S26" i="3" s="1"/>
  <c r="Q32" i="3"/>
  <c r="S17" i="3"/>
  <c r="R29" i="3"/>
  <c r="S16" i="3"/>
  <c r="R75" i="3"/>
  <c r="R63" i="3"/>
  <c r="S54" i="3" l="1"/>
  <c r="S53" i="3"/>
  <c r="Q41" i="3"/>
  <c r="O67" i="3"/>
  <c r="S18" i="3"/>
  <c r="S19" i="3" s="1"/>
  <c r="Q36" i="3"/>
  <c r="R19" i="3"/>
  <c r="Q20" i="3"/>
  <c r="S66" i="3"/>
  <c r="U23" i="3"/>
  <c r="T25" i="3"/>
  <c r="T26" i="3" s="1"/>
  <c r="R32" i="3"/>
  <c r="R41" i="3" s="1"/>
  <c r="Q31" i="3"/>
  <c r="T17" i="3"/>
  <c r="S29" i="3"/>
  <c r="T16" i="3"/>
  <c r="S63" i="3"/>
  <c r="S75" i="3"/>
  <c r="N67" i="3"/>
  <c r="T53" i="3" l="1"/>
  <c r="T54" i="3"/>
  <c r="T18" i="3"/>
  <c r="T19" i="3" s="1"/>
  <c r="R36" i="3"/>
  <c r="S32" i="3"/>
  <c r="S41" i="3" s="1"/>
  <c r="S20" i="3"/>
  <c r="R31" i="3"/>
  <c r="R20" i="3"/>
  <c r="T66" i="3"/>
  <c r="V23" i="3"/>
  <c r="U25" i="3"/>
  <c r="U26" i="3" s="1"/>
  <c r="U17" i="3"/>
  <c r="T29" i="3"/>
  <c r="T75" i="3"/>
  <c r="T63" i="3"/>
  <c r="U16" i="3"/>
  <c r="U54" i="3" l="1"/>
  <c r="U53" i="3"/>
  <c r="U18" i="3"/>
  <c r="U19" i="3" s="1"/>
  <c r="U68" i="3"/>
  <c r="S36" i="3"/>
  <c r="S31" i="3"/>
  <c r="T20" i="3"/>
  <c r="U52" i="3"/>
  <c r="U66" i="3"/>
  <c r="W23" i="3"/>
  <c r="V25" i="3"/>
  <c r="V26" i="3" s="1"/>
  <c r="T32" i="3"/>
  <c r="T41" i="3" s="1"/>
  <c r="V17" i="3"/>
  <c r="U80" i="3"/>
  <c r="U29" i="3"/>
  <c r="U82" i="3"/>
  <c r="V16" i="3"/>
  <c r="U75" i="3"/>
  <c r="U63" i="3"/>
  <c r="U69" i="3"/>
  <c r="V54" i="3" l="1"/>
  <c r="V53" i="3"/>
  <c r="V18" i="3"/>
  <c r="V19" i="3" s="1"/>
  <c r="V68" i="3"/>
  <c r="T36" i="3"/>
  <c r="U20" i="3"/>
  <c r="V52" i="3"/>
  <c r="V66" i="3"/>
  <c r="W25" i="3"/>
  <c r="W26" i="3" s="1"/>
  <c r="T31" i="3"/>
  <c r="U32" i="3"/>
  <c r="U41" i="3" s="1"/>
  <c r="W17" i="3"/>
  <c r="V80" i="3"/>
  <c r="V29" i="3"/>
  <c r="U79" i="3"/>
  <c r="U81" i="3"/>
  <c r="V82" i="3"/>
  <c r="V63" i="3"/>
  <c r="V69" i="3"/>
  <c r="V75" i="3"/>
  <c r="W16" i="3"/>
  <c r="W54" i="3" l="1"/>
  <c r="W53" i="3"/>
  <c r="W68" i="3"/>
  <c r="U36" i="3"/>
  <c r="V20" i="3"/>
  <c r="W66" i="3"/>
  <c r="W18" i="3"/>
  <c r="V32" i="3"/>
  <c r="V41" i="3" s="1"/>
  <c r="U31" i="3"/>
  <c r="W29" i="3"/>
  <c r="W52" i="3"/>
  <c r="W80" i="3"/>
  <c r="V79" i="3"/>
  <c r="V81" i="3"/>
  <c r="W69" i="3"/>
  <c r="W75" i="3"/>
  <c r="W82" i="3"/>
  <c r="W63" i="3"/>
  <c r="U83" i="3"/>
  <c r="V36" i="3" l="1"/>
  <c r="W19" i="3"/>
  <c r="V31" i="3"/>
  <c r="W32" i="3"/>
  <c r="W41" i="3" s="1"/>
  <c r="W79" i="3"/>
  <c r="W81" i="3"/>
  <c r="V83" i="3"/>
  <c r="W36" i="3" l="1"/>
  <c r="W20" i="3"/>
  <c r="W31" i="3"/>
  <c r="W83" i="3"/>
  <c r="U55" i="3" l="1"/>
  <c r="V55" i="3" l="1"/>
  <c r="M70" i="3"/>
  <c r="M75" i="3"/>
  <c r="W55" i="3" l="1"/>
  <c r="N75" i="3"/>
  <c r="L70" i="3"/>
  <c r="C33" i="3"/>
  <c r="C22" i="3" l="1"/>
  <c r="O48" i="3"/>
  <c r="N48" i="3"/>
  <c r="M48" i="3"/>
  <c r="D33" i="3"/>
  <c r="C23" i="3" l="1"/>
  <c r="D21" i="3" l="1"/>
  <c r="D22" i="3"/>
  <c r="P43" i="3" l="1"/>
  <c r="Q43" i="3"/>
  <c r="Q37" i="3" l="1"/>
  <c r="P37" i="3"/>
  <c r="P39" i="3" s="1"/>
  <c r="P47" i="3"/>
  <c r="Q47" i="3"/>
  <c r="AB24" i="3"/>
  <c r="Q39" i="3" l="1"/>
  <c r="P48" i="3"/>
  <c r="P67" i="3"/>
  <c r="Q67" i="3"/>
  <c r="Q48" i="3"/>
  <c r="R43" i="3" l="1"/>
  <c r="S43" i="3"/>
  <c r="S58" i="3" s="1"/>
  <c r="R37" i="3" l="1"/>
  <c r="R39" i="3" s="1"/>
  <c r="R58" i="3"/>
  <c r="S47" i="3"/>
  <c r="S37" i="3"/>
  <c r="S39" i="3" s="1"/>
  <c r="R47" i="3"/>
  <c r="R48" i="3" l="1"/>
  <c r="R67" i="3"/>
  <c r="T43" i="3"/>
  <c r="S48" i="3"/>
  <c r="S67" i="3"/>
  <c r="T37" i="3" l="1"/>
  <c r="T39" i="3" s="1"/>
  <c r="T58" i="3"/>
  <c r="T47" i="3"/>
  <c r="P5" i="3"/>
  <c r="U43" i="3"/>
  <c r="U58" i="3" s="1"/>
  <c r="U47" i="3" l="1"/>
  <c r="U37" i="3"/>
  <c r="U39" i="3" s="1"/>
  <c r="N68" i="3"/>
  <c r="N80" i="3"/>
  <c r="O68" i="3"/>
  <c r="O80" i="3"/>
  <c r="P68" i="3"/>
  <c r="P80" i="3"/>
  <c r="R68" i="3"/>
  <c r="R80" i="3"/>
  <c r="Q68" i="3"/>
  <c r="Q80" i="3"/>
  <c r="S68" i="3"/>
  <c r="S80" i="3"/>
  <c r="T68" i="3"/>
  <c r="T80" i="3"/>
  <c r="AB26" i="3"/>
  <c r="AB27" i="3" s="1"/>
  <c r="Q5" i="3"/>
  <c r="P9" i="3"/>
  <c r="T48" i="3"/>
  <c r="V43" i="3"/>
  <c r="V58" i="3" s="1"/>
  <c r="W43" i="3"/>
  <c r="W58" i="3" s="1"/>
  <c r="U57" i="3"/>
  <c r="W47" i="3" l="1"/>
  <c r="W37" i="3"/>
  <c r="W39" i="3" s="1"/>
  <c r="V47" i="3"/>
  <c r="V37" i="3"/>
  <c r="V39" i="3" s="1"/>
  <c r="N82" i="3"/>
  <c r="N69" i="3"/>
  <c r="N70" i="3" s="1"/>
  <c r="O82" i="3"/>
  <c r="O69" i="3"/>
  <c r="O70" i="3" s="1"/>
  <c r="P82" i="3"/>
  <c r="P69" i="3"/>
  <c r="P70" i="3" s="1"/>
  <c r="R82" i="3"/>
  <c r="R69" i="3"/>
  <c r="R70" i="3" s="1"/>
  <c r="Q82" i="3"/>
  <c r="Q69" i="3"/>
  <c r="Q70" i="3" s="1"/>
  <c r="S69" i="3"/>
  <c r="S70" i="3" s="1"/>
  <c r="S82" i="3"/>
  <c r="T82" i="3"/>
  <c r="T69" i="3"/>
  <c r="P10" i="3"/>
  <c r="Q10" i="3" s="1"/>
  <c r="T67" i="3"/>
  <c r="U48" i="3"/>
  <c r="U67" i="3"/>
  <c r="U60" i="3"/>
  <c r="U61" i="3" s="1"/>
  <c r="W57" i="3"/>
  <c r="V57" i="3"/>
  <c r="T70" i="3" l="1"/>
  <c r="V60" i="3"/>
  <c r="V61" i="3" s="1"/>
  <c r="U70" i="3"/>
  <c r="V48" i="3"/>
  <c r="V67" i="3"/>
  <c r="W60" i="3"/>
  <c r="W61" i="3" s="1"/>
  <c r="W48" i="3"/>
  <c r="W67" i="3"/>
  <c r="V70" i="3" l="1"/>
  <c r="W70" i="3"/>
  <c r="H48" i="3"/>
  <c r="C44" i="3" l="1"/>
  <c r="C42" i="3"/>
  <c r="C43" i="3"/>
  <c r="N81" i="3" l="1"/>
  <c r="O81" i="3" l="1"/>
  <c r="P81" i="3" l="1"/>
  <c r="R52" i="3"/>
  <c r="R55" i="3" l="1"/>
  <c r="R81" i="3" l="1"/>
  <c r="S52" i="3"/>
  <c r="R57" i="3"/>
  <c r="R60" i="3"/>
  <c r="S55" i="3" l="1"/>
  <c r="R61" i="3"/>
  <c r="R79" i="3"/>
  <c r="S81" i="3" l="1"/>
  <c r="T52" i="3"/>
  <c r="S57" i="3"/>
  <c r="S60" i="3"/>
  <c r="R83" i="3"/>
  <c r="T55" i="3" l="1"/>
  <c r="T81" i="3" s="1"/>
  <c r="S61" i="3"/>
  <c r="S79" i="3"/>
  <c r="T57" i="3" l="1"/>
  <c r="T60" i="3"/>
  <c r="S83" i="3"/>
  <c r="T61" i="3" l="1"/>
  <c r="T79" i="3"/>
  <c r="T83" i="3" l="1"/>
  <c r="AB22" i="3" l="1"/>
  <c r="AB23" i="3"/>
  <c r="P54" i="3" l="1"/>
  <c r="Q54" i="3"/>
  <c r="U5" i="3"/>
  <c r="U6" i="3"/>
  <c r="I9" i="3"/>
  <c r="I10" i="3"/>
  <c r="J10" i="3"/>
  <c r="I11" i="3"/>
  <c r="C16" i="3"/>
  <c r="D16" i="3"/>
  <c r="C17" i="3"/>
  <c r="D17" i="3"/>
  <c r="C18" i="3"/>
  <c r="D18" i="3"/>
  <c r="AB18" i="3"/>
  <c r="AB19" i="3"/>
  <c r="AB20" i="3"/>
  <c r="D23" i="3"/>
  <c r="C26" i="3"/>
  <c r="D26" i="3"/>
  <c r="C27" i="3"/>
  <c r="D27" i="3"/>
  <c r="C28" i="3"/>
  <c r="D28" i="3"/>
  <c r="AB30" i="3"/>
  <c r="F31" i="3"/>
  <c r="AB31" i="3"/>
  <c r="F32" i="3"/>
  <c r="AB32" i="3"/>
  <c r="F33" i="3"/>
  <c r="C35" i="3"/>
  <c r="D35" i="3"/>
  <c r="F35" i="3"/>
  <c r="C36" i="3"/>
  <c r="D36" i="3"/>
  <c r="F36" i="3"/>
  <c r="C38" i="3"/>
  <c r="F42" i="3"/>
  <c r="F43" i="3"/>
  <c r="F44" i="3"/>
  <c r="M52" i="3"/>
  <c r="N52" i="3"/>
  <c r="O52" i="3"/>
  <c r="P52" i="3"/>
  <c r="Q52" i="3"/>
  <c r="M53" i="3"/>
  <c r="N53" i="3"/>
  <c r="O53" i="3"/>
  <c r="P53" i="3"/>
  <c r="Q53" i="3"/>
  <c r="L55" i="3"/>
  <c r="M55" i="3"/>
  <c r="N55" i="3"/>
  <c r="O55" i="3"/>
  <c r="P55" i="3"/>
  <c r="Q55" i="3"/>
  <c r="H57" i="3"/>
  <c r="M57" i="3"/>
  <c r="N57" i="3"/>
  <c r="O57" i="3"/>
  <c r="P57" i="3"/>
  <c r="Q57" i="3"/>
  <c r="H58" i="3"/>
  <c r="M58" i="3"/>
  <c r="N58" i="3"/>
  <c r="O58" i="3"/>
  <c r="P58" i="3"/>
  <c r="Q58" i="3"/>
  <c r="M60" i="3"/>
  <c r="N60" i="3"/>
  <c r="O60" i="3"/>
  <c r="P60" i="3"/>
  <c r="Q60" i="3"/>
  <c r="H61" i="3"/>
  <c r="M61" i="3"/>
  <c r="N61" i="3"/>
  <c r="O61" i="3"/>
  <c r="P61" i="3"/>
  <c r="Q61" i="3"/>
  <c r="L77" i="3"/>
  <c r="L78" i="3"/>
  <c r="M79" i="3"/>
  <c r="N79" i="3"/>
  <c r="O79" i="3"/>
  <c r="P79" i="3"/>
  <c r="Q79" i="3"/>
  <c r="Q81" i="3"/>
  <c r="L83" i="3"/>
  <c r="M83" i="3"/>
  <c r="N83" i="3"/>
  <c r="O83" i="3"/>
  <c r="P83" i="3"/>
  <c r="Q83" i="3"/>
  <c r="C5" i="4"/>
  <c r="C8" i="4"/>
  <c r="C9" i="4"/>
  <c r="D20" i="4"/>
  <c r="E20" i="4"/>
  <c r="F20" i="4"/>
  <c r="G20" i="4"/>
  <c r="H20" i="4"/>
  <c r="I20" i="4"/>
  <c r="D21" i="4"/>
  <c r="E21" i="4"/>
  <c r="F21" i="4"/>
  <c r="G21" i="4"/>
  <c r="H21" i="4"/>
  <c r="I21" i="4"/>
  <c r="D27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F30" i="4"/>
  <c r="G30" i="4"/>
  <c r="H30" i="4"/>
  <c r="I30" i="4"/>
  <c r="E31" i="4"/>
  <c r="F31" i="4"/>
  <c r="G31" i="4"/>
  <c r="H31" i="4"/>
  <c r="I31" i="4"/>
  <c r="E37" i="4"/>
  <c r="F37" i="4"/>
  <c r="G37" i="4"/>
  <c r="H37" i="4"/>
  <c r="I37" i="4"/>
  <c r="E38" i="4"/>
  <c r="F38" i="4"/>
  <c r="G38" i="4"/>
  <c r="H38" i="4"/>
  <c r="I38" i="4"/>
  <c r="E39" i="4"/>
  <c r="F39" i="4"/>
  <c r="G39" i="4"/>
  <c r="H39" i="4"/>
  <c r="I39" i="4"/>
  <c r="E41" i="4"/>
  <c r="F41" i="4"/>
  <c r="G41" i="4"/>
  <c r="H41" i="4"/>
  <c r="I41" i="4"/>
  <c r="D42" i="4"/>
  <c r="E42" i="4"/>
  <c r="F42" i="4"/>
  <c r="G42" i="4"/>
  <c r="H42" i="4"/>
  <c r="I42" i="4"/>
  <c r="E43" i="4"/>
  <c r="F43" i="4"/>
  <c r="G43" i="4"/>
  <c r="H43" i="4"/>
  <c r="I43" i="4"/>
  <c r="D46" i="4"/>
  <c r="E46" i="4"/>
  <c r="F46" i="4"/>
  <c r="G46" i="4"/>
  <c r="H46" i="4"/>
  <c r="I46" i="4"/>
  <c r="E47" i="4"/>
  <c r="F47" i="4"/>
  <c r="G47" i="4"/>
  <c r="H47" i="4"/>
  <c r="I47" i="4"/>
  <c r="D48" i="4"/>
  <c r="E48" i="4"/>
  <c r="F48" i="4"/>
  <c r="G48" i="4"/>
  <c r="H48" i="4"/>
  <c r="I48" i="4"/>
  <c r="E49" i="4"/>
  <c r="F49" i="4"/>
  <c r="G49" i="4"/>
  <c r="H49" i="4"/>
  <c r="I49" i="4"/>
  <c r="F52" i="4"/>
  <c r="G52" i="4"/>
  <c r="H52" i="4"/>
  <c r="I52" i="4"/>
  <c r="E53" i="4"/>
  <c r="F53" i="4"/>
  <c r="G53" i="4"/>
  <c r="H53" i="4"/>
  <c r="I53" i="4"/>
  <c r="E54" i="4"/>
  <c r="F54" i="4"/>
  <c r="G54" i="4"/>
  <c r="H54" i="4"/>
  <c r="I54" i="4"/>
  <c r="E55" i="4"/>
  <c r="F55" i="4"/>
  <c r="G55" i="4"/>
  <c r="H55" i="4"/>
  <c r="I55" i="4"/>
  <c r="E56" i="4"/>
  <c r="F56" i="4"/>
  <c r="G56" i="4"/>
  <c r="H56" i="4"/>
  <c r="I56" i="4"/>
  <c r="E57" i="4"/>
  <c r="F57" i="4"/>
  <c r="G57" i="4"/>
  <c r="H57" i="4"/>
  <c r="I57" i="4"/>
  <c r="E58" i="4"/>
  <c r="F58" i="4"/>
  <c r="G58" i="4"/>
  <c r="H58" i="4"/>
  <c r="I58" i="4"/>
  <c r="E59" i="4"/>
  <c r="F59" i="4"/>
  <c r="G59" i="4"/>
  <c r="H59" i="4"/>
  <c r="I59" i="4"/>
  <c r="E62" i="4"/>
  <c r="F62" i="4"/>
  <c r="G62" i="4"/>
  <c r="H62" i="4"/>
  <c r="I62" i="4"/>
  <c r="E63" i="4"/>
  <c r="F63" i="4"/>
  <c r="G63" i="4"/>
  <c r="H63" i="4"/>
  <c r="I63" i="4"/>
  <c r="E65" i="4"/>
  <c r="F65" i="4"/>
  <c r="G65" i="4"/>
  <c r="H65" i="4"/>
  <c r="I65" i="4"/>
  <c r="D72" i="4"/>
  <c r="E73" i="4"/>
  <c r="F73" i="4"/>
  <c r="G73" i="4"/>
  <c r="H73" i="4"/>
  <c r="I73" i="4"/>
  <c r="E74" i="4"/>
  <c r="F74" i="4"/>
  <c r="G74" i="4"/>
  <c r="H74" i="4"/>
  <c r="I74" i="4"/>
  <c r="E75" i="4"/>
  <c r="F75" i="4"/>
  <c r="G75" i="4"/>
  <c r="H75" i="4"/>
  <c r="I75" i="4"/>
  <c r="D76" i="4"/>
  <c r="E76" i="4"/>
  <c r="F76" i="4"/>
  <c r="G76" i="4"/>
  <c r="H76" i="4"/>
  <c r="I76" i="4"/>
  <c r="D79" i="4"/>
  <c r="E80" i="4"/>
  <c r="F80" i="4"/>
  <c r="G80" i="4"/>
  <c r="H80" i="4"/>
  <c r="I80" i="4"/>
  <c r="E81" i="4"/>
  <c r="F81" i="4"/>
  <c r="G81" i="4"/>
  <c r="H81" i="4"/>
  <c r="I81" i="4"/>
  <c r="D82" i="4"/>
  <c r="E82" i="4"/>
  <c r="F82" i="4"/>
  <c r="G82" i="4"/>
  <c r="H82" i="4"/>
  <c r="I82" i="4"/>
  <c r="D84" i="4"/>
  <c r="E84" i="4"/>
  <c r="F84" i="4"/>
  <c r="G84" i="4"/>
  <c r="H84" i="4"/>
  <c r="I84" i="4"/>
  <c r="C90" i="4"/>
  <c r="D90" i="4"/>
  <c r="C91" i="4"/>
  <c r="D91" i="4"/>
  <c r="C92" i="4"/>
  <c r="D92" i="4"/>
  <c r="C94" i="4"/>
  <c r="D94" i="4"/>
  <c r="C95" i="4"/>
  <c r="D95" i="4"/>
  <c r="C98" i="4"/>
  <c r="C99" i="4"/>
  <c r="C100" i="4"/>
  <c r="C101" i="4"/>
</calcChain>
</file>

<file path=xl/sharedStrings.xml><?xml version="1.0" encoding="utf-8"?>
<sst xmlns="http://schemas.openxmlformats.org/spreadsheetml/2006/main" count="213" uniqueCount="173">
  <si>
    <t>Unlevered Cash Flow</t>
  </si>
  <si>
    <t>% of Total Revenue</t>
  </si>
  <si>
    <t>Hold Period</t>
  </si>
  <si>
    <t>Exit Cap Rate</t>
  </si>
  <si>
    <t>Sale Price</t>
  </si>
  <si>
    <t>Total Expenses</t>
  </si>
  <si>
    <t>Expense</t>
  </si>
  <si>
    <t>Total Acquisition Costs</t>
  </si>
  <si>
    <t>Total Revenue</t>
  </si>
  <si>
    <t>Other Revenue</t>
  </si>
  <si>
    <t xml:space="preserve">Rooms </t>
  </si>
  <si>
    <t>Closing Costs</t>
  </si>
  <si>
    <t>Revenue</t>
  </si>
  <si>
    <t>Purchase Price</t>
  </si>
  <si>
    <t>RevPAR % Change</t>
  </si>
  <si>
    <t>RevPAR</t>
  </si>
  <si>
    <t>ADR % Change</t>
  </si>
  <si>
    <t>Acquisition Date</t>
  </si>
  <si>
    <t>ADR</t>
  </si>
  <si>
    <t>Occupancy</t>
  </si>
  <si>
    <t>Financing Costs</t>
  </si>
  <si>
    <t>Total</t>
  </si>
  <si>
    <t xml:space="preserve">Renovation </t>
  </si>
  <si>
    <t>Beginning Balance</t>
  </si>
  <si>
    <t>Amortization Expense</t>
  </si>
  <si>
    <t>Interest Expense</t>
  </si>
  <si>
    <t>Ending Balance</t>
  </si>
  <si>
    <t>Unlevered Returns</t>
  </si>
  <si>
    <t>Reversion</t>
  </si>
  <si>
    <t>Selling Costs</t>
  </si>
  <si>
    <t>Total Unlevered Proceeds</t>
  </si>
  <si>
    <t>Unlevered FCF</t>
  </si>
  <si>
    <t>IRR</t>
  </si>
  <si>
    <t>Profit</t>
  </si>
  <si>
    <t>MOIC</t>
  </si>
  <si>
    <t>Total Levered Proceeds</t>
  </si>
  <si>
    <t>Levered FCF</t>
  </si>
  <si>
    <t>Loan Payoff</t>
  </si>
  <si>
    <t>Levered Cash Flow</t>
  </si>
  <si>
    <t>Keys</t>
  </si>
  <si>
    <t>Equity</t>
  </si>
  <si>
    <t>Renovation</t>
  </si>
  <si>
    <t>Net Proceeds</t>
  </si>
  <si>
    <t>Debt</t>
  </si>
  <si>
    <t>NOI Margin</t>
  </si>
  <si>
    <t xml:space="preserve">Exit </t>
  </si>
  <si>
    <t>IO</t>
  </si>
  <si>
    <t>Amort Period</t>
  </si>
  <si>
    <t>Levered Returns</t>
  </si>
  <si>
    <t>Check: S&amp;U</t>
  </si>
  <si>
    <t>Closing</t>
  </si>
  <si>
    <t>Summary</t>
  </si>
  <si>
    <t>Property Name</t>
  </si>
  <si>
    <t># Days open</t>
  </si>
  <si>
    <t># Rooms available</t>
  </si>
  <si>
    <t># Occupied Rooms</t>
  </si>
  <si>
    <t>Reported Management Fee</t>
  </si>
  <si>
    <t>SUMMARY TABLE</t>
  </si>
  <si>
    <t>Property</t>
  </si>
  <si>
    <t>Seller</t>
  </si>
  <si>
    <t>Per Key</t>
  </si>
  <si>
    <t>Last Reno</t>
  </si>
  <si>
    <t>Capex Assumption</t>
  </si>
  <si>
    <t>LTV</t>
  </si>
  <si>
    <t>All-in Interest Rate</t>
  </si>
  <si>
    <t>UW Stab NOI</t>
  </si>
  <si>
    <t>Exit Cap</t>
  </si>
  <si>
    <t>Current Management</t>
  </si>
  <si>
    <t>A/F</t>
  </si>
  <si>
    <t>Manager</t>
  </si>
  <si>
    <t>Scale</t>
  </si>
  <si>
    <t>Post-Closing</t>
  </si>
  <si>
    <t>PROPERTY OVERVIEW</t>
  </si>
  <si>
    <t>ASSUMPTIONS</t>
  </si>
  <si>
    <t>SOURCES &amp; USES</t>
  </si>
  <si>
    <t>PROFORMA WALKDOWN</t>
  </si>
  <si>
    <t>EBITDA</t>
  </si>
  <si>
    <t>Adjusted NOI</t>
  </si>
  <si>
    <t>RETURN METRICS</t>
  </si>
  <si>
    <t>Seller's Basis</t>
  </si>
  <si>
    <t>ENTRY</t>
  </si>
  <si>
    <t>EXIT</t>
  </si>
  <si>
    <t>FINANCING</t>
  </si>
  <si>
    <t>SOURCES</t>
  </si>
  <si>
    <t>USES</t>
  </si>
  <si>
    <t>OPERATING ASSUMPTIONS</t>
  </si>
  <si>
    <t>DEBT SCHEDULE</t>
  </si>
  <si>
    <t>IO TERM</t>
  </si>
  <si>
    <t>SUMMARY</t>
  </si>
  <si>
    <t>CapEx (Historical)</t>
  </si>
  <si>
    <t>Loan Proceeds / LTC</t>
  </si>
  <si>
    <t>Interest Rate</t>
  </si>
  <si>
    <t>Note: This is the Interest Reserve (linked to respective Amort Tab)</t>
  </si>
  <si>
    <t>NOI Toggle &gt;</t>
  </si>
  <si>
    <t>NOI Dummy Cell</t>
  </si>
  <si>
    <t>Budget</t>
  </si>
  <si>
    <t>Yes</t>
  </si>
  <si>
    <t>ACT</t>
  </si>
  <si>
    <t>&lt;--Input</t>
  </si>
  <si>
    <t>Guidance</t>
  </si>
  <si>
    <t>Year Opened</t>
  </si>
  <si>
    <t>Labor / Tenure</t>
  </si>
  <si>
    <t>Brand</t>
  </si>
  <si>
    <t>Term</t>
  </si>
  <si>
    <t>Full Service</t>
  </si>
  <si>
    <t>TBD</t>
  </si>
  <si>
    <t>Fee Simple / Non-Union</t>
  </si>
  <si>
    <t>Waverider</t>
  </si>
  <si>
    <t>GP / LP Joint Venture Waterfall</t>
  </si>
  <si>
    <t>JV Structure</t>
  </si>
  <si>
    <t>Total Equity</t>
  </si>
  <si>
    <t>GP Co-Invest (%)</t>
  </si>
  <si>
    <t>LP Equity (%)</t>
  </si>
  <si>
    <t>GP Equity ($)</t>
  </si>
  <si>
    <t>LP Equity ($)</t>
  </si>
  <si>
    <t>Waterfall Terms</t>
  </si>
  <si>
    <t>LP Preferred Return</t>
  </si>
  <si>
    <t>Tier 1 Split (LP / GP)</t>
  </si>
  <si>
    <t>Tier 1 LP MOIC Hurdle</t>
  </si>
  <si>
    <t>Tier 2 Split (LP / GP)</t>
  </si>
  <si>
    <t>Distributable Cash Flows</t>
  </si>
  <si>
    <t>Cumulative</t>
  </si>
  <si>
    <t>LP Preferred Return Tracker</t>
  </si>
  <si>
    <t>LP Unreturned Capital (BoP)</t>
  </si>
  <si>
    <t>Pref Accrual</t>
  </si>
  <si>
    <t>Pref Paid</t>
  </si>
  <si>
    <t>Unpaid Pref (BoP)</t>
  </si>
  <si>
    <t>Unpaid Pref (EoP)</t>
  </si>
  <si>
    <t>Distribution Waterfall</t>
  </si>
  <si>
    <t>Cash Available</t>
  </si>
  <si>
    <t>Tier 1: LP Preferred Return</t>
  </si>
  <si>
    <t>Remaining after Tier 1</t>
  </si>
  <si>
    <t>Tier 2: Return of LP Capital</t>
  </si>
  <si>
    <t>LP Unreturned Capital (EoP)</t>
  </si>
  <si>
    <t>Remaining after Tier 2</t>
  </si>
  <si>
    <t>Tier 3: Return of GP Capital</t>
  </si>
  <si>
    <t>GP Unreturned Capital (BoP)</t>
  </si>
  <si>
    <t>GP Capital Return</t>
  </si>
  <si>
    <t>GP Unreturned Capital (EoP)</t>
  </si>
  <si>
    <t>Remaining after Tier 3</t>
  </si>
  <si>
    <t>Tier 4: Promote Split to LP 2.0x</t>
  </si>
  <si>
    <t>Cumulative LP (End of Prior Period)</t>
  </si>
  <si>
    <t>LP This Period Before Tier 4</t>
  </si>
  <si>
    <t>Total LP Before Tier 4</t>
  </si>
  <si>
    <t>LP Remaining to 2.0x</t>
  </si>
  <si>
    <t>Tier 4 Total</t>
  </si>
  <si>
    <t>Tier 4 to LP</t>
  </si>
  <si>
    <t>Tier 4 to GP</t>
  </si>
  <si>
    <t>Remaining after Tier 4</t>
  </si>
  <si>
    <t>Tier 5: Residual Split</t>
  </si>
  <si>
    <t>Tier 5 to LP</t>
  </si>
  <si>
    <t>Tier 5 to GP</t>
  </si>
  <si>
    <t>Check: Remaining</t>
  </si>
  <si>
    <t>Cash Flow Summary</t>
  </si>
  <si>
    <t>LP Cash Flows</t>
  </si>
  <si>
    <t>Equity Contribution</t>
  </si>
  <si>
    <t>Pref Distributions</t>
  </si>
  <si>
    <t>Capital Return</t>
  </si>
  <si>
    <t>Promote Distributions</t>
  </si>
  <si>
    <t>Total LP Cash Flow</t>
  </si>
  <si>
    <t>GP Cash Flows</t>
  </si>
  <si>
    <t>Total GP Cash Flow</t>
  </si>
  <si>
    <t>Check: Total</t>
  </si>
  <si>
    <t>Return Metrics</t>
  </si>
  <si>
    <t>LP</t>
  </si>
  <si>
    <t>GP</t>
  </si>
  <si>
    <t>Equity Invested</t>
  </si>
  <si>
    <t>Total Distributions</t>
  </si>
  <si>
    <t>GP Promote Analysis</t>
  </si>
  <si>
    <t>GP Pro Rata Share (at co-invest %)</t>
  </si>
  <si>
    <t>Actual GP Distributions</t>
  </si>
  <si>
    <t>GP Promote ($)</t>
  </si>
  <si>
    <t>Promote as % of LP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</si>
</sst>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\ &quot;Years&quot;"/>
    <numFmt numFmtId="165" formatCode="0.0%"/>
    <numFmt numFmtId="166" formatCode="&quot;$&quot;#,##0"/>
    <numFmt numFmtId="167" formatCode="&quot;Year&quot;\ 0"/>
    <numFmt numFmtId="168" formatCode="&quot;$&quot;#,##0.00"/>
    <numFmt numFmtId="169" formatCode="&quot;NOI Adjustment Multiple:&quot;\ 0.00"/>
    <numFmt numFmtId="170" formatCode="_(* #,##0_);_(* \(#,##0\);_(* &quot;-&quot;??_);_(@_)"/>
    <numFmt numFmtId="171" formatCode="_(&quot;$&quot;* #,##0_);_(&quot;$&quot;* \(#,##0\);_(&quot;$&quot;* &quot;-&quot;??_);_(@_)"/>
    <numFmt numFmtId="172" formatCode="0.00&quot;x&quot;"/>
    <numFmt numFmtId="173" formatCode="&quot;Closing:&quot;\ m/d/yyyy"/>
    <numFmt numFmtId="174" formatCode="&quot;$&quot;#,##0.0"/>
    <numFmt numFmtId="175" formatCode="General\ &quot;per key&quot;"/>
    <numFmt numFmtId="176" formatCode="#,#00\ &quot;Per Key&quot;"/>
    <numFmt numFmtId="177" formatCode="&quot;$&quot;#,#00\ &quot;Per Key&quot;"/>
    <numFmt numFmtId="178" formatCode="&quot;$&quot;#,##0\ &quot;Per Key&quot;"/>
    <numFmt numFmtId="179" formatCode="0.0%\ &quot;of Loan Amount&quot;"/>
    <numFmt numFmtId="180" formatCode="0.0%\ &quot;of Purchase Price&quot;"/>
    <numFmt numFmtId="181" formatCode="0.0%\ &quot;of Sale Price&quot;"/>
    <numFmt numFmtId="182" formatCode="&quot;Cash on Cash Return (Avg: &quot;0.0%&quot;)&quot;"/>
    <numFmt numFmtId="183" formatCode="&quot;DSCR (Min: &quot;0.0\x&quot;)&quot;"/>
    <numFmt numFmtId="184" formatCode="&quot;Debt Yield (Min:&quot;\ 0.0%&quot;)&quot;"/>
    <numFmt numFmtId="185" formatCode="0.0&quot;x&quot;"/>
    <numFmt numFmtId="186" formatCode="0.0%\ &quot;of loan&quot;"/>
    <numFmt numFmtId="187" formatCode="&quot;Guidance:&quot;\ &quot;$&quot;#,#00"/>
    <numFmt numFmtId="188" formatCode="&quot;BPH UW&quot;\ ###0.00%;\(###0.00%\)\ &quot;Premium/(Discount)&quot;"/>
    <numFmt numFmtId="189" formatCode="&quot;Management Fee:&quot;\ 0.0%"/>
    <numFmt numFmtId="190" formatCode="&quot;Yield on Cost (Avg: &quot;0.0%&quot;)&quot;"/>
    <numFmt numFmtId="191" formatCode="&quot;FF&amp;E (&quot;0.0%&quot;)&quot;"/>
    <numFmt numFmtId="192" formatCode="#,##0;\(#,##0\);&quot;–&quot;"/>
    <numFmt numFmtId="193" formatCode="yyyy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1"/>
      <color theme="0"/>
      <name val="Garamond"/>
      <family val="1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color theme="0"/>
      <name val="Garamond"/>
      <family val="1"/>
    </font>
    <font>
      <sz val="11"/>
      <color rgb="FF0000FA"/>
      <name val="Garamond"/>
      <family val="1"/>
    </font>
    <font>
      <sz val="11"/>
      <name val="Garamond"/>
      <family val="1"/>
    </font>
    <font>
      <i/>
      <sz val="11"/>
      <color theme="1"/>
      <name val="Garamond"/>
      <family val="1"/>
    </font>
    <font>
      <i/>
      <sz val="11"/>
      <name val="Garamond"/>
      <family val="1"/>
    </font>
    <font>
      <i/>
      <sz val="11"/>
      <color rgb="FF0000FA"/>
      <name val="Garamond"/>
      <family val="1"/>
    </font>
    <font>
      <sz val="11"/>
      <color rgb="FF009600"/>
      <name val="Garamond"/>
      <family val="1"/>
    </font>
    <font>
      <b/>
      <sz val="11"/>
      <name val="Garamond"/>
      <family val="1"/>
    </font>
    <font>
      <b/>
      <i/>
      <u/>
      <sz val="11"/>
      <color theme="1"/>
      <name val="Garamond"/>
      <family val="1"/>
    </font>
    <font>
      <b/>
      <i/>
      <sz val="11"/>
      <color theme="1"/>
      <name val="Garamond"/>
      <family val="1"/>
    </font>
    <font>
      <b/>
      <sz val="11"/>
      <color rgb="FF0000FA"/>
      <name val="Garamond"/>
      <family val="1"/>
    </font>
    <font>
      <b/>
      <i/>
      <sz val="11"/>
      <color theme="0"/>
      <name val="Garamond"/>
      <family val="1"/>
    </font>
    <font>
      <u/>
      <sz val="11"/>
      <color theme="1"/>
      <name val="Garamond"/>
      <family val="1"/>
    </font>
    <font>
      <i/>
      <u/>
      <sz val="11"/>
      <color theme="1"/>
      <name val="Garamond"/>
      <family val="1"/>
    </font>
    <font>
      <i/>
      <sz val="11"/>
      <color theme="0"/>
      <name val="Garamond"/>
      <family val="1"/>
    </font>
    <font>
      <sz val="11"/>
      <color rgb="FF006400"/>
      <name val="Garamond"/>
      <family val="1"/>
    </font>
    <font>
      <i/>
      <sz val="11"/>
      <color rgb="FF006400"/>
      <name val="Garamond"/>
      <family val="1"/>
    </font>
    <font>
      <b/>
      <sz val="12"/>
      <color theme="1"/>
      <name val="Garamond"/>
    </font>
    <font>
      <sz val="11"/>
      <color theme="1"/>
      <name val="Garamond"/>
    </font>
    <font>
      <b/>
      <sz val="11"/>
      <color theme="1"/>
      <name val="Garamond"/>
    </font>
    <font>
      <b/>
      <u/>
      <sz val="11"/>
      <color theme="1"/>
      <name val="Garamond"/>
    </font>
    <font>
      <sz val="11"/>
      <color rgb="FF0000FF"/>
      <name val="Garamond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8E1F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3" fillId="0" borderId="0" applyFill="0" applyBorder="0" applyProtection="0">
      <alignment vertical="top"/>
    </xf>
    <xf numFmtId="0" fontId="2" fillId="0" borderId="0"/>
  </cellStyleXfs>
  <cellXfs count="324">
    <xf numFmtId="0" fontId="0" fillId="0" borderId="0" xfId="0"/>
    <xf numFmtId="0" fontId="5" fillId="0" borderId="0" xfId="0" applyFont="1"/>
    <xf numFmtId="0" fontId="6" fillId="0" borderId="3" xfId="0" applyFont="1" applyBorder="1"/>
    <xf numFmtId="0" fontId="5" fillId="0" borderId="3" xfId="0" applyFont="1" applyBorder="1"/>
    <xf numFmtId="3" fontId="5" fillId="0" borderId="3" xfId="0" applyNumberFormat="1" applyFont="1" applyBorder="1"/>
    <xf numFmtId="0" fontId="5" fillId="0" borderId="4" xfId="0" applyFont="1" applyBorder="1"/>
    <xf numFmtId="0" fontId="5" fillId="0" borderId="1" xfId="0" applyFont="1" applyBorder="1"/>
    <xf numFmtId="176" fontId="10" fillId="0" borderId="0" xfId="1" applyNumberFormat="1" applyFont="1" applyBorder="1" applyAlignment="1">
      <alignment horizontal="left"/>
    </xf>
    <xf numFmtId="166" fontId="5" fillId="0" borderId="0" xfId="1" applyNumberFormat="1" applyFont="1" applyBorder="1"/>
    <xf numFmtId="0" fontId="5" fillId="0" borderId="6" xfId="0" applyFont="1" applyBorder="1"/>
    <xf numFmtId="0" fontId="10" fillId="0" borderId="0" xfId="0" applyFont="1" applyAlignment="1">
      <alignment horizontal="left" indent="1"/>
    </xf>
    <xf numFmtId="10" fontId="10" fillId="0" borderId="0" xfId="2" applyNumberFormat="1" applyFont="1" applyBorder="1"/>
    <xf numFmtId="180" fontId="8" fillId="0" borderId="0" xfId="2" applyNumberFormat="1" applyFont="1" applyBorder="1" applyAlignment="1">
      <alignment horizontal="left"/>
    </xf>
    <xf numFmtId="166" fontId="13" fillId="0" borderId="3" xfId="0" applyNumberFormat="1" applyFont="1" applyBorder="1"/>
    <xf numFmtId="179" fontId="9" fillId="0" borderId="3" xfId="2" applyNumberFormat="1" applyFont="1" applyBorder="1" applyAlignment="1">
      <alignment horizontal="left"/>
    </xf>
    <xf numFmtId="179" fontId="8" fillId="0" borderId="3" xfId="2" applyNumberFormat="1" applyFont="1" applyBorder="1" applyAlignment="1">
      <alignment horizontal="left"/>
    </xf>
    <xf numFmtId="166" fontId="5" fillId="0" borderId="3" xfId="0" applyNumberFormat="1" applyFont="1" applyBorder="1"/>
    <xf numFmtId="181" fontId="8" fillId="0" borderId="3" xfId="2" applyNumberFormat="1" applyFont="1" applyFill="1" applyBorder="1" applyAlignment="1">
      <alignment horizontal="left"/>
    </xf>
    <xf numFmtId="0" fontId="4" fillId="4" borderId="0" xfId="0" applyFont="1" applyFill="1" applyAlignment="1">
      <alignment horizontal="centerContinuous"/>
    </xf>
    <xf numFmtId="0" fontId="5" fillId="0" borderId="0" xfId="0" applyFont="1" applyAlignment="1">
      <alignment horizontal="right"/>
    </xf>
    <xf numFmtId="3" fontId="5" fillId="0" borderId="0" xfId="1" applyNumberFormat="1" applyFont="1" applyBorder="1" applyAlignment="1"/>
    <xf numFmtId="165" fontId="5" fillId="0" borderId="0" xfId="2" applyNumberFormat="1" applyFont="1" applyBorder="1"/>
    <xf numFmtId="3" fontId="5" fillId="0" borderId="3" xfId="1" applyNumberFormat="1" applyFont="1" applyBorder="1" applyAlignment="1"/>
    <xf numFmtId="165" fontId="5" fillId="0" borderId="3" xfId="2" applyNumberFormat="1" applyFont="1" applyBorder="1"/>
    <xf numFmtId="165" fontId="8" fillId="0" borderId="0" xfId="2" applyNumberFormat="1" applyFont="1" applyBorder="1" applyAlignment="1">
      <alignment horizontal="right"/>
    </xf>
    <xf numFmtId="165" fontId="5" fillId="0" borderId="0" xfId="2" applyNumberFormat="1" applyFont="1" applyBorder="1" applyAlignment="1">
      <alignment horizontal="right"/>
    </xf>
    <xf numFmtId="165" fontId="10" fillId="0" borderId="0" xfId="2" applyNumberFormat="1" applyFont="1" applyBorder="1" applyAlignment="1">
      <alignment horizontal="right"/>
    </xf>
    <xf numFmtId="165" fontId="12" fillId="0" borderId="0" xfId="2" applyNumberFormat="1" applyFont="1" applyBorder="1" applyAlignment="1">
      <alignment horizontal="right"/>
    </xf>
    <xf numFmtId="165" fontId="10" fillId="0" borderId="6" xfId="2" applyNumberFormat="1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6" fillId="2" borderId="5" xfId="0" applyFont="1" applyFill="1" applyBorder="1"/>
    <xf numFmtId="0" fontId="5" fillId="2" borderId="5" xfId="0" applyFont="1" applyFill="1" applyBorder="1" applyAlignment="1">
      <alignment horizontal="right"/>
    </xf>
    <xf numFmtId="0" fontId="15" fillId="0" borderId="0" xfId="0" applyFont="1"/>
    <xf numFmtId="165" fontId="11" fillId="0" borderId="0" xfId="2" applyNumberFormat="1" applyFont="1" applyBorder="1" applyAlignment="1">
      <alignment horizontal="right"/>
    </xf>
    <xf numFmtId="41" fontId="5" fillId="0" borderId="3" xfId="0" applyNumberFormat="1" applyFont="1" applyBorder="1" applyAlignment="1">
      <alignment horizontal="right"/>
    </xf>
    <xf numFmtId="3" fontId="5" fillId="0" borderId="0" xfId="1" applyNumberFormat="1" applyFont="1" applyBorder="1"/>
    <xf numFmtId="176" fontId="10" fillId="0" borderId="0" xfId="1" applyNumberFormat="1" applyFont="1" applyBorder="1"/>
    <xf numFmtId="166" fontId="6" fillId="2" borderId="5" xfId="0" applyNumberFormat="1" applyFont="1" applyFill="1" applyBorder="1"/>
    <xf numFmtId="3" fontId="5" fillId="0" borderId="3" xfId="1" applyNumberFormat="1" applyFont="1" applyBorder="1"/>
    <xf numFmtId="176" fontId="10" fillId="0" borderId="3" xfId="1" applyNumberFormat="1" applyFont="1" applyBorder="1"/>
    <xf numFmtId="37" fontId="5" fillId="0" borderId="3" xfId="0" applyNumberFormat="1" applyFont="1" applyBorder="1"/>
    <xf numFmtId="177" fontId="16" fillId="0" borderId="0" xfId="1" applyNumberFormat="1" applyFont="1" applyBorder="1"/>
    <xf numFmtId="165" fontId="5" fillId="0" borderId="0" xfId="0" applyNumberFormat="1" applyFont="1"/>
    <xf numFmtId="0" fontId="5" fillId="0" borderId="16" xfId="0" applyFont="1" applyBorder="1"/>
    <xf numFmtId="0" fontId="6" fillId="0" borderId="16" xfId="0" applyFont="1" applyBorder="1"/>
    <xf numFmtId="0" fontId="6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41" fontId="5" fillId="0" borderId="0" xfId="0" applyNumberFormat="1" applyFont="1"/>
    <xf numFmtId="8" fontId="5" fillId="0" borderId="0" xfId="0" applyNumberFormat="1" applyFont="1"/>
    <xf numFmtId="0" fontId="5" fillId="0" borderId="9" xfId="0" applyFont="1" applyBorder="1"/>
    <xf numFmtId="166" fontId="5" fillId="0" borderId="9" xfId="0" applyNumberFormat="1" applyFont="1" applyBorder="1" applyAlignment="1">
      <alignment horizontal="right"/>
    </xf>
    <xf numFmtId="0" fontId="5" fillId="0" borderId="17" xfId="0" applyFont="1" applyBorder="1"/>
    <xf numFmtId="166" fontId="5" fillId="0" borderId="10" xfId="0" applyNumberFormat="1" applyFont="1" applyBorder="1"/>
    <xf numFmtId="10" fontId="6" fillId="0" borderId="16" xfId="2" applyNumberFormat="1" applyFont="1" applyFill="1" applyBorder="1"/>
    <xf numFmtId="166" fontId="6" fillId="0" borderId="9" xfId="0" applyNumberFormat="1" applyFont="1" applyBorder="1"/>
    <xf numFmtId="166" fontId="5" fillId="0" borderId="9" xfId="0" applyNumberFormat="1" applyFont="1" applyBorder="1"/>
    <xf numFmtId="41" fontId="5" fillId="0" borderId="3" xfId="0" applyNumberFormat="1" applyFont="1" applyBorder="1"/>
    <xf numFmtId="10" fontId="10" fillId="0" borderId="16" xfId="0" applyNumberFormat="1" applyFont="1" applyBorder="1"/>
    <xf numFmtId="10" fontId="10" fillId="0" borderId="9" xfId="0" applyNumberFormat="1" applyFont="1" applyBorder="1"/>
    <xf numFmtId="10" fontId="5" fillId="0" borderId="16" xfId="0" applyNumberFormat="1" applyFont="1" applyBorder="1"/>
    <xf numFmtId="1" fontId="5" fillId="0" borderId="9" xfId="0" applyNumberFormat="1" applyFont="1" applyBorder="1" applyAlignment="1">
      <alignment horizontal="right"/>
    </xf>
    <xf numFmtId="178" fontId="10" fillId="0" borderId="9" xfId="0" applyNumberFormat="1" applyFont="1" applyBorder="1"/>
    <xf numFmtId="0" fontId="10" fillId="0" borderId="2" xfId="0" applyFont="1" applyBorder="1"/>
    <xf numFmtId="0" fontId="5" fillId="0" borderId="2" xfId="0" applyFont="1" applyBorder="1"/>
    <xf numFmtId="10" fontId="10" fillId="0" borderId="2" xfId="2" applyNumberFormat="1" applyFont="1" applyBorder="1" applyAlignment="1">
      <alignment horizontal="right"/>
    </xf>
    <xf numFmtId="10" fontId="10" fillId="0" borderId="8" xfId="2" applyNumberFormat="1" applyFont="1" applyBorder="1" applyAlignment="1">
      <alignment horizontal="right"/>
    </xf>
    <xf numFmtId="0" fontId="10" fillId="0" borderId="16" xfId="0" applyFont="1" applyBorder="1"/>
    <xf numFmtId="165" fontId="5" fillId="0" borderId="9" xfId="0" applyNumberFormat="1" applyFont="1" applyBorder="1"/>
    <xf numFmtId="170" fontId="5" fillId="0" borderId="0" xfId="1" applyNumberFormat="1" applyFont="1" applyBorder="1" applyAlignment="1">
      <alignment horizontal="right"/>
    </xf>
    <xf numFmtId="0" fontId="6" fillId="0" borderId="18" xfId="0" applyFont="1" applyBorder="1"/>
    <xf numFmtId="0" fontId="6" fillId="0" borderId="4" xfId="0" applyFont="1" applyBorder="1"/>
    <xf numFmtId="166" fontId="6" fillId="0" borderId="11" xfId="0" applyNumberFormat="1" applyFont="1" applyBorder="1"/>
    <xf numFmtId="170" fontId="5" fillId="0" borderId="3" xfId="1" applyNumberFormat="1" applyFont="1" applyBorder="1" applyAlignment="1">
      <alignment horizontal="right"/>
    </xf>
    <xf numFmtId="10" fontId="10" fillId="0" borderId="9" xfId="0" applyNumberFormat="1" applyFont="1" applyBorder="1" applyAlignment="1">
      <alignment horizontal="right"/>
    </xf>
    <xf numFmtId="0" fontId="5" fillId="0" borderId="19" xfId="0" applyFont="1" applyBorder="1"/>
    <xf numFmtId="0" fontId="5" fillId="0" borderId="12" xfId="0" applyFont="1" applyBorder="1"/>
    <xf numFmtId="43" fontId="5" fillId="0" borderId="0" xfId="0" applyNumberFormat="1" applyFont="1"/>
    <xf numFmtId="170" fontId="5" fillId="0" borderId="0" xfId="1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Continuous"/>
    </xf>
    <xf numFmtId="0" fontId="5" fillId="2" borderId="2" xfId="0" applyFont="1" applyFill="1" applyBorder="1" applyAlignment="1">
      <alignment horizontal="centerContinuous"/>
    </xf>
    <xf numFmtId="174" fontId="5" fillId="2" borderId="2" xfId="0" applyNumberFormat="1" applyFont="1" applyFill="1" applyBorder="1" applyAlignment="1">
      <alignment horizontal="centerContinuous"/>
    </xf>
    <xf numFmtId="165" fontId="12" fillId="0" borderId="0" xfId="2" applyNumberFormat="1" applyFont="1" applyFill="1" applyBorder="1" applyAlignment="1"/>
    <xf numFmtId="166" fontId="14" fillId="0" borderId="0" xfId="0" applyNumberFormat="1" applyFont="1"/>
    <xf numFmtId="0" fontId="6" fillId="2" borderId="13" xfId="0" applyFont="1" applyFill="1" applyBorder="1" applyAlignment="1">
      <alignment horizontal="centerContinuous"/>
    </xf>
    <xf numFmtId="10" fontId="6" fillId="6" borderId="13" xfId="2" applyNumberFormat="1" applyFont="1" applyFill="1" applyBorder="1" applyAlignment="1">
      <alignment horizontal="centerContinuous"/>
    </xf>
    <xf numFmtId="10" fontId="6" fillId="6" borderId="14" xfId="2" applyNumberFormat="1" applyFont="1" applyFill="1" applyBorder="1" applyAlignment="1">
      <alignment horizontal="centerContinuous"/>
    </xf>
    <xf numFmtId="10" fontId="6" fillId="6" borderId="15" xfId="2" applyNumberFormat="1" applyFont="1" applyFill="1" applyBorder="1" applyAlignment="1">
      <alignment horizontal="centerContinuous"/>
    </xf>
    <xf numFmtId="166" fontId="6" fillId="0" borderId="16" xfId="0" applyNumberFormat="1" applyFont="1" applyBorder="1"/>
    <xf numFmtId="10" fontId="5" fillId="3" borderId="9" xfId="2" applyNumberFormat="1" applyFont="1" applyFill="1" applyBorder="1"/>
    <xf numFmtId="166" fontId="9" fillId="3" borderId="9" xfId="0" applyNumberFormat="1" applyFont="1" applyFill="1" applyBorder="1"/>
    <xf numFmtId="0" fontId="6" fillId="0" borderId="19" xfId="0" applyFont="1" applyBorder="1"/>
    <xf numFmtId="0" fontId="6" fillId="0" borderId="0" xfId="0" applyFont="1"/>
    <xf numFmtId="0" fontId="10" fillId="0" borderId="0" xfId="0" applyFont="1"/>
    <xf numFmtId="172" fontId="5" fillId="0" borderId="12" xfId="0" applyNumberFormat="1" applyFont="1" applyBorder="1"/>
    <xf numFmtId="0" fontId="5" fillId="0" borderId="16" xfId="0" applyFont="1" applyBorder="1" applyAlignment="1">
      <alignment horizontal="left"/>
    </xf>
    <xf numFmtId="10" fontId="5" fillId="8" borderId="0" xfId="2" applyNumberFormat="1" applyFont="1" applyFill="1" applyBorder="1"/>
    <xf numFmtId="166" fontId="6" fillId="8" borderId="20" xfId="0" applyNumberFormat="1" applyFont="1" applyFill="1" applyBorder="1"/>
    <xf numFmtId="166" fontId="14" fillId="8" borderId="1" xfId="0" applyNumberFormat="1" applyFont="1" applyFill="1" applyBorder="1"/>
    <xf numFmtId="0" fontId="6" fillId="7" borderId="22" xfId="0" applyFont="1" applyFill="1" applyBorder="1" applyAlignment="1">
      <alignment horizontal="centerContinuous"/>
    </xf>
    <xf numFmtId="166" fontId="4" fillId="7" borderId="23" xfId="0" applyNumberFormat="1" applyFont="1" applyFill="1" applyBorder="1" applyAlignment="1">
      <alignment horizontal="centerContinuous"/>
    </xf>
    <xf numFmtId="0" fontId="6" fillId="7" borderId="24" xfId="0" applyFont="1" applyFill="1" applyBorder="1" applyAlignment="1">
      <alignment horizontal="centerContinuous"/>
    </xf>
    <xf numFmtId="175" fontId="18" fillId="7" borderId="25" xfId="0" applyNumberFormat="1" applyFont="1" applyFill="1" applyBorder="1" applyAlignment="1">
      <alignment horizontal="centerContinuous"/>
    </xf>
    <xf numFmtId="0" fontId="6" fillId="8" borderId="16" xfId="0" applyFont="1" applyFill="1" applyBorder="1"/>
    <xf numFmtId="10" fontId="5" fillId="8" borderId="9" xfId="2" applyNumberFormat="1" applyFont="1" applyFill="1" applyBorder="1"/>
    <xf numFmtId="166" fontId="9" fillId="8" borderId="0" xfId="0" applyNumberFormat="1" applyFont="1" applyFill="1"/>
    <xf numFmtId="166" fontId="9" fillId="8" borderId="9" xfId="0" applyNumberFormat="1" applyFont="1" applyFill="1" applyBorder="1"/>
    <xf numFmtId="0" fontId="6" fillId="8" borderId="19" xfId="0" applyFont="1" applyFill="1" applyBorder="1"/>
    <xf numFmtId="172" fontId="5" fillId="8" borderId="2" xfId="0" applyNumberFormat="1" applyFont="1" applyFill="1" applyBorder="1"/>
    <xf numFmtId="0" fontId="6" fillId="8" borderId="7" xfId="0" applyFont="1" applyFill="1" applyBorder="1"/>
    <xf numFmtId="172" fontId="5" fillId="8" borderId="12" xfId="0" applyNumberFormat="1" applyFont="1" applyFill="1" applyBorder="1"/>
    <xf numFmtId="0" fontId="4" fillId="4" borderId="26" xfId="0" applyFont="1" applyFill="1" applyBorder="1" applyAlignment="1">
      <alignment horizontal="centerContinuous"/>
    </xf>
    <xf numFmtId="0" fontId="4" fillId="4" borderId="27" xfId="0" applyFont="1" applyFill="1" applyBorder="1" applyAlignment="1">
      <alignment horizontal="centerContinuous"/>
    </xf>
    <xf numFmtId="0" fontId="4" fillId="4" borderId="21" xfId="0" applyFont="1" applyFill="1" applyBorder="1" applyAlignment="1">
      <alignment horizontal="centerContinuous"/>
    </xf>
    <xf numFmtId="0" fontId="6" fillId="2" borderId="19" xfId="0" applyFont="1" applyFill="1" applyBorder="1" applyAlignment="1">
      <alignment horizontal="centerContinuous"/>
    </xf>
    <xf numFmtId="0" fontId="6" fillId="2" borderId="12" xfId="0" applyFont="1" applyFill="1" applyBorder="1" applyAlignment="1">
      <alignment horizontal="centerContinuous"/>
    </xf>
    <xf numFmtId="0" fontId="20" fillId="0" borderId="1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0" xfId="0" applyFont="1" applyBorder="1"/>
    <xf numFmtId="166" fontId="10" fillId="0" borderId="0" xfId="0" applyNumberFormat="1" applyFont="1" applyAlignment="1">
      <alignment horizontal="right"/>
    </xf>
    <xf numFmtId="165" fontId="10" fillId="0" borderId="0" xfId="0" applyNumberFormat="1" applyFont="1"/>
    <xf numFmtId="10" fontId="5" fillId="0" borderId="9" xfId="2" applyNumberFormat="1" applyFont="1" applyBorder="1"/>
    <xf numFmtId="166" fontId="5" fillId="0" borderId="0" xfId="0" applyNumberFormat="1" applyFont="1"/>
    <xf numFmtId="0" fontId="19" fillId="0" borderId="0" xfId="0" applyFont="1" applyAlignment="1">
      <alignment horizontal="centerContinuous"/>
    </xf>
    <xf numFmtId="3" fontId="5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175" fontId="5" fillId="2" borderId="12" xfId="0" applyNumberFormat="1" applyFont="1" applyFill="1" applyBorder="1" applyAlignment="1">
      <alignment horizontal="centerContinuous"/>
    </xf>
    <xf numFmtId="165" fontId="5" fillId="0" borderId="9" xfId="2" applyNumberFormat="1" applyFont="1" applyBorder="1"/>
    <xf numFmtId="165" fontId="5" fillId="0" borderId="10" xfId="2" applyNumberFormat="1" applyFont="1" applyBorder="1"/>
    <xf numFmtId="165" fontId="6" fillId="0" borderId="9" xfId="2" applyNumberFormat="1" applyFont="1" applyBorder="1"/>
    <xf numFmtId="0" fontId="10" fillId="0" borderId="19" xfId="0" applyFont="1" applyBorder="1"/>
    <xf numFmtId="0" fontId="7" fillId="4" borderId="27" xfId="0" applyFont="1" applyFill="1" applyBorder="1" applyAlignment="1">
      <alignment horizontal="centerContinuous"/>
    </xf>
    <xf numFmtId="0" fontId="7" fillId="4" borderId="21" xfId="0" applyFont="1" applyFill="1" applyBorder="1" applyAlignment="1">
      <alignment horizontal="centerContinuous"/>
    </xf>
    <xf numFmtId="0" fontId="5" fillId="2" borderId="12" xfId="0" applyFont="1" applyFill="1" applyBorder="1" applyAlignment="1">
      <alignment horizontal="centerContinuous"/>
    </xf>
    <xf numFmtId="0" fontId="5" fillId="0" borderId="21" xfId="0" applyFont="1" applyBorder="1" applyAlignment="1">
      <alignment horizontal="right"/>
    </xf>
    <xf numFmtId="0" fontId="14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  <xf numFmtId="167" fontId="6" fillId="0" borderId="9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right"/>
    </xf>
    <xf numFmtId="14" fontId="10" fillId="0" borderId="9" xfId="0" applyNumberFormat="1" applyFont="1" applyBorder="1" applyAlignment="1">
      <alignment horizontal="right"/>
    </xf>
    <xf numFmtId="3" fontId="9" fillId="0" borderId="16" xfId="3" applyFont="1" applyFill="1" applyBorder="1" applyAlignment="1" applyProtection="1">
      <alignment horizontal="left" vertical="center"/>
    </xf>
    <xf numFmtId="41" fontId="5" fillId="0" borderId="0" xfId="0" applyNumberFormat="1" applyFont="1" applyAlignment="1">
      <alignment horizontal="center"/>
    </xf>
    <xf numFmtId="41" fontId="5" fillId="0" borderId="0" xfId="0" applyNumberFormat="1" applyFont="1" applyAlignment="1">
      <alignment horizontal="right"/>
    </xf>
    <xf numFmtId="41" fontId="5" fillId="0" borderId="9" xfId="0" applyNumberFormat="1" applyFont="1" applyBorder="1" applyAlignment="1">
      <alignment horizontal="right"/>
    </xf>
    <xf numFmtId="170" fontId="5" fillId="0" borderId="0" xfId="1" applyNumberFormat="1" applyFont="1" applyBorder="1" applyAlignment="1"/>
    <xf numFmtId="170" fontId="5" fillId="0" borderId="9" xfId="1" applyNumberFormat="1" applyFont="1" applyBorder="1" applyAlignment="1">
      <alignment horizontal="right"/>
    </xf>
    <xf numFmtId="165" fontId="8" fillId="0" borderId="0" xfId="0" applyNumberFormat="1" applyFont="1"/>
    <xf numFmtId="9" fontId="8" fillId="0" borderId="0" xfId="0" applyNumberFormat="1" applyFont="1"/>
    <xf numFmtId="165" fontId="5" fillId="0" borderId="9" xfId="2" applyNumberFormat="1" applyFont="1" applyBorder="1" applyAlignment="1">
      <alignment horizontal="right"/>
    </xf>
    <xf numFmtId="168" fontId="8" fillId="0" borderId="0" xfId="0" applyNumberFormat="1" applyFont="1"/>
    <xf numFmtId="168" fontId="5" fillId="0" borderId="0" xfId="0" applyNumberFormat="1" applyFont="1" applyAlignment="1">
      <alignment horizontal="right"/>
    </xf>
    <xf numFmtId="168" fontId="5" fillId="0" borderId="9" xfId="0" applyNumberFormat="1" applyFont="1" applyBorder="1" applyAlignment="1">
      <alignment horizontal="right"/>
    </xf>
    <xf numFmtId="0" fontId="10" fillId="0" borderId="16" xfId="0" applyFont="1" applyBorder="1" applyAlignment="1">
      <alignment horizontal="left" indent="1"/>
    </xf>
    <xf numFmtId="165" fontId="10" fillId="0" borderId="9" xfId="2" applyNumberFormat="1" applyFont="1" applyBorder="1" applyAlignment="1">
      <alignment horizontal="right"/>
    </xf>
    <xf numFmtId="168" fontId="6" fillId="0" borderId="0" xfId="0" applyNumberFormat="1" applyFont="1" applyAlignment="1">
      <alignment horizontal="right"/>
    </xf>
    <xf numFmtId="168" fontId="14" fillId="0" borderId="0" xfId="0" applyNumberFormat="1" applyFont="1"/>
    <xf numFmtId="168" fontId="6" fillId="0" borderId="9" xfId="0" applyNumberFormat="1" applyFont="1" applyBorder="1" applyAlignment="1">
      <alignment horizontal="right"/>
    </xf>
    <xf numFmtId="10" fontId="5" fillId="0" borderId="0" xfId="0" applyNumberFormat="1" applyFont="1" applyAlignment="1">
      <alignment horizontal="right"/>
    </xf>
    <xf numFmtId="0" fontId="6" fillId="2" borderId="28" xfId="0" applyFont="1" applyFill="1" applyBorder="1"/>
    <xf numFmtId="0" fontId="5" fillId="2" borderId="29" xfId="0" applyFont="1" applyFill="1" applyBorder="1" applyAlignment="1">
      <alignment horizontal="right"/>
    </xf>
    <xf numFmtId="170" fontId="8" fillId="0" borderId="0" xfId="1" applyNumberFormat="1" applyFont="1" applyBorder="1"/>
    <xf numFmtId="165" fontId="11" fillId="0" borderId="9" xfId="2" applyNumberFormat="1" applyFont="1" applyBorder="1" applyAlignment="1">
      <alignment horizontal="right"/>
    </xf>
    <xf numFmtId="41" fontId="5" fillId="0" borderId="10" xfId="0" applyNumberFormat="1" applyFont="1" applyBorder="1" applyAlignment="1">
      <alignment horizontal="right"/>
    </xf>
    <xf numFmtId="3" fontId="8" fillId="0" borderId="0" xfId="0" applyNumberFormat="1" applyFont="1"/>
    <xf numFmtId="37" fontId="8" fillId="0" borderId="0" xfId="0" applyNumberFormat="1" applyFont="1"/>
    <xf numFmtId="37" fontId="6" fillId="0" borderId="0" xfId="0" applyNumberFormat="1" applyFont="1"/>
    <xf numFmtId="0" fontId="6" fillId="2" borderId="16" xfId="0" applyFont="1" applyFill="1" applyBorder="1"/>
    <xf numFmtId="37" fontId="17" fillId="2" borderId="0" xfId="0" applyNumberFormat="1" applyFont="1" applyFill="1"/>
    <xf numFmtId="0" fontId="6" fillId="2" borderId="0" xfId="0" applyFont="1" applyFill="1"/>
    <xf numFmtId="41" fontId="5" fillId="2" borderId="0" xfId="0" applyNumberFormat="1" applyFont="1" applyFill="1" applyAlignment="1">
      <alignment horizontal="right"/>
    </xf>
    <xf numFmtId="41" fontId="5" fillId="2" borderId="9" xfId="0" applyNumberFormat="1" applyFont="1" applyFill="1" applyBorder="1" applyAlignment="1">
      <alignment horizontal="right"/>
    </xf>
    <xf numFmtId="37" fontId="17" fillId="0" borderId="0" xfId="0" applyNumberFormat="1" applyFont="1"/>
    <xf numFmtId="37" fontId="14" fillId="0" borderId="0" xfId="0" applyNumberFormat="1" applyFont="1"/>
    <xf numFmtId="0" fontId="14" fillId="6" borderId="16" xfId="0" applyFont="1" applyFill="1" applyBorder="1"/>
    <xf numFmtId="166" fontId="14" fillId="6" borderId="0" xfId="0" applyNumberFormat="1" applyFont="1" applyFill="1"/>
    <xf numFmtId="166" fontId="17" fillId="6" borderId="0" xfId="0" applyNumberFormat="1" applyFont="1" applyFill="1"/>
    <xf numFmtId="42" fontId="14" fillId="6" borderId="0" xfId="0" applyNumberFormat="1" applyFont="1" applyFill="1" applyAlignment="1">
      <alignment horizontal="right"/>
    </xf>
    <xf numFmtId="42" fontId="14" fillId="6" borderId="9" xfId="0" applyNumberFormat="1" applyFont="1" applyFill="1" applyBorder="1" applyAlignment="1">
      <alignment horizontal="right"/>
    </xf>
    <xf numFmtId="0" fontId="10" fillId="0" borderId="19" xfId="0" applyFont="1" applyBorder="1" applyAlignment="1">
      <alignment horizontal="left" indent="1"/>
    </xf>
    <xf numFmtId="165" fontId="5" fillId="0" borderId="2" xfId="0" applyNumberFormat="1" applyFont="1" applyBorder="1"/>
    <xf numFmtId="165" fontId="10" fillId="0" borderId="2" xfId="2" applyNumberFormat="1" applyFont="1" applyBorder="1" applyAlignment="1">
      <alignment horizontal="right"/>
    </xf>
    <xf numFmtId="165" fontId="10" fillId="0" borderId="12" xfId="2" applyNumberFormat="1" applyFont="1" applyBorder="1" applyAlignment="1">
      <alignment horizontal="right"/>
    </xf>
    <xf numFmtId="0" fontId="6" fillId="2" borderId="26" xfId="0" applyFont="1" applyFill="1" applyBorder="1"/>
    <xf numFmtId="0" fontId="6" fillId="2" borderId="27" xfId="0" applyFont="1" applyFill="1" applyBorder="1"/>
    <xf numFmtId="42" fontId="6" fillId="2" borderId="27" xfId="0" applyNumberFormat="1" applyFont="1" applyFill="1" applyBorder="1" applyAlignment="1">
      <alignment horizontal="right"/>
    </xf>
    <xf numFmtId="42" fontId="6" fillId="2" borderId="21" xfId="0" applyNumberFormat="1" applyFont="1" applyFill="1" applyBorder="1" applyAlignment="1">
      <alignment horizontal="right"/>
    </xf>
    <xf numFmtId="182" fontId="10" fillId="0" borderId="19" xfId="0" applyNumberFormat="1" applyFont="1" applyBorder="1" applyAlignment="1">
      <alignment horizontal="left" indent="1"/>
    </xf>
    <xf numFmtId="0" fontId="6" fillId="2" borderId="22" xfId="0" applyFont="1" applyFill="1" applyBorder="1" applyAlignment="1">
      <alignment horizontal="centerContinuous"/>
    </xf>
    <xf numFmtId="0" fontId="6" fillId="2" borderId="23" xfId="0" applyFont="1" applyFill="1" applyBorder="1" applyAlignment="1">
      <alignment horizontal="centerContinuous"/>
    </xf>
    <xf numFmtId="0" fontId="6" fillId="2" borderId="25" xfId="0" applyFont="1" applyFill="1" applyBorder="1" applyAlignment="1">
      <alignment horizontal="centerContinuous"/>
    </xf>
    <xf numFmtId="171" fontId="5" fillId="0" borderId="0" xfId="0" applyNumberFormat="1" applyFont="1" applyAlignment="1">
      <alignment horizontal="right"/>
    </xf>
    <xf numFmtId="171" fontId="5" fillId="0" borderId="9" xfId="0" applyNumberFormat="1" applyFont="1" applyBorder="1" applyAlignment="1">
      <alignment horizontal="right"/>
    </xf>
    <xf numFmtId="183" fontId="10" fillId="0" borderId="16" xfId="0" applyNumberFormat="1" applyFont="1" applyBorder="1" applyAlignment="1">
      <alignment horizontal="left" indent="1"/>
    </xf>
    <xf numFmtId="185" fontId="10" fillId="0" borderId="0" xfId="0" applyNumberFormat="1" applyFont="1" applyAlignment="1">
      <alignment horizontal="right"/>
    </xf>
    <xf numFmtId="185" fontId="10" fillId="0" borderId="9" xfId="0" applyNumberFormat="1" applyFont="1" applyBorder="1" applyAlignment="1">
      <alignment horizontal="right"/>
    </xf>
    <xf numFmtId="184" fontId="10" fillId="0" borderId="19" xfId="0" applyNumberFormat="1" applyFont="1" applyBorder="1" applyAlignment="1">
      <alignment horizontal="left" indent="1"/>
    </xf>
    <xf numFmtId="0" fontId="5" fillId="0" borderId="2" xfId="0" applyFont="1" applyBorder="1" applyAlignment="1">
      <alignment horizontal="right"/>
    </xf>
    <xf numFmtId="0" fontId="6" fillId="5" borderId="26" xfId="0" applyFont="1" applyFill="1" applyBorder="1"/>
    <xf numFmtId="0" fontId="5" fillId="5" borderId="27" xfId="0" applyFont="1" applyFill="1" applyBorder="1"/>
    <xf numFmtId="0" fontId="5" fillId="5" borderId="27" xfId="0" applyFont="1" applyFill="1" applyBorder="1" applyAlignment="1">
      <alignment horizontal="right"/>
    </xf>
    <xf numFmtId="42" fontId="6" fillId="5" borderId="27" xfId="2" applyNumberFormat="1" applyFont="1" applyFill="1" applyBorder="1" applyAlignment="1">
      <alignment horizontal="right"/>
    </xf>
    <xf numFmtId="42" fontId="6" fillId="5" borderId="21" xfId="2" applyNumberFormat="1" applyFont="1" applyFill="1" applyBorder="1" applyAlignment="1">
      <alignment horizontal="right"/>
    </xf>
    <xf numFmtId="170" fontId="5" fillId="0" borderId="10" xfId="1" applyNumberFormat="1" applyFont="1" applyBorder="1" applyAlignment="1">
      <alignment horizontal="right"/>
    </xf>
    <xf numFmtId="171" fontId="5" fillId="0" borderId="2" xfId="1" applyNumberFormat="1" applyFont="1" applyBorder="1" applyAlignment="1">
      <alignment horizontal="right"/>
    </xf>
    <xf numFmtId="171" fontId="5" fillId="0" borderId="12" xfId="1" applyNumberFormat="1" applyFont="1" applyBorder="1" applyAlignment="1">
      <alignment horizontal="right"/>
    </xf>
    <xf numFmtId="170" fontId="5" fillId="0" borderId="9" xfId="1" applyNumberFormat="1" applyFont="1" applyFill="1" applyBorder="1" applyAlignment="1">
      <alignment horizontal="right"/>
    </xf>
    <xf numFmtId="0" fontId="9" fillId="0" borderId="16" xfId="0" applyFont="1" applyBorder="1"/>
    <xf numFmtId="0" fontId="7" fillId="0" borderId="11" xfId="0" applyFont="1" applyBorder="1" applyAlignment="1">
      <alignment horizontal="centerContinuous"/>
    </xf>
    <xf numFmtId="166" fontId="8" fillId="0" borderId="0" xfId="0" applyNumberFormat="1" applyFont="1"/>
    <xf numFmtId="188" fontId="10" fillId="0" borderId="0" xfId="2" applyNumberFormat="1" applyFont="1" applyBorder="1"/>
    <xf numFmtId="14" fontId="8" fillId="0" borderId="2" xfId="0" applyNumberFormat="1" applyFont="1" applyBorder="1"/>
    <xf numFmtId="0" fontId="4" fillId="0" borderId="16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187" fontId="8" fillId="0" borderId="0" xfId="0" applyNumberFormat="1" applyFont="1"/>
    <xf numFmtId="44" fontId="5" fillId="0" borderId="0" xfId="0" applyNumberFormat="1" applyFont="1"/>
    <xf numFmtId="166" fontId="9" fillId="0" borderId="0" xfId="0" applyNumberFormat="1" applyFont="1"/>
    <xf numFmtId="1" fontId="21" fillId="0" borderId="0" xfId="0" applyNumberFormat="1" applyFont="1" applyAlignment="1">
      <alignment horizontal="left"/>
    </xf>
    <xf numFmtId="169" fontId="11" fillId="0" borderId="0" xfId="0" applyNumberFormat="1" applyFont="1" applyAlignment="1">
      <alignment horizontal="left"/>
    </xf>
    <xf numFmtId="0" fontId="7" fillId="0" borderId="0" xfId="0" applyFont="1"/>
    <xf numFmtId="164" fontId="12" fillId="0" borderId="0" xfId="0" applyNumberFormat="1" applyFont="1"/>
    <xf numFmtId="178" fontId="8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right"/>
    </xf>
    <xf numFmtId="10" fontId="10" fillId="0" borderId="2" xfId="2" applyNumberFormat="1" applyFont="1" applyBorder="1"/>
    <xf numFmtId="166" fontId="5" fillId="0" borderId="2" xfId="0" applyNumberFormat="1" applyFont="1" applyBorder="1"/>
    <xf numFmtId="0" fontId="7" fillId="2" borderId="14" xfId="0" applyFont="1" applyFill="1" applyBorder="1" applyAlignment="1">
      <alignment horizontal="centerContinuous"/>
    </xf>
    <xf numFmtId="0" fontId="7" fillId="2" borderId="15" xfId="0" applyFont="1" applyFill="1" applyBorder="1" applyAlignment="1">
      <alignment horizontal="centerContinuous"/>
    </xf>
    <xf numFmtId="166" fontId="21" fillId="0" borderId="9" xfId="0" applyNumberFormat="1" applyFont="1" applyBorder="1" applyAlignment="1">
      <alignment horizontal="right"/>
    </xf>
    <xf numFmtId="167" fontId="8" fillId="0" borderId="9" xfId="0" applyNumberFormat="1" applyFont="1" applyBorder="1" applyAlignment="1">
      <alignment horizontal="left"/>
    </xf>
    <xf numFmtId="44" fontId="5" fillId="0" borderId="9" xfId="0" applyNumberFormat="1" applyFont="1" applyBorder="1"/>
    <xf numFmtId="0" fontId="5" fillId="2" borderId="15" xfId="0" applyFont="1" applyFill="1" applyBorder="1" applyAlignment="1">
      <alignment horizontal="centerContinuous"/>
    </xf>
    <xf numFmtId="0" fontId="5" fillId="0" borderId="19" xfId="0" applyFont="1" applyBorder="1" applyAlignment="1">
      <alignment horizontal="left"/>
    </xf>
    <xf numFmtId="0" fontId="6" fillId="2" borderId="22" xfId="0" applyFont="1" applyFill="1" applyBorder="1"/>
    <xf numFmtId="0" fontId="5" fillId="2" borderId="23" xfId="0" applyFont="1" applyFill="1" applyBorder="1"/>
    <xf numFmtId="173" fontId="10" fillId="2" borderId="23" xfId="0" applyNumberFormat="1" applyFont="1" applyFill="1" applyBorder="1" applyAlignment="1">
      <alignment horizontal="right"/>
    </xf>
    <xf numFmtId="167" fontId="5" fillId="2" borderId="23" xfId="0" applyNumberFormat="1" applyFont="1" applyFill="1" applyBorder="1" applyAlignment="1">
      <alignment horizontal="right"/>
    </xf>
    <xf numFmtId="167" fontId="5" fillId="2" borderId="25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176" fontId="16" fillId="0" borderId="0" xfId="1" applyNumberFormat="1" applyFont="1" applyBorder="1" applyAlignment="1">
      <alignment horizontal="left"/>
    </xf>
    <xf numFmtId="166" fontId="6" fillId="0" borderId="2" xfId="0" applyNumberFormat="1" applyFont="1" applyBorder="1"/>
    <xf numFmtId="176" fontId="16" fillId="0" borderId="2" xfId="1" applyNumberFormat="1" applyFont="1" applyBorder="1" applyAlignment="1">
      <alignment horizontal="left"/>
    </xf>
    <xf numFmtId="166" fontId="17" fillId="0" borderId="0" xfId="0" applyNumberFormat="1" applyFont="1"/>
    <xf numFmtId="165" fontId="11" fillId="0" borderId="2" xfId="2" applyNumberFormat="1" applyFont="1" applyBorder="1" applyAlignment="1">
      <alignment horizontal="right"/>
    </xf>
    <xf numFmtId="0" fontId="5" fillId="0" borderId="23" xfId="0" applyFont="1" applyBorder="1"/>
    <xf numFmtId="10" fontId="10" fillId="0" borderId="23" xfId="2" applyNumberFormat="1" applyFont="1" applyBorder="1" applyAlignment="1">
      <alignment horizontal="right"/>
    </xf>
    <xf numFmtId="165" fontId="5" fillId="0" borderId="0" xfId="2" applyNumberFormat="1" applyFont="1"/>
    <xf numFmtId="0" fontId="5" fillId="0" borderId="26" xfId="0" applyFont="1" applyBorder="1"/>
    <xf numFmtId="0" fontId="6" fillId="7" borderId="23" xfId="0" applyFont="1" applyFill="1" applyBorder="1" applyAlignment="1">
      <alignment horizontal="centerContinuous"/>
    </xf>
    <xf numFmtId="166" fontId="6" fillId="8" borderId="0" xfId="0" applyNumberFormat="1" applyFont="1" applyFill="1"/>
    <xf numFmtId="166" fontId="14" fillId="8" borderId="0" xfId="0" applyNumberFormat="1" applyFont="1" applyFill="1"/>
    <xf numFmtId="0" fontId="6" fillId="8" borderId="2" xfId="0" applyFont="1" applyFill="1" applyBorder="1"/>
    <xf numFmtId="165" fontId="10" fillId="0" borderId="0" xfId="2" applyNumberFormat="1" applyFont="1" applyBorder="1" applyAlignment="1">
      <alignment horizontal="left"/>
    </xf>
    <xf numFmtId="168" fontId="10" fillId="0" borderId="2" xfId="2" applyNumberFormat="1" applyFont="1" applyBorder="1" applyAlignment="1">
      <alignment horizontal="right"/>
    </xf>
    <xf numFmtId="168" fontId="5" fillId="0" borderId="0" xfId="0" applyNumberFormat="1" applyFont="1"/>
    <xf numFmtId="165" fontId="5" fillId="0" borderId="0" xfId="2" applyNumberFormat="1" applyFont="1" applyAlignment="1">
      <alignment horizontal="right"/>
    </xf>
    <xf numFmtId="166" fontId="22" fillId="0" borderId="0" xfId="0" applyNumberFormat="1" applyFont="1"/>
    <xf numFmtId="186" fontId="11" fillId="0" borderId="3" xfId="0" applyNumberFormat="1" applyFont="1" applyBorder="1" applyAlignment="1">
      <alignment horizontal="left"/>
    </xf>
    <xf numFmtId="165" fontId="14" fillId="0" borderId="0" xfId="2" applyNumberFormat="1" applyFont="1"/>
    <xf numFmtId="165" fontId="12" fillId="0" borderId="16" xfId="2" applyNumberFormat="1" applyFont="1" applyBorder="1" applyAlignment="1">
      <alignment horizontal="left" indent="1"/>
    </xf>
    <xf numFmtId="9" fontId="5" fillId="0" borderId="0" xfId="2" applyFont="1" applyAlignment="1">
      <alignment horizontal="right"/>
    </xf>
    <xf numFmtId="9" fontId="5" fillId="0" borderId="9" xfId="2" applyFont="1" applyBorder="1" applyAlignment="1">
      <alignment horizontal="right"/>
    </xf>
    <xf numFmtId="165" fontId="12" fillId="0" borderId="0" xfId="2" applyNumberFormat="1" applyFont="1" applyAlignment="1">
      <alignment horizontal="right"/>
    </xf>
    <xf numFmtId="165" fontId="23" fillId="0" borderId="0" xfId="2" applyNumberFormat="1" applyFont="1" applyAlignment="1">
      <alignment horizontal="right"/>
    </xf>
    <xf numFmtId="189" fontId="10" fillId="0" borderId="17" xfId="2" applyNumberFormat="1" applyFont="1" applyBorder="1" applyAlignment="1">
      <alignment horizontal="left" indent="1"/>
    </xf>
    <xf numFmtId="190" fontId="10" fillId="0" borderId="19" xfId="0" applyNumberFormat="1" applyFont="1" applyBorder="1" applyAlignment="1">
      <alignment horizontal="left" indent="1"/>
    </xf>
    <xf numFmtId="165" fontId="12" fillId="0" borderId="27" xfId="2" applyNumberFormat="1" applyFont="1" applyBorder="1" applyAlignment="1">
      <alignment horizontal="right"/>
    </xf>
    <xf numFmtId="165" fontId="11" fillId="0" borderId="27" xfId="2" applyNumberFormat="1" applyFont="1" applyBorder="1" applyAlignment="1">
      <alignment horizontal="right"/>
    </xf>
    <xf numFmtId="0" fontId="9" fillId="0" borderId="31" xfId="0" applyFont="1" applyBorder="1" applyAlignment="1">
      <alignment horizontal="right"/>
    </xf>
    <xf numFmtId="0" fontId="5" fillId="3" borderId="30" xfId="0" applyFont="1" applyFill="1" applyBorder="1"/>
    <xf numFmtId="165" fontId="8" fillId="2" borderId="14" xfId="2" applyNumberFormat="1" applyFont="1" applyFill="1" applyBorder="1"/>
    <xf numFmtId="165" fontId="7" fillId="0" borderId="20" xfId="2" applyNumberFormat="1" applyFont="1" applyFill="1" applyBorder="1"/>
    <xf numFmtId="0" fontId="6" fillId="2" borderId="0" xfId="0" applyFont="1" applyFill="1" applyAlignment="1">
      <alignment horizontal="centerContinuous"/>
    </xf>
    <xf numFmtId="0" fontId="6" fillId="0" borderId="27" xfId="0" applyFont="1" applyBorder="1" applyAlignment="1">
      <alignment horizontal="left"/>
    </xf>
    <xf numFmtId="0" fontId="6" fillId="0" borderId="27" xfId="0" applyFont="1" applyBorder="1" applyAlignment="1">
      <alignment horizontal="right" indent="1"/>
    </xf>
    <xf numFmtId="0" fontId="17" fillId="0" borderId="27" xfId="0" applyFont="1" applyBorder="1" applyAlignment="1">
      <alignment horizontal="center"/>
    </xf>
    <xf numFmtId="176" fontId="5" fillId="0" borderId="0" xfId="0" applyNumberFormat="1" applyFont="1"/>
    <xf numFmtId="165" fontId="8" fillId="0" borderId="0" xfId="2" applyNumberFormat="1" applyFont="1" applyFill="1" applyBorder="1" applyAlignment="1">
      <alignment horizontal="right"/>
    </xf>
    <xf numFmtId="186" fontId="12" fillId="0" borderId="0" xfId="0" applyNumberFormat="1" applyFont="1" applyAlignment="1">
      <alignment horizontal="right"/>
    </xf>
    <xf numFmtId="10" fontId="8" fillId="0" borderId="0" xfId="0" applyNumberFormat="1" applyFont="1"/>
    <xf numFmtId="164" fontId="8" fillId="0" borderId="2" xfId="0" applyNumberFormat="1" applyFont="1" applyBorder="1"/>
    <xf numFmtId="191" fontId="17" fillId="0" borderId="16" xfId="0" applyNumberFormat="1" applyFont="1" applyBorder="1" applyAlignment="1">
      <alignment horizontal="left"/>
    </xf>
    <xf numFmtId="41" fontId="22" fillId="0" borderId="0" xfId="0" applyNumberFormat="1" applyFont="1" applyAlignment="1">
      <alignment horizontal="right"/>
    </xf>
    <xf numFmtId="41" fontId="22" fillId="0" borderId="9" xfId="0" applyNumberFormat="1" applyFont="1" applyBorder="1" applyAlignment="1">
      <alignment horizontal="right"/>
    </xf>
    <xf numFmtId="41" fontId="22" fillId="0" borderId="3" xfId="0" applyNumberFormat="1" applyFont="1" applyBorder="1" applyAlignment="1">
      <alignment horizontal="right"/>
    </xf>
    <xf numFmtId="41" fontId="22" fillId="0" borderId="10" xfId="0" applyNumberFormat="1" applyFont="1" applyBorder="1" applyAlignment="1">
      <alignment horizontal="right"/>
    </xf>
    <xf numFmtId="1" fontId="11" fillId="0" borderId="0" xfId="0" applyNumberFormat="1" applyFont="1" applyAlignment="1">
      <alignment horizontal="right"/>
    </xf>
    <xf numFmtId="176" fontId="10" fillId="0" borderId="0" xfId="1" applyNumberFormat="1" applyFont="1" applyBorder="1" applyAlignment="1">
      <alignment horizontal="right"/>
    </xf>
    <xf numFmtId="176" fontId="10" fillId="0" borderId="9" xfId="1" applyNumberFormat="1" applyFont="1" applyBorder="1" applyAlignment="1">
      <alignment horizontal="left"/>
    </xf>
    <xf numFmtId="168" fontId="8" fillId="0" borderId="0" xfId="0" applyNumberFormat="1" applyFont="1" applyAlignment="1">
      <alignment horizontal="right"/>
    </xf>
    <xf numFmtId="0" fontId="7" fillId="0" borderId="0" xfId="0" applyFont="1" applyAlignment="1">
      <alignment horizontal="centerContinuous"/>
    </xf>
    <xf numFmtId="0" fontId="8" fillId="0" borderId="0" xfId="0" applyFont="1"/>
    <xf numFmtId="177" fontId="10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right"/>
    </xf>
    <xf numFmtId="0" fontId="8" fillId="0" borderId="9" xfId="0" applyFont="1" applyBorder="1" applyAlignment="1">
      <alignment horizontal="left"/>
    </xf>
    <xf numFmtId="177" fontId="5" fillId="0" borderId="0" xfId="0" applyNumberFormat="1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192" fontId="25" fillId="0" borderId="0" xfId="0" applyNumberFormat="1" applyFont="1"/>
    <xf numFmtId="9" fontId="28" fillId="9" borderId="0" xfId="0" applyNumberFormat="1" applyFont="1" applyFill="1"/>
    <xf numFmtId="9" fontId="25" fillId="0" borderId="0" xfId="0" applyNumberFormat="1" applyFont="1"/>
    <xf numFmtId="165" fontId="28" fillId="9" borderId="0" xfId="0" applyNumberFormat="1" applyFont="1" applyFill="1"/>
    <xf numFmtId="185" fontId="28" fillId="9" borderId="0" xfId="0" applyNumberFormat="1" applyFont="1" applyFill="1"/>
    <xf numFmtId="0" fontId="26" fillId="0" borderId="32" xfId="0" applyFont="1" applyBorder="1"/>
    <xf numFmtId="0" fontId="25" fillId="0" borderId="32" xfId="0" applyFont="1" applyBorder="1"/>
    <xf numFmtId="193" fontId="26" fillId="0" borderId="0" xfId="0" applyNumberFormat="1" applyFont="1"/>
    <xf numFmtId="192" fontId="26" fillId="0" borderId="0" xfId="0" applyNumberFormat="1" applyFont="1"/>
    <xf numFmtId="192" fontId="26" fillId="0" borderId="33" xfId="0" applyNumberFormat="1" applyFont="1" applyBorder="1"/>
    <xf numFmtId="192" fontId="26" fillId="0" borderId="33" xfId="0" applyNumberFormat="1" applyFont="1" applyFill="1" applyBorder="1"/>
    <xf numFmtId="165" fontId="25" fillId="0" borderId="0" xfId="0" applyNumberFormat="1" applyFont="1"/>
    <xf numFmtId="0" fontId="25" fillId="0" borderId="4" xfId="0" applyFont="1" applyBorder="1"/>
    <xf numFmtId="0" fontId="0" fillId="0" borderId="4" xfId="0" applyBorder="1"/>
    <xf numFmtId="192" fontId="25" fillId="0" borderId="4" xfId="0" applyNumberFormat="1" applyFont="1" applyBorder="1"/>
    <xf numFmtId="0" fontId="26" fillId="0" borderId="0" xfId="0" applyFont="1" applyAlignment="1">
      <alignment horizontal="right"/>
    </xf>
    <xf numFmtId="0" fontId="25" fillId="10" borderId="34" xfId="0" applyFont="1" applyFill="1" applyBorder="1"/>
    <xf numFmtId="165" fontId="25" fillId="10" borderId="4" xfId="0" applyNumberFormat="1" applyFont="1" applyFill="1" applyBorder="1"/>
    <xf numFmtId="165" fontId="25" fillId="10" borderId="35" xfId="0" applyNumberFormat="1" applyFont="1" applyFill="1" applyBorder="1"/>
    <xf numFmtId="0" fontId="25" fillId="10" borderId="36" xfId="0" applyFont="1" applyFill="1" applyBorder="1"/>
    <xf numFmtId="172" fontId="25" fillId="10" borderId="3" xfId="0" applyNumberFormat="1" applyFont="1" applyFill="1" applyBorder="1"/>
    <xf numFmtId="172" fontId="25" fillId="10" borderId="37" xfId="0" applyNumberFormat="1" applyFont="1" applyFill="1" applyBorder="1"/>
  </cellXfs>
  <cellStyles count="5">
    <cellStyle name="Comma" xfId="1" builtinId="3"/>
    <cellStyle name="Comma0_09-15 Basic Spreadsheet" xfId="3" xr:uid="{4E532F0D-1DD0-4ECD-9452-FD8C90E0C096}"/>
    <cellStyle name="Normal" xfId="0" builtinId="0"/>
    <cellStyle name="Normal 10" xfId="4" xr:uid="{BD3CB398-D4EC-47D9-BC89-951AD58A1F52}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A"/>
      <color rgb="FF006400"/>
      <color rgb="FFC8E1FA"/>
      <color rgb="FF00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6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C0BF27-F9BA-4702-B87A-975CB03A67CC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97A7-6F06-4FE5-8213-0815619620B9}">
  <sheetPr>
    <tabColor theme="4" tint="0.79998168889431442"/>
    <pageSetUpPr fitToPage="1"/>
  </sheetPr>
  <dimension ref="B1:AE83"/>
  <sheetViews>
    <sheetView showGridLines="0" zoomScale="55" zoomScaleNormal="55" zoomScaleSheetLayoutView="80" workbookViewId="0">
      <selection activeCell="L34" sqref="L34"/>
    </sheetView>
  </sheetViews>
  <sheetFormatPr defaultColWidth="8.5703125" defaultRowHeight="15"/>
  <cols>
    <col min="1" max="1" width="1.85546875" style="1" bestFit="1" customWidth="1"/>
    <col min="2" max="2" width="35" style="1" customWidth="1"/>
    <col min="3" max="3" width="26.42578125" style="1" customWidth="1"/>
    <col min="4" max="4" width="26" style="1" bestFit="1" customWidth="1"/>
    <col min="5" max="5" width="15" style="1" bestFit="1" customWidth="1"/>
    <col min="6" max="6" width="16.42578125" style="1" bestFit="1" customWidth="1"/>
    <col min="7" max="7" width="1.5703125" style="1" customWidth="1"/>
    <col min="8" max="8" width="36.5703125" style="1" bestFit="1" customWidth="1"/>
    <col min="9" max="9" width="17" style="1" bestFit="1" customWidth="1"/>
    <col min="10" max="10" width="21.42578125" style="1" bestFit="1" customWidth="1"/>
    <col min="11" max="11" width="15.42578125" style="1" bestFit="1" customWidth="1"/>
    <col min="12" max="12" width="20.42578125" style="1" customWidth="1"/>
    <col min="13" max="13" width="16.5703125" style="1" customWidth="1"/>
    <col min="14" max="16" width="17.42578125" style="1" bestFit="1" customWidth="1"/>
    <col min="17" max="17" width="22.42578125" style="1" bestFit="1" customWidth="1"/>
    <col min="18" max="19" width="13.42578125" style="1" bestFit="1" customWidth="1"/>
    <col min="20" max="20" width="18.42578125" style="1" bestFit="1" customWidth="1"/>
    <col min="21" max="21" width="14.140625" style="1" bestFit="1" customWidth="1"/>
    <col min="22" max="23" width="13.42578125" style="1" bestFit="1" customWidth="1"/>
    <col min="24" max="24" width="1.5703125" style="1" customWidth="1"/>
    <col min="25" max="25" width="27.42578125" style="1" bestFit="1" customWidth="1"/>
    <col min="26" max="26" width="20.85546875" style="1" bestFit="1" customWidth="1"/>
    <col min="27" max="27" width="8.5703125" style="1"/>
    <col min="28" max="28" width="35.42578125" style="1" bestFit="1" customWidth="1"/>
    <col min="29" max="29" width="8.5703125" style="1"/>
    <col min="30" max="30" width="15.5703125" style="1" bestFit="1" customWidth="1"/>
    <col min="31" max="16384" width="8.5703125" style="1"/>
  </cols>
  <sheetData>
    <row r="1" spans="2:28" ht="5.0999999999999996" customHeight="1" thickBot="1"/>
    <row r="2" spans="2:28">
      <c r="B2" s="110" t="s">
        <v>72</v>
      </c>
      <c r="C2" s="132"/>
      <c r="D2" s="132"/>
      <c r="E2" s="132"/>
      <c r="F2" s="133"/>
      <c r="G2" s="5"/>
      <c r="H2" s="110" t="s">
        <v>73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2"/>
      <c r="Y2" s="18" t="s">
        <v>88</v>
      </c>
      <c r="Z2" s="18"/>
      <c r="AA2" s="18"/>
      <c r="AB2" s="18"/>
    </row>
    <row r="3" spans="2:28" ht="15.75" thickBot="1">
      <c r="B3" s="209" t="s">
        <v>52</v>
      </c>
      <c r="C3" s="139" t="s">
        <v>107</v>
      </c>
      <c r="D3" s="292"/>
      <c r="E3" s="292"/>
      <c r="F3" s="210"/>
      <c r="H3" s="214"/>
      <c r="I3" s="215"/>
      <c r="J3" s="215"/>
      <c r="K3" s="215"/>
      <c r="L3" s="215"/>
      <c r="M3" s="215"/>
      <c r="N3" s="239"/>
      <c r="O3" s="239"/>
      <c r="P3" s="239"/>
      <c r="Q3" s="239"/>
      <c r="R3" s="239"/>
      <c r="S3" s="239"/>
      <c r="T3" s="239"/>
      <c r="U3" s="239"/>
      <c r="V3" s="239"/>
      <c r="W3" s="240"/>
    </row>
    <row r="4" spans="2:28">
      <c r="B4" s="43" t="s">
        <v>39</v>
      </c>
      <c r="C4" s="293">
        <v>182</v>
      </c>
      <c r="D4" s="293"/>
      <c r="E4" s="293"/>
      <c r="F4" s="49"/>
      <c r="H4" s="83" t="s">
        <v>80</v>
      </c>
      <c r="I4" s="227"/>
      <c r="J4" s="227"/>
      <c r="K4" s="227"/>
      <c r="L4" s="227"/>
      <c r="M4" s="228"/>
      <c r="O4" s="83" t="s">
        <v>81</v>
      </c>
      <c r="P4" s="227"/>
      <c r="Q4" s="227"/>
      <c r="R4" s="228"/>
      <c r="T4" s="83" t="s">
        <v>82</v>
      </c>
      <c r="U4" s="227"/>
      <c r="V4" s="227"/>
      <c r="W4" s="232"/>
      <c r="Y4" s="84" t="s">
        <v>57</v>
      </c>
      <c r="Z4" s="85"/>
      <c r="AA4" s="85"/>
      <c r="AB4" s="86"/>
    </row>
    <row r="5" spans="2:28">
      <c r="B5" s="94" t="s">
        <v>70</v>
      </c>
      <c r="C5" s="139" t="s">
        <v>104</v>
      </c>
      <c r="E5" s="1" t="s">
        <v>101</v>
      </c>
      <c r="F5" s="296" t="s">
        <v>106</v>
      </c>
      <c r="H5" s="43" t="s">
        <v>13</v>
      </c>
      <c r="I5" s="211">
        <v>48000000</v>
      </c>
      <c r="J5" s="7">
        <f>I5/$C$4</f>
        <v>263736.26373626373</v>
      </c>
      <c r="K5" s="289" t="s">
        <v>99</v>
      </c>
      <c r="L5" s="216">
        <v>50000000</v>
      </c>
      <c r="M5" s="290">
        <f>L5/$C$4</f>
        <v>274725.27472527471</v>
      </c>
      <c r="O5" s="43" t="s">
        <v>4</v>
      </c>
      <c r="P5" s="8">
        <f>INDEX(M16:W45,28,MATCH(P8,M16:W16,0))/P6</f>
        <v>78512206.911418289</v>
      </c>
      <c r="Q5" s="7">
        <f>P5/$C$4</f>
        <v>431385.75226054003</v>
      </c>
      <c r="R5" s="231"/>
      <c r="T5" s="43" t="s">
        <v>90</v>
      </c>
      <c r="U5" s="218">
        <f ca="1">V5*I10</f>
        <v>33536990.437846001</v>
      </c>
      <c r="V5" s="279">
        <v>0.65</v>
      </c>
      <c r="W5" s="49"/>
      <c r="Y5" s="44" t="s">
        <v>58</v>
      </c>
      <c r="Z5" s="91"/>
      <c r="AA5" s="91"/>
      <c r="AB5" s="45" t="str">
        <f>+C3</f>
        <v>Waverider</v>
      </c>
    </row>
    <row r="6" spans="2:28">
      <c r="B6" s="43" t="s">
        <v>100</v>
      </c>
      <c r="C6" s="139">
        <v>2022</v>
      </c>
      <c r="E6" s="1" t="s">
        <v>61</v>
      </c>
      <c r="F6" s="296">
        <v>2022</v>
      </c>
      <c r="H6" s="155" t="str">
        <f>J6&amp; " Going-In Cap Rate"</f>
        <v>2023 Going-In Cap Rate</v>
      </c>
      <c r="I6" s="11">
        <f>$M$6/I5</f>
        <v>3.9958836250000004E-2</v>
      </c>
      <c r="J6" s="219">
        <v>2023</v>
      </c>
      <c r="K6" s="288" t="s">
        <v>98</v>
      </c>
      <c r="L6" s="220"/>
      <c r="M6" s="229">
        <f>INDEX(I43:K43,MATCH(J6,I17:K17,0))</f>
        <v>1918024.1400000001</v>
      </c>
      <c r="N6" s="278"/>
      <c r="O6" s="155" t="s">
        <v>3</v>
      </c>
      <c r="P6" s="81">
        <v>0.08</v>
      </c>
      <c r="Q6" s="221">
        <f>P6*100</f>
        <v>8</v>
      </c>
      <c r="R6" s="49"/>
      <c r="T6" s="43" t="s">
        <v>20</v>
      </c>
      <c r="U6" s="258">
        <f ca="1">U5*V6</f>
        <v>335369.90437846002</v>
      </c>
      <c r="V6" s="280">
        <v>0.01</v>
      </c>
      <c r="W6" s="49"/>
      <c r="Y6" s="43" t="s">
        <v>39</v>
      </c>
      <c r="AB6" s="46">
        <f>+C4</f>
        <v>182</v>
      </c>
    </row>
    <row r="7" spans="2:28">
      <c r="B7" s="43" t="s">
        <v>59</v>
      </c>
      <c r="C7" s="139" t="s">
        <v>59</v>
      </c>
      <c r="E7" s="1" t="s">
        <v>102</v>
      </c>
      <c r="F7" s="296" t="s">
        <v>105</v>
      </c>
      <c r="H7" s="43" t="s">
        <v>11</v>
      </c>
      <c r="I7" s="122">
        <f>J7*I5</f>
        <v>1440000</v>
      </c>
      <c r="J7" s="12">
        <v>0.03</v>
      </c>
      <c r="K7" s="12"/>
      <c r="L7" s="12"/>
      <c r="M7" s="49"/>
      <c r="O7" s="155" t="s">
        <v>2</v>
      </c>
      <c r="P7" s="222">
        <v>5</v>
      </c>
      <c r="Q7" s="217"/>
      <c r="R7" s="49"/>
      <c r="T7" s="43" t="s">
        <v>91</v>
      </c>
      <c r="U7" s="281">
        <v>7.4999999999999997E-2</v>
      </c>
      <c r="V7" s="92"/>
      <c r="W7" s="49"/>
      <c r="Y7" s="43" t="s">
        <v>59</v>
      </c>
      <c r="AB7" s="46" t="str">
        <f>+C7</f>
        <v>Seller</v>
      </c>
    </row>
    <row r="8" spans="2:28">
      <c r="B8" s="94" t="s">
        <v>89</v>
      </c>
      <c r="C8" s="211">
        <v>20000000</v>
      </c>
      <c r="D8" s="294">
        <f>C8/C4</f>
        <v>109890.10989010989</v>
      </c>
      <c r="E8" s="297" t="s">
        <v>103</v>
      </c>
      <c r="F8" s="296">
        <v>2022</v>
      </c>
      <c r="H8" s="43" t="s">
        <v>41</v>
      </c>
      <c r="I8" s="218">
        <f>J8*C4</f>
        <v>1820000</v>
      </c>
      <c r="J8" s="223">
        <v>10000</v>
      </c>
      <c r="K8" s="223"/>
      <c r="L8" s="223"/>
      <c r="M8" s="230"/>
      <c r="N8" s="248"/>
      <c r="O8" s="155" t="s">
        <v>45</v>
      </c>
      <c r="P8" s="224">
        <f>P7</f>
        <v>5</v>
      </c>
      <c r="R8" s="49"/>
      <c r="T8" s="43" t="s">
        <v>46</v>
      </c>
      <c r="U8" s="139" t="s">
        <v>96</v>
      </c>
      <c r="V8" s="92"/>
      <c r="W8" s="49"/>
      <c r="Y8" s="43" t="s">
        <v>67</v>
      </c>
      <c r="AB8" s="46" t="str">
        <f>C10</f>
        <v>Manager</v>
      </c>
    </row>
    <row r="9" spans="2:28">
      <c r="B9" s="94" t="s">
        <v>79</v>
      </c>
      <c r="C9" s="295">
        <v>100000000</v>
      </c>
      <c r="D9" s="212">
        <f>IFERROR(I5/C9-1,"")</f>
        <v>-0.52</v>
      </c>
      <c r="E9" s="212"/>
      <c r="F9" s="49"/>
      <c r="H9" s="51" t="s">
        <v>20</v>
      </c>
      <c r="I9" s="13">
        <f ca="1">U6</f>
        <v>335369.90437846002</v>
      </c>
      <c r="J9" s="259" t="s">
        <v>92</v>
      </c>
      <c r="K9" s="14"/>
      <c r="L9" s="15"/>
      <c r="M9" s="118"/>
      <c r="O9" s="51" t="s">
        <v>29</v>
      </c>
      <c r="P9" s="16">
        <f>Q9*P5</f>
        <v>1570244.1382283659</v>
      </c>
      <c r="Q9" s="17">
        <v>0.02</v>
      </c>
      <c r="R9" s="118"/>
      <c r="T9" s="155" t="s">
        <v>87</v>
      </c>
      <c r="U9" s="222">
        <v>5</v>
      </c>
      <c r="V9" s="92"/>
      <c r="W9" s="49"/>
      <c r="Y9" s="43"/>
      <c r="AB9" s="50"/>
    </row>
    <row r="10" spans="2:28" ht="15.75" thickBot="1">
      <c r="B10" s="94" t="s">
        <v>69</v>
      </c>
      <c r="C10" s="139" t="s">
        <v>69</v>
      </c>
      <c r="F10" s="49"/>
      <c r="H10" s="44" t="s">
        <v>7</v>
      </c>
      <c r="I10" s="125">
        <f ca="1">I5+I7+I8+I9</f>
        <v>51595369.904378459</v>
      </c>
      <c r="J10" s="241">
        <f ca="1">I10/$C$4</f>
        <v>283491.0434306509</v>
      </c>
      <c r="K10" s="254"/>
      <c r="M10" s="49"/>
      <c r="N10" s="256"/>
      <c r="O10" s="90" t="s">
        <v>42</v>
      </c>
      <c r="P10" s="242">
        <f>P5-P9</f>
        <v>76941962.773189917</v>
      </c>
      <c r="Q10" s="243">
        <f>P10/$C$4</f>
        <v>422758.03721532924</v>
      </c>
      <c r="R10" s="75"/>
      <c r="T10" s="233" t="s">
        <v>47</v>
      </c>
      <c r="U10" s="282">
        <v>30</v>
      </c>
      <c r="V10" s="62"/>
      <c r="W10" s="75"/>
      <c r="Y10" s="51"/>
      <c r="Z10" s="3"/>
      <c r="AA10" s="3"/>
      <c r="AB10" s="52"/>
    </row>
    <row r="11" spans="2:28" ht="15.75" thickBot="1">
      <c r="B11" s="74" t="s">
        <v>17</v>
      </c>
      <c r="C11" s="213">
        <v>45444</v>
      </c>
      <c r="D11" s="63"/>
      <c r="E11" s="63"/>
      <c r="F11" s="75"/>
      <c r="H11" s="181" t="str">
        <f>J6&amp; " Going-In Cap Rate"</f>
        <v>2023 Going-In Cap Rate</v>
      </c>
      <c r="I11" s="225">
        <f ca="1">$M$6/I10</f>
        <v>3.7174346139094816E-2</v>
      </c>
      <c r="J11" s="226"/>
      <c r="K11" s="226"/>
      <c r="L11" s="63"/>
      <c r="M11" s="75"/>
      <c r="N11" s="63"/>
      <c r="O11" s="63"/>
      <c r="P11" s="63"/>
      <c r="Q11" s="63"/>
      <c r="R11" s="63"/>
      <c r="S11" s="63"/>
      <c r="T11" s="63"/>
      <c r="U11" s="63"/>
      <c r="V11" s="63"/>
      <c r="W11" s="75"/>
      <c r="Y11" s="53" t="str">
        <f>+H5</f>
        <v>Purchase Price</v>
      </c>
      <c r="Z11" s="91"/>
      <c r="AA11" s="91"/>
      <c r="AB11" s="54">
        <f>+I5</f>
        <v>48000000</v>
      </c>
    </row>
    <row r="12" spans="2:28" ht="15.75" thickBot="1">
      <c r="B12" s="6"/>
      <c r="W12" s="9"/>
      <c r="Y12" s="43" t="s">
        <v>60</v>
      </c>
      <c r="Z12" s="91"/>
      <c r="AA12" s="91"/>
      <c r="AB12" s="55">
        <f>+AB11/AB6</f>
        <v>263736.26373626373</v>
      </c>
    </row>
    <row r="13" spans="2:28">
      <c r="B13" s="110" t="s">
        <v>74</v>
      </c>
      <c r="C13" s="111"/>
      <c r="D13" s="111"/>
      <c r="E13" s="111"/>
      <c r="F13" s="112"/>
      <c r="H13" s="110" t="s">
        <v>75</v>
      </c>
      <c r="I13" s="111"/>
      <c r="J13" s="111"/>
      <c r="K13" s="111"/>
      <c r="L13" s="111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3"/>
      <c r="Y13" s="57" t="str">
        <f>H6</f>
        <v>2023 Going-In Cap Rate</v>
      </c>
      <c r="AA13" s="92"/>
      <c r="AB13" s="58">
        <f>I6</f>
        <v>3.9958836250000004E-2</v>
      </c>
    </row>
    <row r="14" spans="2:28" ht="15.75" thickBot="1">
      <c r="B14" s="113" t="s">
        <v>83</v>
      </c>
      <c r="C14" s="78"/>
      <c r="D14" s="78"/>
      <c r="E14" s="78"/>
      <c r="F14" s="114"/>
      <c r="H14" s="113" t="s">
        <v>85</v>
      </c>
      <c r="I14" s="78"/>
      <c r="J14" s="274"/>
      <c r="K14" s="274"/>
      <c r="L14" s="274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134"/>
      <c r="Y14" s="57"/>
      <c r="AA14" s="92"/>
      <c r="AB14" s="58"/>
    </row>
    <row r="15" spans="2:28">
      <c r="B15" s="115" t="s">
        <v>50</v>
      </c>
      <c r="C15" s="116"/>
      <c r="D15" s="116"/>
      <c r="E15" s="116"/>
      <c r="F15" s="117"/>
      <c r="H15" s="249"/>
      <c r="J15" s="275"/>
      <c r="K15" s="276"/>
      <c r="L15" s="277"/>
      <c r="M15" s="19">
        <f>YEAR(M17)</f>
        <v>2025</v>
      </c>
      <c r="N15" s="19">
        <f>M15+1</f>
        <v>2026</v>
      </c>
      <c r="O15" s="19">
        <f t="shared" ref="O15:W15" si="0">N15+1</f>
        <v>2027</v>
      </c>
      <c r="P15" s="19">
        <f t="shared" si="0"/>
        <v>2028</v>
      </c>
      <c r="Q15" s="19">
        <f t="shared" si="0"/>
        <v>2029</v>
      </c>
      <c r="R15" s="19">
        <f t="shared" si="0"/>
        <v>2030</v>
      </c>
      <c r="S15" s="19">
        <f t="shared" si="0"/>
        <v>2031</v>
      </c>
      <c r="T15" s="19">
        <f t="shared" si="0"/>
        <v>2032</v>
      </c>
      <c r="U15" s="19">
        <f t="shared" si="0"/>
        <v>2033</v>
      </c>
      <c r="V15" s="19">
        <f t="shared" si="0"/>
        <v>2034</v>
      </c>
      <c r="W15" s="135">
        <f t="shared" si="0"/>
        <v>2035</v>
      </c>
      <c r="Y15" s="59" t="s">
        <v>61</v>
      </c>
      <c r="AA15" s="92"/>
      <c r="AB15" s="60">
        <f>+F6</f>
        <v>2022</v>
      </c>
    </row>
    <row r="16" spans="2:28">
      <c r="B16" s="43" t="s">
        <v>43</v>
      </c>
      <c r="C16" s="20">
        <f ca="1">IF(M8=0,U5,(I5+I7)*V5)</f>
        <v>33536990.437846001</v>
      </c>
      <c r="D16" s="21">
        <f ca="1">C16/$C$18</f>
        <v>0.65</v>
      </c>
      <c r="E16" s="21"/>
      <c r="F16" s="49"/>
      <c r="H16" s="43"/>
      <c r="I16" s="136" t="s">
        <v>97</v>
      </c>
      <c r="J16" s="136" t="s">
        <v>68</v>
      </c>
      <c r="K16" s="136" t="s">
        <v>95</v>
      </c>
      <c r="L16" s="136"/>
      <c r="M16" s="137">
        <f>1</f>
        <v>1</v>
      </c>
      <c r="N16" s="137">
        <f>M16+1</f>
        <v>2</v>
      </c>
      <c r="O16" s="137">
        <f t="shared" ref="O16:W16" si="1">N16+1</f>
        <v>3</v>
      </c>
      <c r="P16" s="137">
        <f t="shared" si="1"/>
        <v>4</v>
      </c>
      <c r="Q16" s="137">
        <f t="shared" si="1"/>
        <v>5</v>
      </c>
      <c r="R16" s="137">
        <f t="shared" si="1"/>
        <v>6</v>
      </c>
      <c r="S16" s="137">
        <f t="shared" si="1"/>
        <v>7</v>
      </c>
      <c r="T16" s="137">
        <f t="shared" si="1"/>
        <v>8</v>
      </c>
      <c r="U16" s="137">
        <f t="shared" si="1"/>
        <v>9</v>
      </c>
      <c r="V16" s="137">
        <f t="shared" si="1"/>
        <v>10</v>
      </c>
      <c r="W16" s="138">
        <f t="shared" si="1"/>
        <v>11</v>
      </c>
      <c r="Y16" s="57" t="s">
        <v>62</v>
      </c>
      <c r="AA16" s="92"/>
      <c r="AB16" s="61">
        <f>+J8</f>
        <v>10000</v>
      </c>
    </row>
    <row r="17" spans="2:28">
      <c r="B17" s="51" t="s">
        <v>40</v>
      </c>
      <c r="C17" s="22">
        <f ca="1">IF(M8=0,I10-U5,(I5+I7)*(1-V5)+I9)</f>
        <v>18058379.466532458</v>
      </c>
      <c r="D17" s="23">
        <f ca="1">C17/$C$18</f>
        <v>0.34999999999999992</v>
      </c>
      <c r="E17" s="23"/>
      <c r="F17" s="118"/>
      <c r="H17" s="43"/>
      <c r="I17" s="139">
        <v>2022</v>
      </c>
      <c r="J17" s="139">
        <v>2023</v>
      </c>
      <c r="K17" s="139">
        <v>2024</v>
      </c>
      <c r="L17" s="140">
        <f>C11</f>
        <v>45444</v>
      </c>
      <c r="M17" s="141">
        <f>EOMONTH(Input!C11,12)</f>
        <v>45838</v>
      </c>
      <c r="N17" s="141">
        <f t="shared" ref="N17:W17" si="2">EOMONTH(M17,12)</f>
        <v>46203</v>
      </c>
      <c r="O17" s="141">
        <f t="shared" si="2"/>
        <v>46568</v>
      </c>
      <c r="P17" s="141">
        <f t="shared" si="2"/>
        <v>46934</v>
      </c>
      <c r="Q17" s="141">
        <f t="shared" si="2"/>
        <v>47299</v>
      </c>
      <c r="R17" s="141">
        <f t="shared" si="2"/>
        <v>47664</v>
      </c>
      <c r="S17" s="141">
        <f t="shared" si="2"/>
        <v>48029</v>
      </c>
      <c r="T17" s="141">
        <f t="shared" si="2"/>
        <v>48395</v>
      </c>
      <c r="U17" s="141">
        <f t="shared" si="2"/>
        <v>48760</v>
      </c>
      <c r="V17" s="141">
        <f t="shared" si="2"/>
        <v>49125</v>
      </c>
      <c r="W17" s="142">
        <f t="shared" si="2"/>
        <v>49490</v>
      </c>
      <c r="Y17" s="57"/>
      <c r="AA17" s="92"/>
      <c r="AB17" s="58"/>
    </row>
    <row r="18" spans="2:28">
      <c r="B18" s="66" t="s">
        <v>21</v>
      </c>
      <c r="C18" s="119">
        <f ca="1">SUM(C16:C17)</f>
        <v>51595369.904378459</v>
      </c>
      <c r="D18" s="120">
        <f ca="1">C18/SUM(C18,C23)</f>
        <v>1</v>
      </c>
      <c r="E18" s="120"/>
      <c r="F18" s="121"/>
      <c r="H18" s="143" t="s">
        <v>53</v>
      </c>
      <c r="I18" s="144"/>
      <c r="J18" s="139"/>
      <c r="K18" s="139"/>
      <c r="L18" s="140"/>
      <c r="M18" s="145">
        <f t="shared" ref="M18:W18" si="3">IF(M16&lt;=$P$8,1*IF(IF(MOD(YEAR(M17),4)=0,IF(MOD(YEAR(M17),100)=0,IF(MOD(YEAR(M17),400)=0,TRUE,FALSE),TRUE),FALSE)=TRUE,366,365),0)</f>
        <v>365</v>
      </c>
      <c r="N18" s="145">
        <f t="shared" si="3"/>
        <v>365</v>
      </c>
      <c r="O18" s="145">
        <f t="shared" si="3"/>
        <v>365</v>
      </c>
      <c r="P18" s="145">
        <f t="shared" si="3"/>
        <v>366</v>
      </c>
      <c r="Q18" s="145">
        <f t="shared" si="3"/>
        <v>365</v>
      </c>
      <c r="R18" s="145">
        <f t="shared" si="3"/>
        <v>0</v>
      </c>
      <c r="S18" s="145">
        <f t="shared" si="3"/>
        <v>0</v>
      </c>
      <c r="T18" s="145">
        <f t="shared" si="3"/>
        <v>0</v>
      </c>
      <c r="U18" s="145">
        <f t="shared" si="3"/>
        <v>0</v>
      </c>
      <c r="V18" s="145">
        <f t="shared" si="3"/>
        <v>0</v>
      </c>
      <c r="W18" s="146">
        <f t="shared" si="3"/>
        <v>0</v>
      </c>
      <c r="Y18" s="44" t="str">
        <f>H10</f>
        <v>Total Acquisition Costs</v>
      </c>
      <c r="Z18" s="91"/>
      <c r="AA18" s="91"/>
      <c r="AB18" s="54">
        <f ca="1">I10</f>
        <v>51595369.904378459</v>
      </c>
    </row>
    <row r="19" spans="2:28">
      <c r="B19" s="43"/>
      <c r="F19" s="49"/>
      <c r="H19" s="43" t="s">
        <v>54</v>
      </c>
      <c r="I19" s="147"/>
      <c r="J19" s="139"/>
      <c r="K19" s="139"/>
      <c r="L19" s="140"/>
      <c r="M19" s="68">
        <f t="shared" ref="M19:W19" si="4">M18*$C$4</f>
        <v>66430</v>
      </c>
      <c r="N19" s="68">
        <f t="shared" si="4"/>
        <v>66430</v>
      </c>
      <c r="O19" s="68">
        <f t="shared" si="4"/>
        <v>66430</v>
      </c>
      <c r="P19" s="68">
        <f t="shared" si="4"/>
        <v>66612</v>
      </c>
      <c r="Q19" s="68">
        <f t="shared" si="4"/>
        <v>66430</v>
      </c>
      <c r="R19" s="68">
        <f t="shared" si="4"/>
        <v>0</v>
      </c>
      <c r="S19" s="68">
        <f t="shared" si="4"/>
        <v>0</v>
      </c>
      <c r="T19" s="68">
        <f t="shared" si="4"/>
        <v>0</v>
      </c>
      <c r="U19" s="68">
        <f t="shared" si="4"/>
        <v>0</v>
      </c>
      <c r="V19" s="68">
        <f t="shared" si="4"/>
        <v>0</v>
      </c>
      <c r="W19" s="148">
        <f t="shared" si="4"/>
        <v>0</v>
      </c>
      <c r="Y19" s="43" t="s">
        <v>60</v>
      </c>
      <c r="Z19" s="91"/>
      <c r="AA19" s="91"/>
      <c r="AB19" s="55">
        <f ca="1">+AB18/AB6</f>
        <v>283491.0434306509</v>
      </c>
    </row>
    <row r="20" spans="2:28">
      <c r="B20" s="115" t="s">
        <v>71</v>
      </c>
      <c r="C20" s="116"/>
      <c r="D20" s="116"/>
      <c r="E20" s="116"/>
      <c r="F20" s="117"/>
      <c r="H20" s="43" t="s">
        <v>55</v>
      </c>
      <c r="I20" s="147"/>
      <c r="J20" s="139"/>
      <c r="K20" s="139"/>
      <c r="L20" s="140"/>
      <c r="M20" s="68">
        <f t="shared" ref="M20:W20" si="5">M19*M22</f>
        <v>49158.2</v>
      </c>
      <c r="N20" s="68">
        <f t="shared" si="5"/>
        <v>40522.299999999996</v>
      </c>
      <c r="O20" s="68">
        <f t="shared" si="5"/>
        <v>41718.04</v>
      </c>
      <c r="P20" s="68">
        <f t="shared" si="5"/>
        <v>43963.920000000006</v>
      </c>
      <c r="Q20" s="68">
        <f t="shared" si="5"/>
        <v>43843.8</v>
      </c>
      <c r="R20" s="68">
        <f t="shared" si="5"/>
        <v>0</v>
      </c>
      <c r="S20" s="68">
        <f t="shared" si="5"/>
        <v>0</v>
      </c>
      <c r="T20" s="68">
        <f t="shared" si="5"/>
        <v>0</v>
      </c>
      <c r="U20" s="68">
        <f t="shared" si="5"/>
        <v>0</v>
      </c>
      <c r="V20" s="68">
        <f t="shared" si="5"/>
        <v>0</v>
      </c>
      <c r="W20" s="148">
        <f t="shared" si="5"/>
        <v>0</v>
      </c>
      <c r="Y20" s="66" t="str">
        <f>+H11</f>
        <v>2023 Going-In Cap Rate</v>
      </c>
      <c r="Z20" s="92"/>
      <c r="AA20" s="92"/>
      <c r="AB20" s="58">
        <f ca="1">+I11</f>
        <v>3.7174346139094816E-2</v>
      </c>
    </row>
    <row r="21" spans="2:28">
      <c r="B21" s="43" t="s">
        <v>43</v>
      </c>
      <c r="C21" s="20">
        <f>IF(M8=0,0,I8*V5)</f>
        <v>0</v>
      </c>
      <c r="D21" s="21">
        <f>IFERROR(C21/$C$23,0)</f>
        <v>0</v>
      </c>
      <c r="E21" s="21"/>
      <c r="F21" s="49"/>
      <c r="H21" s="43"/>
      <c r="I21" s="139"/>
      <c r="J21" s="139"/>
      <c r="K21" s="139"/>
      <c r="L21" s="140"/>
      <c r="M21" s="25"/>
      <c r="N21" s="68"/>
      <c r="O21" s="68"/>
      <c r="P21" s="68"/>
      <c r="Q21" s="68"/>
      <c r="R21" s="68"/>
      <c r="S21" s="68"/>
      <c r="T21" s="68"/>
      <c r="U21" s="68"/>
      <c r="V21" s="68"/>
      <c r="W21" s="148"/>
      <c r="Y21" s="43"/>
      <c r="AB21" s="49"/>
    </row>
    <row r="22" spans="2:28">
      <c r="B22" s="51" t="s">
        <v>40</v>
      </c>
      <c r="C22" s="22">
        <f>IF(M8=0,0,I8-C21)</f>
        <v>0</v>
      </c>
      <c r="D22" s="23">
        <f>IFERROR(C22/$C$23,0)</f>
        <v>0</v>
      </c>
      <c r="E22" s="23"/>
      <c r="F22" s="118"/>
      <c r="H22" s="43" t="s">
        <v>19</v>
      </c>
      <c r="I22" s="149">
        <v>0.72799999999999998</v>
      </c>
      <c r="J22" s="149">
        <v>0.73499999999999999</v>
      </c>
      <c r="K22" s="149">
        <v>0.65</v>
      </c>
      <c r="L22" s="150"/>
      <c r="M22" s="24">
        <v>0.74</v>
      </c>
      <c r="N22" s="24">
        <v>0.61</v>
      </c>
      <c r="O22" s="24">
        <v>0.628</v>
      </c>
      <c r="P22" s="24">
        <v>0.66</v>
      </c>
      <c r="Q22" s="24">
        <v>0.66</v>
      </c>
      <c r="R22" s="25">
        <f t="shared" ref="R22:W22" si="6">Q22</f>
        <v>0.66</v>
      </c>
      <c r="S22" s="25">
        <f t="shared" si="6"/>
        <v>0.66</v>
      </c>
      <c r="T22" s="25">
        <f t="shared" si="6"/>
        <v>0.66</v>
      </c>
      <c r="U22" s="25">
        <f t="shared" si="6"/>
        <v>0.66</v>
      </c>
      <c r="V22" s="25">
        <f t="shared" si="6"/>
        <v>0.66</v>
      </c>
      <c r="W22" s="151">
        <f t="shared" si="6"/>
        <v>0.66</v>
      </c>
      <c r="Y22" s="43" t="s">
        <v>63</v>
      </c>
      <c r="AB22" s="67">
        <f>+V5</f>
        <v>0.65</v>
      </c>
    </row>
    <row r="23" spans="2:28">
      <c r="B23" s="66" t="s">
        <v>21</v>
      </c>
      <c r="C23" s="119">
        <f>SUM(C21:C22)</f>
        <v>0</v>
      </c>
      <c r="D23" s="120">
        <f ca="1">C23/SUM(C23,C18)</f>
        <v>0</v>
      </c>
      <c r="E23" s="120"/>
      <c r="F23" s="49"/>
      <c r="H23" s="43" t="s">
        <v>18</v>
      </c>
      <c r="I23" s="152">
        <v>363.87</v>
      </c>
      <c r="J23" s="152">
        <v>356.82</v>
      </c>
      <c r="K23" s="152">
        <v>450</v>
      </c>
      <c r="L23" s="152"/>
      <c r="M23" s="291">
        <v>363.87</v>
      </c>
      <c r="N23" s="153">
        <f t="shared" ref="N23:W23" si="7">M23*(1+N24)</f>
        <v>365.68934999999999</v>
      </c>
      <c r="O23" s="153">
        <f t="shared" si="7"/>
        <v>379.59237764501415</v>
      </c>
      <c r="P23" s="153">
        <f t="shared" si="7"/>
        <v>391.33901732876086</v>
      </c>
      <c r="Q23" s="153">
        <f t="shared" si="7"/>
        <v>401.12249276197986</v>
      </c>
      <c r="R23" s="153">
        <f t="shared" si="7"/>
        <v>411.15055508102932</v>
      </c>
      <c r="S23" s="153">
        <f t="shared" si="7"/>
        <v>421.42931895805503</v>
      </c>
      <c r="T23" s="153">
        <f t="shared" si="7"/>
        <v>431.96505193200636</v>
      </c>
      <c r="U23" s="153">
        <f t="shared" si="7"/>
        <v>442.76417823030647</v>
      </c>
      <c r="V23" s="153">
        <f t="shared" si="7"/>
        <v>453.83328268606408</v>
      </c>
      <c r="W23" s="154">
        <f t="shared" si="7"/>
        <v>465.17911475321563</v>
      </c>
      <c r="Y23" s="43" t="s">
        <v>64</v>
      </c>
      <c r="AB23" s="67">
        <f>+U7</f>
        <v>7.4999999999999997E-2</v>
      </c>
    </row>
    <row r="24" spans="2:28">
      <c r="B24" s="43"/>
      <c r="C24" s="122"/>
      <c r="F24" s="49"/>
      <c r="H24" s="155" t="s">
        <v>16</v>
      </c>
      <c r="I24" s="10"/>
      <c r="J24" s="10"/>
      <c r="K24" s="10"/>
      <c r="L24" s="10"/>
      <c r="M24" s="26"/>
      <c r="N24" s="27">
        <v>5.0000000000000001E-3</v>
      </c>
      <c r="O24" s="27">
        <v>3.801868346730404E-2</v>
      </c>
      <c r="P24" s="27">
        <v>3.0945404532679854E-2</v>
      </c>
      <c r="Q24" s="24">
        <v>2.5000000000000001E-2</v>
      </c>
      <c r="R24" s="26">
        <f t="shared" ref="R24:W24" si="8">Q24</f>
        <v>2.5000000000000001E-2</v>
      </c>
      <c r="S24" s="26">
        <f t="shared" si="8"/>
        <v>2.5000000000000001E-2</v>
      </c>
      <c r="T24" s="26">
        <f t="shared" si="8"/>
        <v>2.5000000000000001E-2</v>
      </c>
      <c r="U24" s="26">
        <f t="shared" si="8"/>
        <v>2.5000000000000001E-2</v>
      </c>
      <c r="V24" s="26">
        <f t="shared" si="8"/>
        <v>2.5000000000000001E-2</v>
      </c>
      <c r="W24" s="156">
        <f t="shared" si="8"/>
        <v>2.5000000000000001E-2</v>
      </c>
      <c r="Y24" s="69" t="s">
        <v>65</v>
      </c>
      <c r="Z24" s="70"/>
      <c r="AA24" s="70"/>
      <c r="AB24" s="71">
        <f>+Q43</f>
        <v>6280976.5529134637</v>
      </c>
    </row>
    <row r="25" spans="2:28">
      <c r="B25" s="115" t="s">
        <v>51</v>
      </c>
      <c r="C25" s="123"/>
      <c r="D25" s="116"/>
      <c r="E25" s="116"/>
      <c r="F25" s="117"/>
      <c r="H25" s="44" t="s">
        <v>15</v>
      </c>
      <c r="I25" s="157">
        <f>I23*I22</f>
        <v>264.89735999999999</v>
      </c>
      <c r="J25" s="158">
        <f>J23*J22</f>
        <v>262.2627</v>
      </c>
      <c r="K25" s="158">
        <f>K23*K22</f>
        <v>292.5</v>
      </c>
      <c r="L25" s="158"/>
      <c r="M25" s="157">
        <f t="shared" ref="M25:W25" si="9">M23*M22</f>
        <v>269.2638</v>
      </c>
      <c r="N25" s="157">
        <f t="shared" si="9"/>
        <v>223.0705035</v>
      </c>
      <c r="O25" s="157">
        <f t="shared" si="9"/>
        <v>238.38401316106888</v>
      </c>
      <c r="P25" s="157">
        <f t="shared" si="9"/>
        <v>258.28375143698219</v>
      </c>
      <c r="Q25" s="157">
        <f t="shared" si="9"/>
        <v>264.74084522290673</v>
      </c>
      <c r="R25" s="157">
        <f t="shared" si="9"/>
        <v>271.35936635347934</v>
      </c>
      <c r="S25" s="157">
        <f t="shared" si="9"/>
        <v>278.14335051231632</v>
      </c>
      <c r="T25" s="157">
        <f t="shared" si="9"/>
        <v>285.09693427512423</v>
      </c>
      <c r="U25" s="157">
        <f t="shared" si="9"/>
        <v>292.2243576320023</v>
      </c>
      <c r="V25" s="157">
        <f t="shared" si="9"/>
        <v>299.52996657280232</v>
      </c>
      <c r="W25" s="159">
        <f t="shared" si="9"/>
        <v>307.01821573712232</v>
      </c>
      <c r="Y25" s="43"/>
      <c r="AB25" s="49"/>
    </row>
    <row r="26" spans="2:28">
      <c r="B26" s="43" t="s">
        <v>43</v>
      </c>
      <c r="C26" s="124">
        <f ca="1">C16+C21</f>
        <v>33536990.437846001</v>
      </c>
      <c r="D26" s="21">
        <f ca="1">C26/$C$28</f>
        <v>0.65</v>
      </c>
      <c r="E26" s="21"/>
      <c r="F26" s="49"/>
      <c r="H26" s="155" t="s">
        <v>14</v>
      </c>
      <c r="I26" s="10"/>
      <c r="J26" s="10"/>
      <c r="K26" s="10"/>
      <c r="L26" s="10"/>
      <c r="M26" s="26"/>
      <c r="N26" s="26">
        <f t="shared" ref="N26:W26" si="10">(N25-M25)/M25</f>
        <v>-0.17155405405405405</v>
      </c>
      <c r="O26" s="26">
        <f t="shared" si="10"/>
        <v>6.8648742979453933E-2</v>
      </c>
      <c r="P26" s="26">
        <f t="shared" si="10"/>
        <v>8.3477654445173119E-2</v>
      </c>
      <c r="Q26" s="26">
        <f t="shared" si="10"/>
        <v>2.4999999999999949E-2</v>
      </c>
      <c r="R26" s="26">
        <f t="shared" si="10"/>
        <v>2.4999999999999807E-2</v>
      </c>
      <c r="S26" s="26">
        <f t="shared" si="10"/>
        <v>2.499999999999996E-2</v>
      </c>
      <c r="T26" s="26">
        <f t="shared" si="10"/>
        <v>2.5000000000000005E-2</v>
      </c>
      <c r="U26" s="26">
        <f t="shared" si="10"/>
        <v>2.499999999999987E-2</v>
      </c>
      <c r="V26" s="26">
        <f t="shared" si="10"/>
        <v>2.4999999999999897E-2</v>
      </c>
      <c r="W26" s="156">
        <f t="shared" si="10"/>
        <v>2.499999999999979E-2</v>
      </c>
      <c r="Y26" s="44" t="s">
        <v>4</v>
      </c>
      <c r="Z26" s="91"/>
      <c r="AA26" s="91"/>
      <c r="AB26" s="54">
        <f>+P5</f>
        <v>78512206.911418289</v>
      </c>
    </row>
    <row r="27" spans="2:28">
      <c r="B27" s="51" t="s">
        <v>40</v>
      </c>
      <c r="C27" s="4">
        <f ca="1">C17+C22</f>
        <v>18058379.466532458</v>
      </c>
      <c r="D27" s="23">
        <f ca="1">C27/$C$28</f>
        <v>0.34999999999999992</v>
      </c>
      <c r="E27" s="23"/>
      <c r="F27" s="118"/>
      <c r="H27" s="43"/>
      <c r="J27" s="3"/>
      <c r="M27" s="153"/>
      <c r="N27" s="160"/>
      <c r="O27" s="19"/>
      <c r="P27" s="19"/>
      <c r="Q27" s="19"/>
      <c r="R27" s="19"/>
      <c r="S27" s="19"/>
      <c r="T27" s="19"/>
      <c r="U27" s="19"/>
      <c r="V27" s="19"/>
      <c r="W27" s="46"/>
      <c r="Y27" s="44" t="s">
        <v>60</v>
      </c>
      <c r="Z27" s="91"/>
      <c r="AA27" s="91"/>
      <c r="AB27" s="54">
        <f>+AB26/AB6</f>
        <v>431385.75226054003</v>
      </c>
    </row>
    <row r="28" spans="2:28" ht="15.75" thickBot="1">
      <c r="B28" s="44" t="s">
        <v>21</v>
      </c>
      <c r="C28" s="125">
        <f ca="1">C26+C27</f>
        <v>51595369.904378459</v>
      </c>
      <c r="D28" s="126">
        <f ca="1">D18+D23</f>
        <v>1</v>
      </c>
      <c r="E28" s="126"/>
      <c r="F28" s="49"/>
      <c r="H28" s="161" t="s">
        <v>12</v>
      </c>
      <c r="I28" s="30"/>
      <c r="J28" s="30"/>
      <c r="K28" s="30"/>
      <c r="L28" s="3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162"/>
      <c r="X28" s="32"/>
      <c r="Y28" s="66" t="s">
        <v>66</v>
      </c>
      <c r="AB28" s="73">
        <f>+P6</f>
        <v>0.08</v>
      </c>
    </row>
    <row r="29" spans="2:28">
      <c r="B29" s="43"/>
      <c r="F29" s="49"/>
      <c r="H29" s="43" t="s">
        <v>10</v>
      </c>
      <c r="I29" s="163">
        <v>14107062</v>
      </c>
      <c r="J29" s="163">
        <v>13980018</v>
      </c>
      <c r="K29" s="163">
        <v>13950000</v>
      </c>
      <c r="M29" s="145">
        <f t="shared" ref="M29:W29" si="11">IF(M16&lt;=$P$8,M25*$C$4*IF(IF(MOD(YEAR(M17),4)=0,IF(MOD(YEAR(M17),100)=0,IF(MOD(YEAR(M17),400)=0,TRUE,FALSE),TRUE),FALSE)=TRUE,366,365),0)</f>
        <v>17887194.234000001</v>
      </c>
      <c r="N29" s="145">
        <f t="shared" si="11"/>
        <v>14818573.547505001</v>
      </c>
      <c r="O29" s="145">
        <f t="shared" si="11"/>
        <v>15835849.994289804</v>
      </c>
      <c r="P29" s="145">
        <f t="shared" si="11"/>
        <v>17204797.250720255</v>
      </c>
      <c r="Q29" s="145">
        <f t="shared" si="11"/>
        <v>17586734.348157696</v>
      </c>
      <c r="R29" s="145">
        <f t="shared" si="11"/>
        <v>0</v>
      </c>
      <c r="S29" s="145">
        <f t="shared" si="11"/>
        <v>0</v>
      </c>
      <c r="T29" s="145">
        <f t="shared" si="11"/>
        <v>0</v>
      </c>
      <c r="U29" s="145">
        <f t="shared" si="11"/>
        <v>0</v>
      </c>
      <c r="V29" s="145">
        <f t="shared" si="11"/>
        <v>0</v>
      </c>
      <c r="W29" s="146">
        <f t="shared" si="11"/>
        <v>0</v>
      </c>
      <c r="Y29" s="43"/>
      <c r="AB29" s="49"/>
    </row>
    <row r="30" spans="2:28" ht="15.75" thickBot="1">
      <c r="B30" s="113" t="s">
        <v>84</v>
      </c>
      <c r="C30" s="80"/>
      <c r="D30" s="80"/>
      <c r="E30" s="80"/>
      <c r="F30" s="127"/>
      <c r="H30" s="155" t="s">
        <v>1</v>
      </c>
      <c r="I30" s="26">
        <f>I29/I32</f>
        <v>0.70562211843265243</v>
      </c>
      <c r="J30" s="26">
        <f>J29/J32</f>
        <v>0.76922337921046091</v>
      </c>
      <c r="K30" s="26">
        <f>K29/K32</f>
        <v>0.76755661968064692</v>
      </c>
      <c r="L30" s="10"/>
      <c r="M30" s="27">
        <v>0.75</v>
      </c>
      <c r="N30" s="27">
        <v>0.72</v>
      </c>
      <c r="O30" s="27">
        <v>0.72</v>
      </c>
      <c r="P30" s="27">
        <v>0.71</v>
      </c>
      <c r="Q30" s="27">
        <v>0.7</v>
      </c>
      <c r="R30" s="33">
        <f t="shared" ref="R30:W30" si="12">Q30</f>
        <v>0.7</v>
      </c>
      <c r="S30" s="33">
        <f t="shared" si="12"/>
        <v>0.7</v>
      </c>
      <c r="T30" s="33">
        <f t="shared" si="12"/>
        <v>0.7</v>
      </c>
      <c r="U30" s="33">
        <f t="shared" si="12"/>
        <v>0.7</v>
      </c>
      <c r="V30" s="33">
        <f t="shared" si="12"/>
        <v>0.7</v>
      </c>
      <c r="W30" s="164">
        <f t="shared" si="12"/>
        <v>0.7</v>
      </c>
      <c r="Y30" s="87" t="str">
        <f>D42</f>
        <v>IRR</v>
      </c>
      <c r="Z30" s="91"/>
      <c r="AA30" s="91"/>
      <c r="AB30" s="88">
        <f ca="1">+F42</f>
        <v>0.28159188628196719</v>
      </c>
    </row>
    <row r="31" spans="2:28">
      <c r="B31" s="43" t="s">
        <v>13</v>
      </c>
      <c r="C31" s="35">
        <f>I5</f>
        <v>48000000</v>
      </c>
      <c r="D31" s="36">
        <f>C31/$C$4</f>
        <v>263736.26373626373</v>
      </c>
      <c r="E31" s="36"/>
      <c r="F31" s="128">
        <f ca="1">C31/$C$36</f>
        <v>0.9303160358954351</v>
      </c>
      <c r="H31" s="51" t="s">
        <v>9</v>
      </c>
      <c r="I31" s="4">
        <f>I32-I29</f>
        <v>5885313</v>
      </c>
      <c r="J31" s="4">
        <f>J32-J29</f>
        <v>4194180</v>
      </c>
      <c r="K31" s="4">
        <f>K32-K29</f>
        <v>4224555</v>
      </c>
      <c r="L31" s="3"/>
      <c r="M31" s="34">
        <f t="shared" ref="M31:W31" si="13">M32-M29</f>
        <v>5962398.0780000016</v>
      </c>
      <c r="N31" s="34">
        <f t="shared" si="13"/>
        <v>5762778.6018074993</v>
      </c>
      <c r="O31" s="34">
        <f t="shared" si="13"/>
        <v>6158386.1088904813</v>
      </c>
      <c r="P31" s="34">
        <f t="shared" si="13"/>
        <v>7027311.5531110913</v>
      </c>
      <c r="Q31" s="34">
        <f t="shared" si="13"/>
        <v>7537171.8634961583</v>
      </c>
      <c r="R31" s="34">
        <f t="shared" si="13"/>
        <v>0</v>
      </c>
      <c r="S31" s="34">
        <f t="shared" si="13"/>
        <v>0</v>
      </c>
      <c r="T31" s="34">
        <f t="shared" si="13"/>
        <v>0</v>
      </c>
      <c r="U31" s="34">
        <f t="shared" si="13"/>
        <v>0</v>
      </c>
      <c r="V31" s="34">
        <f t="shared" si="13"/>
        <v>0</v>
      </c>
      <c r="W31" s="165">
        <f t="shared" si="13"/>
        <v>0</v>
      </c>
      <c r="Y31" s="44" t="str">
        <f>D43</f>
        <v>Profit</v>
      </c>
      <c r="Z31" s="91"/>
      <c r="AA31" s="91"/>
      <c r="AB31" s="89">
        <f ca="1">+F43</f>
        <v>38713120.553934328</v>
      </c>
    </row>
    <row r="32" spans="2:28" ht="15.75" thickBot="1">
      <c r="B32" s="43" t="s">
        <v>11</v>
      </c>
      <c r="C32" s="35">
        <f>I7</f>
        <v>1440000</v>
      </c>
      <c r="D32" s="36">
        <f>C32/$C$4</f>
        <v>7912.0879120879117</v>
      </c>
      <c r="E32" s="36"/>
      <c r="F32" s="128">
        <f ca="1">C32/$C$36</f>
        <v>2.7909481076863051E-2</v>
      </c>
      <c r="H32" s="44" t="s">
        <v>8</v>
      </c>
      <c r="I32" s="166">
        <v>19992375</v>
      </c>
      <c r="J32" s="166">
        <v>18174198</v>
      </c>
      <c r="K32" s="166">
        <v>18174555</v>
      </c>
      <c r="L32" s="166"/>
      <c r="M32" s="145">
        <f t="shared" ref="M32:W32" si="14">M29/M30</f>
        <v>23849592.312000003</v>
      </c>
      <c r="N32" s="145">
        <f t="shared" si="14"/>
        <v>20581352.1493125</v>
      </c>
      <c r="O32" s="145">
        <f t="shared" si="14"/>
        <v>21994236.103180286</v>
      </c>
      <c r="P32" s="145">
        <f t="shared" si="14"/>
        <v>24232108.803831346</v>
      </c>
      <c r="Q32" s="145">
        <f t="shared" si="14"/>
        <v>25123906.211653855</v>
      </c>
      <c r="R32" s="145">
        <f t="shared" si="14"/>
        <v>0</v>
      </c>
      <c r="S32" s="145">
        <f t="shared" si="14"/>
        <v>0</v>
      </c>
      <c r="T32" s="145">
        <f t="shared" si="14"/>
        <v>0</v>
      </c>
      <c r="U32" s="145">
        <f t="shared" si="14"/>
        <v>0</v>
      </c>
      <c r="V32" s="145">
        <f t="shared" si="14"/>
        <v>0</v>
      </c>
      <c r="W32" s="146">
        <f t="shared" si="14"/>
        <v>0</v>
      </c>
      <c r="Y32" s="90" t="str">
        <f>D44</f>
        <v>MOIC</v>
      </c>
      <c r="Z32" s="63"/>
      <c r="AA32" s="63"/>
      <c r="AB32" s="93">
        <f ca="1">+F44</f>
        <v>3.1437760030284694</v>
      </c>
    </row>
    <row r="33" spans="2:31">
      <c r="B33" s="43" t="s">
        <v>22</v>
      </c>
      <c r="C33" s="35">
        <f>I8</f>
        <v>1820000</v>
      </c>
      <c r="D33" s="36">
        <f>C33/$C$4</f>
        <v>10000</v>
      </c>
      <c r="E33" s="36"/>
      <c r="F33" s="128">
        <f ca="1">C33/$C$36</f>
        <v>3.5274483027701913E-2</v>
      </c>
      <c r="H33" s="43"/>
      <c r="J33" s="3"/>
      <c r="M33" s="145"/>
      <c r="N33" s="19"/>
      <c r="O33" s="257"/>
      <c r="P33" s="19"/>
      <c r="Q33" s="19"/>
      <c r="R33" s="19"/>
      <c r="S33" s="19"/>
      <c r="T33" s="19"/>
      <c r="U33" s="19"/>
      <c r="V33" s="19"/>
      <c r="W33" s="46"/>
    </row>
    <row r="34" spans="2:31" ht="15.75" thickBot="1">
      <c r="B34" s="43"/>
      <c r="C34" s="35"/>
      <c r="D34" s="36"/>
      <c r="E34" s="36"/>
      <c r="F34" s="128"/>
      <c r="H34" s="161" t="s">
        <v>6</v>
      </c>
      <c r="I34" s="37"/>
      <c r="J34" s="37"/>
      <c r="K34" s="37"/>
      <c r="L34" s="30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162"/>
    </row>
    <row r="35" spans="2:31">
      <c r="B35" s="51" t="s">
        <v>20</v>
      </c>
      <c r="C35" s="38">
        <f ca="1">I9</f>
        <v>335369.90437846002</v>
      </c>
      <c r="D35" s="39">
        <f ca="1">C35/$C$4</f>
        <v>1842.6917822992309</v>
      </c>
      <c r="E35" s="39"/>
      <c r="F35" s="129">
        <f ca="1">C35/$C$36</f>
        <v>6.5000000000000006E-3</v>
      </c>
      <c r="H35" s="43" t="s">
        <v>56</v>
      </c>
      <c r="I35" s="167">
        <v>605472</v>
      </c>
      <c r="J35" s="167">
        <v>567571</v>
      </c>
      <c r="K35" s="167">
        <v>650000</v>
      </c>
      <c r="L35" s="91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46"/>
    </row>
    <row r="36" spans="2:31">
      <c r="B36" s="44" t="s">
        <v>21</v>
      </c>
      <c r="C36" s="125">
        <f ca="1">SUM(C31:C35)</f>
        <v>51595369.904378459</v>
      </c>
      <c r="D36" s="41">
        <f ca="1">SUM(D31:D35)</f>
        <v>283491.0434306509</v>
      </c>
      <c r="E36" s="41"/>
      <c r="F36" s="130">
        <f ca="1">SUM(F31:F35)</f>
        <v>1</v>
      </c>
      <c r="H36" s="266">
        <v>0.03</v>
      </c>
      <c r="I36" s="40">
        <f>$H$36*I32</f>
        <v>599771.25</v>
      </c>
      <c r="J36" s="40">
        <f>$H$36*J32</f>
        <v>545225.93999999994</v>
      </c>
      <c r="K36" s="40">
        <f>$H$36*K32</f>
        <v>545236.65</v>
      </c>
      <c r="L36" s="2"/>
      <c r="M36" s="34">
        <f t="shared" ref="M36:W36" si="15">$H$36*M32</f>
        <v>715487.76936000003</v>
      </c>
      <c r="N36" s="34">
        <f t="shared" si="15"/>
        <v>617440.56447937503</v>
      </c>
      <c r="O36" s="34">
        <f t="shared" si="15"/>
        <v>659827.08309540851</v>
      </c>
      <c r="P36" s="34">
        <f t="shared" si="15"/>
        <v>726963.26411494031</v>
      </c>
      <c r="Q36" s="34">
        <f t="shared" si="15"/>
        <v>753717.18634961557</v>
      </c>
      <c r="R36" s="34">
        <f t="shared" si="15"/>
        <v>0</v>
      </c>
      <c r="S36" s="34">
        <f t="shared" si="15"/>
        <v>0</v>
      </c>
      <c r="T36" s="34">
        <f t="shared" si="15"/>
        <v>0</v>
      </c>
      <c r="U36" s="34">
        <f t="shared" si="15"/>
        <v>0</v>
      </c>
      <c r="V36" s="34">
        <f t="shared" si="15"/>
        <v>0</v>
      </c>
      <c r="W36" s="165">
        <f t="shared" si="15"/>
        <v>0</v>
      </c>
    </row>
    <row r="37" spans="2:31">
      <c r="B37" s="44"/>
      <c r="C37" s="125"/>
      <c r="D37" s="41"/>
      <c r="E37" s="41"/>
      <c r="F37" s="130"/>
      <c r="H37" s="44" t="s">
        <v>5</v>
      </c>
      <c r="I37" s="168">
        <f>I32-I39+I35-I36</f>
        <v>16938028.75</v>
      </c>
      <c r="J37" s="168">
        <f>J32-J39+J35-J36</f>
        <v>15573896.060000001</v>
      </c>
      <c r="K37" s="168">
        <f>K32-K39+K35-K36</f>
        <v>15529318.35</v>
      </c>
      <c r="L37" s="91"/>
      <c r="M37" s="145">
        <f t="shared" ref="M37:W37" si="16">M32-M43-M41</f>
        <v>19318169.772720002</v>
      </c>
      <c r="N37" s="145">
        <f t="shared" si="16"/>
        <v>15230200.59049125</v>
      </c>
      <c r="O37" s="145">
        <f t="shared" si="16"/>
        <v>15615907.633258002</v>
      </c>
      <c r="P37" s="145">
        <f t="shared" si="16"/>
        <v>17204797.250720259</v>
      </c>
      <c r="Q37" s="145">
        <f t="shared" si="16"/>
        <v>17837973.410274237</v>
      </c>
      <c r="R37" s="145">
        <f t="shared" si="16"/>
        <v>0</v>
      </c>
      <c r="S37" s="145">
        <f t="shared" si="16"/>
        <v>0</v>
      </c>
      <c r="T37" s="145">
        <f t="shared" si="16"/>
        <v>0</v>
      </c>
      <c r="U37" s="145">
        <f t="shared" si="16"/>
        <v>0</v>
      </c>
      <c r="V37" s="145">
        <f t="shared" si="16"/>
        <v>0</v>
      </c>
      <c r="W37" s="146">
        <f t="shared" si="16"/>
        <v>0</v>
      </c>
    </row>
    <row r="38" spans="2:31" ht="15.75" thickBot="1">
      <c r="B38" s="131" t="s">
        <v>49</v>
      </c>
      <c r="C38" s="63" t="b">
        <f ca="1">C36=C28</f>
        <v>1</v>
      </c>
      <c r="D38" s="63"/>
      <c r="E38" s="63"/>
      <c r="F38" s="75"/>
      <c r="H38" s="44"/>
      <c r="I38" s="168"/>
      <c r="J38" s="168"/>
      <c r="K38" s="168"/>
      <c r="L38" s="91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6"/>
    </row>
    <row r="39" spans="2:31" ht="15.75" thickBot="1">
      <c r="H39" s="169" t="s">
        <v>76</v>
      </c>
      <c r="I39" s="170">
        <v>3060047</v>
      </c>
      <c r="J39" s="170">
        <v>2622647</v>
      </c>
      <c r="K39" s="170">
        <v>2750000</v>
      </c>
      <c r="L39" s="171"/>
      <c r="M39" s="172">
        <f t="shared" ref="M39:W39" si="17">M32-M37</f>
        <v>4531422.5392800011</v>
      </c>
      <c r="N39" s="172">
        <f t="shared" si="17"/>
        <v>5351151.5588212498</v>
      </c>
      <c r="O39" s="172">
        <f t="shared" si="17"/>
        <v>6378328.4699222837</v>
      </c>
      <c r="P39" s="172">
        <f t="shared" si="17"/>
        <v>7027311.5531110875</v>
      </c>
      <c r="Q39" s="172">
        <f t="shared" si="17"/>
        <v>7285932.8013796173</v>
      </c>
      <c r="R39" s="172">
        <f t="shared" si="17"/>
        <v>0</v>
      </c>
      <c r="S39" s="172">
        <f t="shared" si="17"/>
        <v>0</v>
      </c>
      <c r="T39" s="172">
        <f t="shared" si="17"/>
        <v>0</v>
      </c>
      <c r="U39" s="172">
        <f t="shared" si="17"/>
        <v>0</v>
      </c>
      <c r="V39" s="172">
        <f t="shared" si="17"/>
        <v>0</v>
      </c>
      <c r="W39" s="173">
        <f t="shared" si="17"/>
        <v>0</v>
      </c>
    </row>
    <row r="40" spans="2:31" ht="15.75" thickBot="1">
      <c r="B40" s="110" t="s">
        <v>78</v>
      </c>
      <c r="C40" s="111"/>
      <c r="D40" s="111"/>
      <c r="E40" s="111"/>
      <c r="F40" s="112"/>
      <c r="H40" s="44"/>
      <c r="I40" s="174"/>
      <c r="J40" s="174"/>
      <c r="K40" s="174"/>
      <c r="L40" s="91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6"/>
    </row>
    <row r="41" spans="2:31" ht="15.75" thickBot="1">
      <c r="B41" s="98" t="s">
        <v>27</v>
      </c>
      <c r="C41" s="99"/>
      <c r="D41" s="100" t="s">
        <v>48</v>
      </c>
      <c r="E41" s="250"/>
      <c r="F41" s="101"/>
      <c r="H41" s="283">
        <v>0.04</v>
      </c>
      <c r="I41" s="175">
        <f>$H$41*I32</f>
        <v>799695</v>
      </c>
      <c r="J41" s="175">
        <f>$H$41*J32</f>
        <v>726967.92</v>
      </c>
      <c r="K41" s="175">
        <f>$H$41*K32</f>
        <v>726982.20000000007</v>
      </c>
      <c r="L41" s="91"/>
      <c r="M41" s="145">
        <f t="shared" ref="M41:W41" si="18">$H$41*M32</f>
        <v>953983.69248000009</v>
      </c>
      <c r="N41" s="145">
        <f t="shared" si="18"/>
        <v>823254.08597250003</v>
      </c>
      <c r="O41" s="145">
        <f t="shared" si="18"/>
        <v>879769.44412721146</v>
      </c>
      <c r="P41" s="145">
        <f t="shared" si="18"/>
        <v>969284.35215325386</v>
      </c>
      <c r="Q41" s="145">
        <f t="shared" si="18"/>
        <v>1004956.2484661542</v>
      </c>
      <c r="R41" s="145">
        <f t="shared" si="18"/>
        <v>0</v>
      </c>
      <c r="S41" s="145">
        <f t="shared" si="18"/>
        <v>0</v>
      </c>
      <c r="T41" s="145">
        <f t="shared" si="18"/>
        <v>0</v>
      </c>
      <c r="U41" s="145">
        <f t="shared" si="18"/>
        <v>0</v>
      </c>
      <c r="V41" s="145">
        <f t="shared" si="18"/>
        <v>0</v>
      </c>
      <c r="W41" s="146">
        <f t="shared" si="18"/>
        <v>0</v>
      </c>
    </row>
    <row r="42" spans="2:31">
      <c r="B42" s="102" t="s">
        <v>32</v>
      </c>
      <c r="C42" s="95">
        <f>IFERROR(XIRR(L70:W70,L17:W17),"")</f>
        <v>0.16525334715843204</v>
      </c>
      <c r="D42" s="96" t="str">
        <f>B42</f>
        <v>IRR</v>
      </c>
      <c r="E42" s="251"/>
      <c r="F42" s="103">
        <f ca="1">IFERROR(XIRR(L83:W83,L17:W17),"")</f>
        <v>0.28159188628196719</v>
      </c>
      <c r="H42" s="261"/>
      <c r="I42" s="82"/>
      <c r="J42" s="125"/>
      <c r="K42" s="125"/>
      <c r="L42" s="91"/>
      <c r="M42" s="264"/>
      <c r="N42" s="264"/>
      <c r="O42" s="264"/>
      <c r="P42" s="265"/>
      <c r="Q42" s="265"/>
      <c r="R42" s="262"/>
      <c r="S42" s="262"/>
      <c r="T42" s="262"/>
      <c r="U42" s="262"/>
      <c r="V42" s="262"/>
      <c r="W42" s="263"/>
    </row>
    <row r="43" spans="2:31">
      <c r="B43" s="102" t="s">
        <v>33</v>
      </c>
      <c r="C43" s="104">
        <f>SUM(L70:W70)</f>
        <v>51624861.872505032</v>
      </c>
      <c r="D43" s="97" t="str">
        <f t="shared" ref="D43:D44" si="19">B43</f>
        <v>Profit</v>
      </c>
      <c r="E43" s="252"/>
      <c r="F43" s="105">
        <f ca="1">SUM(L83:W83)</f>
        <v>38713120.553934328</v>
      </c>
      <c r="H43" s="176" t="s">
        <v>77</v>
      </c>
      <c r="I43" s="177">
        <f>+I35-I36+I39-I41</f>
        <v>2266052.75</v>
      </c>
      <c r="J43" s="177">
        <f>+J35-J36+J39-J41</f>
        <v>1918024.1400000001</v>
      </c>
      <c r="K43" s="177">
        <f>+K35-K36+K39-K41</f>
        <v>2127781.15</v>
      </c>
      <c r="L43" s="178"/>
      <c r="M43" s="179">
        <f t="shared" ref="M43:W43" si="20">M32*M44</f>
        <v>3577438.8468000004</v>
      </c>
      <c r="N43" s="179">
        <f t="shared" si="20"/>
        <v>4527897.4728487497</v>
      </c>
      <c r="O43" s="179">
        <f t="shared" si="20"/>
        <v>5498559.0257950714</v>
      </c>
      <c r="P43" s="179">
        <f t="shared" si="20"/>
        <v>6058027.2009578366</v>
      </c>
      <c r="Q43" s="179">
        <f t="shared" si="20"/>
        <v>6280976.5529134637</v>
      </c>
      <c r="R43" s="179">
        <f t="shared" si="20"/>
        <v>0</v>
      </c>
      <c r="S43" s="179">
        <f t="shared" si="20"/>
        <v>0</v>
      </c>
      <c r="T43" s="179">
        <f t="shared" si="20"/>
        <v>0</v>
      </c>
      <c r="U43" s="179">
        <f t="shared" si="20"/>
        <v>0</v>
      </c>
      <c r="V43" s="179">
        <f t="shared" si="20"/>
        <v>0</v>
      </c>
      <c r="W43" s="180">
        <f t="shared" si="20"/>
        <v>0</v>
      </c>
    </row>
    <row r="44" spans="2:31" ht="14.45" customHeight="1" thickBot="1">
      <c r="B44" s="106" t="s">
        <v>34</v>
      </c>
      <c r="C44" s="107">
        <f>SUMIF(L70:W70,"&gt;=0")/-SUMIF(L70:W70,"&lt;=0")</f>
        <v>2.0071178671967429</v>
      </c>
      <c r="D44" s="108" t="str">
        <f t="shared" si="19"/>
        <v>MOIC</v>
      </c>
      <c r="E44" s="253"/>
      <c r="F44" s="109">
        <f ca="1">SUMIF(L83:W83,"&gt;=0")/-SUMIF(L83:W83,"&lt;=0")</f>
        <v>3.1437760030284694</v>
      </c>
      <c r="H44" s="155" t="s">
        <v>44</v>
      </c>
      <c r="I44" s="182">
        <f>I43/I32</f>
        <v>0.11334585060554336</v>
      </c>
      <c r="J44" s="42">
        <f>J43/J32</f>
        <v>0.10553555870801012</v>
      </c>
      <c r="K44" s="182">
        <f>K43/K32</f>
        <v>0.11707473167843724</v>
      </c>
      <c r="L44" s="182"/>
      <c r="M44" s="33">
        <f t="shared" ref="M44:W44" si="21">M45+$J$45</f>
        <v>0.15</v>
      </c>
      <c r="N44" s="33">
        <f t="shared" si="21"/>
        <v>0.22</v>
      </c>
      <c r="O44" s="33">
        <f t="shared" si="21"/>
        <v>0.25</v>
      </c>
      <c r="P44" s="33">
        <f t="shared" si="21"/>
        <v>0.25</v>
      </c>
      <c r="Q44" s="33">
        <f t="shared" si="21"/>
        <v>0.25</v>
      </c>
      <c r="R44" s="33">
        <f t="shared" si="21"/>
        <v>0.25</v>
      </c>
      <c r="S44" s="33">
        <f t="shared" si="21"/>
        <v>0.25</v>
      </c>
      <c r="T44" s="33">
        <f t="shared" si="21"/>
        <v>0.25</v>
      </c>
      <c r="U44" s="33">
        <f t="shared" si="21"/>
        <v>0.25</v>
      </c>
      <c r="V44" s="33">
        <f t="shared" si="21"/>
        <v>0.25</v>
      </c>
      <c r="W44" s="164">
        <f t="shared" si="21"/>
        <v>0.25</v>
      </c>
      <c r="AD44" s="1" t="s">
        <v>94</v>
      </c>
      <c r="AE44" s="271"/>
    </row>
    <row r="45" spans="2:31">
      <c r="H45" s="270" t="s">
        <v>93</v>
      </c>
      <c r="I45" s="272">
        <v>0</v>
      </c>
      <c r="J45" s="273">
        <f>IF(AE44=0,I45,AE44)</f>
        <v>0</v>
      </c>
      <c r="K45" s="260"/>
      <c r="L45" s="244"/>
      <c r="M45" s="268">
        <v>0.15</v>
      </c>
      <c r="N45" s="268">
        <v>0.22</v>
      </c>
      <c r="O45" s="268">
        <v>0.25</v>
      </c>
      <c r="P45" s="269">
        <f t="shared" ref="P45:W45" si="22">$O$44</f>
        <v>0.25</v>
      </c>
      <c r="Q45" s="269">
        <f t="shared" si="22"/>
        <v>0.25</v>
      </c>
      <c r="R45" s="269">
        <f t="shared" si="22"/>
        <v>0.25</v>
      </c>
      <c r="S45" s="269">
        <f t="shared" si="22"/>
        <v>0.25</v>
      </c>
      <c r="T45" s="269">
        <f t="shared" si="22"/>
        <v>0.25</v>
      </c>
      <c r="U45" s="269">
        <f t="shared" si="22"/>
        <v>0.25</v>
      </c>
      <c r="V45" s="269">
        <f t="shared" si="22"/>
        <v>0.25</v>
      </c>
      <c r="W45" s="269">
        <f t="shared" si="22"/>
        <v>0.25</v>
      </c>
    </row>
    <row r="46" spans="2:31" ht="15.75" thickBot="1">
      <c r="H46" s="10"/>
      <c r="I46" s="42"/>
      <c r="J46" s="42"/>
      <c r="K46" s="42"/>
      <c r="L46" s="42"/>
      <c r="M46" s="245"/>
      <c r="N46" s="33"/>
      <c r="O46" s="33"/>
      <c r="P46" s="33"/>
      <c r="Q46" s="33"/>
      <c r="R46" s="26"/>
      <c r="S46" s="26"/>
      <c r="T46" s="26"/>
      <c r="U46" s="26"/>
      <c r="V46" s="26"/>
      <c r="W46" s="28"/>
    </row>
    <row r="47" spans="2:31">
      <c r="B47"/>
      <c r="C47"/>
      <c r="D47"/>
      <c r="E47"/>
      <c r="F47"/>
      <c r="H47" s="185" t="s">
        <v>0</v>
      </c>
      <c r="I47" s="186"/>
      <c r="J47" s="186"/>
      <c r="K47" s="186"/>
      <c r="L47" s="186"/>
      <c r="M47" s="187">
        <f t="shared" ref="M47:W47" si="23">M43</f>
        <v>3577438.8468000004</v>
      </c>
      <c r="N47" s="187">
        <f t="shared" si="23"/>
        <v>4527897.4728487497</v>
      </c>
      <c r="O47" s="187">
        <f t="shared" si="23"/>
        <v>5498559.0257950714</v>
      </c>
      <c r="P47" s="187">
        <f t="shared" si="23"/>
        <v>6058027.2009578366</v>
      </c>
      <c r="Q47" s="187">
        <f t="shared" si="23"/>
        <v>6280976.5529134637</v>
      </c>
      <c r="R47" s="187">
        <f t="shared" si="23"/>
        <v>0</v>
      </c>
      <c r="S47" s="187">
        <f t="shared" si="23"/>
        <v>0</v>
      </c>
      <c r="T47" s="187">
        <f t="shared" si="23"/>
        <v>0</v>
      </c>
      <c r="U47" s="187">
        <f t="shared" si="23"/>
        <v>0</v>
      </c>
      <c r="V47" s="187">
        <f t="shared" si="23"/>
        <v>0</v>
      </c>
      <c r="W47" s="188">
        <f t="shared" si="23"/>
        <v>0</v>
      </c>
    </row>
    <row r="48" spans="2:31" ht="15.75" thickBot="1">
      <c r="B48"/>
      <c r="C48"/>
      <c r="D48"/>
      <c r="E48"/>
      <c r="F48"/>
      <c r="H48" s="267">
        <f>AVERAGE(M48:W48)</f>
        <v>0.10122083144485028</v>
      </c>
      <c r="I48" s="63"/>
      <c r="J48" s="63"/>
      <c r="K48" s="63"/>
      <c r="L48" s="63"/>
      <c r="M48" s="183">
        <f t="shared" ref="M48:W48" si="24">IF(M47=0,"",M47/-$L$70)</f>
        <v>6.9790067241513862E-2</v>
      </c>
      <c r="N48" s="183">
        <f t="shared" si="24"/>
        <v>8.8331983473444203E-2</v>
      </c>
      <c r="O48" s="183">
        <f t="shared" si="24"/>
        <v>0.10726802625429324</v>
      </c>
      <c r="P48" s="183">
        <f t="shared" si="24"/>
        <v>0.11818234882867415</v>
      </c>
      <c r="Q48" s="183">
        <f t="shared" si="24"/>
        <v>0.12253173142632587</v>
      </c>
      <c r="R48" s="183" t="str">
        <f t="shared" si="24"/>
        <v/>
      </c>
      <c r="S48" s="183" t="str">
        <f t="shared" si="24"/>
        <v/>
      </c>
      <c r="T48" s="183" t="str">
        <f t="shared" si="24"/>
        <v/>
      </c>
      <c r="U48" s="183" t="str">
        <f t="shared" si="24"/>
        <v/>
      </c>
      <c r="V48" s="183" t="str">
        <f t="shared" si="24"/>
        <v/>
      </c>
      <c r="W48" s="184" t="str">
        <f t="shared" si="24"/>
        <v/>
      </c>
    </row>
    <row r="49" spans="2:23" ht="15.75" thickBot="1">
      <c r="B49"/>
      <c r="C49"/>
      <c r="D49"/>
      <c r="E49"/>
      <c r="F49"/>
      <c r="M49" s="246"/>
      <c r="R49" s="47"/>
      <c r="S49" s="48"/>
      <c r="W49" s="9"/>
    </row>
    <row r="50" spans="2:23" ht="15.75" thickBot="1">
      <c r="B50"/>
      <c r="C50"/>
      <c r="D50"/>
      <c r="E50"/>
      <c r="F50"/>
      <c r="H50" s="190" t="s">
        <v>86</v>
      </c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2"/>
    </row>
    <row r="51" spans="2:23">
      <c r="B51"/>
      <c r="C51"/>
      <c r="D51"/>
      <c r="E51"/>
      <c r="F51"/>
      <c r="H51" s="44" t="s">
        <v>43</v>
      </c>
      <c r="W51" s="49"/>
    </row>
    <row r="52" spans="2:23">
      <c r="B52"/>
      <c r="C52"/>
      <c r="D52"/>
      <c r="E52"/>
      <c r="F52"/>
      <c r="H52" s="43" t="s">
        <v>23</v>
      </c>
      <c r="J52" s="47"/>
      <c r="K52" s="47"/>
      <c r="L52" s="145"/>
      <c r="M52" s="145">
        <f t="shared" ref="M52:W52" ca="1" si="25">IF(M16&gt;$P$8,0,IF(M16=$M$8,L55+$C$21,L55))</f>
        <v>33536990.437846001</v>
      </c>
      <c r="N52" s="145">
        <f t="shared" ca="1" si="25"/>
        <v>33536990.437846001</v>
      </c>
      <c r="O52" s="145">
        <f t="shared" ca="1" si="25"/>
        <v>33536990.437846001</v>
      </c>
      <c r="P52" s="145">
        <f t="shared" ca="1" si="25"/>
        <v>33536990.437846001</v>
      </c>
      <c r="Q52" s="145">
        <f t="shared" ca="1" si="25"/>
        <v>33536990.437846001</v>
      </c>
      <c r="R52" s="145">
        <f t="shared" si="25"/>
        <v>0</v>
      </c>
      <c r="S52" s="145">
        <f t="shared" si="25"/>
        <v>0</v>
      </c>
      <c r="T52" s="145">
        <f t="shared" si="25"/>
        <v>0</v>
      </c>
      <c r="U52" s="145">
        <f t="shared" si="25"/>
        <v>0</v>
      </c>
      <c r="V52" s="145">
        <f t="shared" si="25"/>
        <v>0</v>
      </c>
      <c r="W52" s="146">
        <f t="shared" si="25"/>
        <v>0</v>
      </c>
    </row>
    <row r="53" spans="2:23">
      <c r="B53"/>
      <c r="C53"/>
      <c r="D53"/>
      <c r="E53"/>
      <c r="F53"/>
      <c r="H53" s="43" t="s">
        <v>25</v>
      </c>
      <c r="J53" s="47"/>
      <c r="K53" s="47"/>
      <c r="L53" s="145"/>
      <c r="M53" s="284">
        <f ca="1">-IF(M16&gt;$P$8,0,M52*$U$7)</f>
        <v>-2515274.2828384498</v>
      </c>
      <c r="N53" s="284">
        <f t="shared" ref="N53:W53" ca="1" si="26">-IF(N16&gt;$P$8,0,N52*$U$7)</f>
        <v>-2515274.2828384498</v>
      </c>
      <c r="O53" s="284">
        <f t="shared" ca="1" si="26"/>
        <v>-2515274.2828384498</v>
      </c>
      <c r="P53" s="284">
        <f t="shared" ca="1" si="26"/>
        <v>-2515274.2828384498</v>
      </c>
      <c r="Q53" s="284">
        <f t="shared" ca="1" si="26"/>
        <v>-2515274.2828384498</v>
      </c>
      <c r="R53" s="284">
        <f t="shared" si="26"/>
        <v>0</v>
      </c>
      <c r="S53" s="284">
        <f t="shared" si="26"/>
        <v>0</v>
      </c>
      <c r="T53" s="284">
        <f t="shared" si="26"/>
        <v>0</v>
      </c>
      <c r="U53" s="284">
        <f t="shared" si="26"/>
        <v>0</v>
      </c>
      <c r="V53" s="284">
        <f t="shared" si="26"/>
        <v>0</v>
      </c>
      <c r="W53" s="285">
        <f t="shared" si="26"/>
        <v>0</v>
      </c>
    </row>
    <row r="54" spans="2:23">
      <c r="B54"/>
      <c r="C54"/>
      <c r="D54"/>
      <c r="E54"/>
      <c r="F54"/>
      <c r="H54" s="51" t="s">
        <v>24</v>
      </c>
      <c r="I54" s="3"/>
      <c r="J54" s="56"/>
      <c r="K54" s="56"/>
      <c r="L54" s="34"/>
      <c r="M54" s="286">
        <f>IF(OR(M16&gt;$P$8,AND(M16&lt;=$U$9,$U$8="Yes")),0,PPMT($U$7,M16,$U$10,$U$5))</f>
        <v>0</v>
      </c>
      <c r="N54" s="286">
        <f t="shared" ref="N54:W54" si="27">IF(OR(N16&gt;$P$8,AND(N16&lt;=$U$9,$U$8="Yes")),0,PPMT($U$7,N16,$U$10,$U$5))</f>
        <v>0</v>
      </c>
      <c r="O54" s="286">
        <f t="shared" si="27"/>
        <v>0</v>
      </c>
      <c r="P54" s="286">
        <f t="shared" si="27"/>
        <v>0</v>
      </c>
      <c r="Q54" s="286">
        <f t="shared" si="27"/>
        <v>0</v>
      </c>
      <c r="R54" s="286">
        <f t="shared" si="27"/>
        <v>0</v>
      </c>
      <c r="S54" s="286">
        <f t="shared" si="27"/>
        <v>0</v>
      </c>
      <c r="T54" s="286">
        <f t="shared" si="27"/>
        <v>0</v>
      </c>
      <c r="U54" s="286">
        <f t="shared" si="27"/>
        <v>0</v>
      </c>
      <c r="V54" s="286">
        <f t="shared" si="27"/>
        <v>0</v>
      </c>
      <c r="W54" s="287">
        <f t="shared" si="27"/>
        <v>0</v>
      </c>
    </row>
    <row r="55" spans="2:23">
      <c r="B55"/>
      <c r="C55"/>
      <c r="D55"/>
      <c r="E55"/>
      <c r="F55"/>
      <c r="H55" s="43" t="s">
        <v>26</v>
      </c>
      <c r="L55" s="193">
        <f ca="1">C16</f>
        <v>33536990.437846001</v>
      </c>
      <c r="M55" s="193">
        <f ca="1">M52+M54</f>
        <v>33536990.437846001</v>
      </c>
      <c r="N55" s="193">
        <f ca="1">N52+N54</f>
        <v>33536990.437846001</v>
      </c>
      <c r="O55" s="193">
        <f ca="1">O52+O54</f>
        <v>33536990.437846001</v>
      </c>
      <c r="P55" s="193">
        <f ca="1">P52+P54</f>
        <v>33536990.437846001</v>
      </c>
      <c r="Q55" s="193">
        <f ca="1">Q52+Q54</f>
        <v>33536990.437846001</v>
      </c>
      <c r="R55" s="193">
        <f t="shared" ref="R55:W55" si="28">R52+R54</f>
        <v>0</v>
      </c>
      <c r="S55" s="193">
        <f t="shared" si="28"/>
        <v>0</v>
      </c>
      <c r="T55" s="193">
        <f t="shared" si="28"/>
        <v>0</v>
      </c>
      <c r="U55" s="193">
        <f t="shared" si="28"/>
        <v>0</v>
      </c>
      <c r="V55" s="193">
        <f t="shared" si="28"/>
        <v>0</v>
      </c>
      <c r="W55" s="194">
        <f t="shared" si="28"/>
        <v>0</v>
      </c>
    </row>
    <row r="56" spans="2:23">
      <c r="B56"/>
      <c r="C56"/>
      <c r="D56"/>
      <c r="E56"/>
      <c r="F56"/>
      <c r="H56" s="43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46"/>
    </row>
    <row r="57" spans="2:23">
      <c r="B57"/>
      <c r="C57"/>
      <c r="D57"/>
      <c r="E57"/>
      <c r="F57"/>
      <c r="H57" s="195">
        <f ca="1">MIN(M57:W57)</f>
        <v>1.4222857806039799</v>
      </c>
      <c r="L57" s="19"/>
      <c r="M57" s="196">
        <f t="shared" ref="M57:W57" ca="1" si="29">IFERROR(M43/-SUM(M53:M54),"")</f>
        <v>1.4222857806039799</v>
      </c>
      <c r="N57" s="196">
        <f t="shared" ca="1" si="29"/>
        <v>1.8001605247357295</v>
      </c>
      <c r="O57" s="196">
        <f t="shared" ca="1" si="29"/>
        <v>2.1860673658182632</v>
      </c>
      <c r="P57" s="196">
        <f t="shared" ca="1" si="29"/>
        <v>2.4084956627956466</v>
      </c>
      <c r="Q57" s="196">
        <f t="shared" ca="1" si="29"/>
        <v>2.4971338496831743</v>
      </c>
      <c r="R57" s="196" t="str">
        <f t="shared" si="29"/>
        <v/>
      </c>
      <c r="S57" s="196" t="str">
        <f t="shared" si="29"/>
        <v/>
      </c>
      <c r="T57" s="196" t="str">
        <f t="shared" si="29"/>
        <v/>
      </c>
      <c r="U57" s="196" t="str">
        <f t="shared" si="29"/>
        <v/>
      </c>
      <c r="V57" s="196" t="str">
        <f t="shared" si="29"/>
        <v/>
      </c>
      <c r="W57" s="197" t="str">
        <f t="shared" si="29"/>
        <v/>
      </c>
    </row>
    <row r="58" spans="2:23" ht="15.75" thickBot="1">
      <c r="B58"/>
      <c r="C58"/>
      <c r="D58"/>
      <c r="E58"/>
      <c r="F58"/>
      <c r="H58" s="198">
        <f ca="1">MIN(M58:W58)</f>
        <v>0.10667143354529848</v>
      </c>
      <c r="I58" s="63"/>
      <c r="J58" s="63"/>
      <c r="K58" s="63"/>
      <c r="L58" s="199"/>
      <c r="M58" s="183">
        <f t="shared" ref="M58:W58" ca="1" si="30">IF(M43=0,"",M43/M$55)</f>
        <v>0.10667143354529848</v>
      </c>
      <c r="N58" s="183">
        <f t="shared" ca="1" si="30"/>
        <v>0.13501203935517969</v>
      </c>
      <c r="O58" s="183">
        <f t="shared" ca="1" si="30"/>
        <v>0.16395505243636974</v>
      </c>
      <c r="P58" s="183">
        <f t="shared" ca="1" si="30"/>
        <v>0.18063717470967347</v>
      </c>
      <c r="Q58" s="183">
        <f t="shared" ca="1" si="30"/>
        <v>0.18728503872623806</v>
      </c>
      <c r="R58" s="183" t="str">
        <f t="shared" si="30"/>
        <v/>
      </c>
      <c r="S58" s="183" t="str">
        <f t="shared" si="30"/>
        <v/>
      </c>
      <c r="T58" s="183" t="str">
        <f t="shared" si="30"/>
        <v/>
      </c>
      <c r="U58" s="183" t="str">
        <f t="shared" si="30"/>
        <v/>
      </c>
      <c r="V58" s="183" t="str">
        <f t="shared" si="30"/>
        <v/>
      </c>
      <c r="W58" s="184" t="str">
        <f t="shared" si="30"/>
        <v/>
      </c>
    </row>
    <row r="59" spans="2:23" ht="15.75" thickBot="1">
      <c r="B59"/>
      <c r="C59"/>
      <c r="D59"/>
      <c r="E59"/>
      <c r="F59"/>
      <c r="H59" s="62"/>
      <c r="I59" s="63"/>
      <c r="J59" s="63"/>
      <c r="K59" s="63"/>
      <c r="L59" s="199"/>
      <c r="M59" s="247"/>
      <c r="N59" s="64"/>
      <c r="O59" s="255"/>
      <c r="P59" s="64"/>
      <c r="Q59" s="64"/>
      <c r="R59" s="64"/>
      <c r="S59" s="64"/>
      <c r="T59" s="64"/>
      <c r="U59" s="64"/>
      <c r="V59" s="64"/>
      <c r="W59" s="65"/>
    </row>
    <row r="60" spans="2:23">
      <c r="B60"/>
      <c r="C60"/>
      <c r="D60"/>
      <c r="E60"/>
      <c r="F60"/>
      <c r="H60" s="200" t="s">
        <v>38</v>
      </c>
      <c r="I60" s="201"/>
      <c r="J60" s="201"/>
      <c r="K60" s="201"/>
      <c r="L60" s="202"/>
      <c r="M60" s="203">
        <f ca="1">M47+SUM(M53:M54)</f>
        <v>1062164.5639615506</v>
      </c>
      <c r="N60" s="203">
        <f ca="1">N47+SUM(N53:N54)</f>
        <v>2012623.1900102999</v>
      </c>
      <c r="O60" s="203">
        <f ca="1">O47+SUM(O53:O54)</f>
        <v>2983284.7429566216</v>
      </c>
      <c r="P60" s="203">
        <f ca="1">P47+SUM(P53:P54)</f>
        <v>3542752.9181193868</v>
      </c>
      <c r="Q60" s="203">
        <f ca="1">Q47+SUM(Q53:Q54)</f>
        <v>3765702.2700750139</v>
      </c>
      <c r="R60" s="203">
        <f t="shared" ref="R60:W60" si="31">R47+SUM(R53:R54)</f>
        <v>0</v>
      </c>
      <c r="S60" s="203">
        <f t="shared" si="31"/>
        <v>0</v>
      </c>
      <c r="T60" s="203">
        <f t="shared" si="31"/>
        <v>0</v>
      </c>
      <c r="U60" s="203">
        <f t="shared" si="31"/>
        <v>0</v>
      </c>
      <c r="V60" s="203">
        <f t="shared" si="31"/>
        <v>0</v>
      </c>
      <c r="W60" s="204">
        <f t="shared" si="31"/>
        <v>0</v>
      </c>
    </row>
    <row r="61" spans="2:23" ht="15.75" thickBot="1">
      <c r="B61"/>
      <c r="C61"/>
      <c r="D61"/>
      <c r="E61"/>
      <c r="F61"/>
      <c r="H61" s="189">
        <f ca="1">AVERAGE(M61:W61)</f>
        <v>0.14803684582988214</v>
      </c>
      <c r="I61" s="63"/>
      <c r="J61" s="63"/>
      <c r="K61" s="63"/>
      <c r="L61" s="199"/>
      <c r="M61" s="183">
        <f t="shared" ref="M61:W61" ca="1" si="32">IF(M60=0,"",M60/-$L$83)</f>
        <v>5.8818376584125788E-2</v>
      </c>
      <c r="N61" s="183">
        <f t="shared" ca="1" si="32"/>
        <v>0.11145093023104806</v>
      </c>
      <c r="O61" s="183">
        <f t="shared" ca="1" si="32"/>
        <v>0.16520224023897243</v>
      </c>
      <c r="P61" s="183">
        <f t="shared" ca="1" si="32"/>
        <v>0.19618332446082221</v>
      </c>
      <c r="Q61" s="183">
        <f t="shared" ca="1" si="32"/>
        <v>0.20852935763444216</v>
      </c>
      <c r="R61" s="183" t="str">
        <f t="shared" si="32"/>
        <v/>
      </c>
      <c r="S61" s="183" t="str">
        <f t="shared" si="32"/>
        <v/>
      </c>
      <c r="T61" s="183" t="str">
        <f t="shared" si="32"/>
        <v/>
      </c>
      <c r="U61" s="183" t="str">
        <f t="shared" si="32"/>
        <v/>
      </c>
      <c r="V61" s="183" t="str">
        <f t="shared" si="32"/>
        <v/>
      </c>
      <c r="W61" s="184" t="str">
        <f t="shared" si="32"/>
        <v/>
      </c>
    </row>
    <row r="62" spans="2:23" ht="15.75" thickBot="1">
      <c r="B62"/>
      <c r="C62"/>
      <c r="D62"/>
      <c r="E62"/>
      <c r="F62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29"/>
    </row>
    <row r="63" spans="2:23" ht="15.75" thickBot="1">
      <c r="B63"/>
      <c r="C63"/>
      <c r="D63"/>
      <c r="E63"/>
      <c r="F63"/>
      <c r="H63" s="234" t="s">
        <v>27</v>
      </c>
      <c r="I63" s="235"/>
      <c r="J63" s="235"/>
      <c r="K63" s="235"/>
      <c r="L63" s="236">
        <f>C11</f>
        <v>45444</v>
      </c>
      <c r="M63" s="237">
        <f t="shared" ref="M63:W63" si="33">M16</f>
        <v>1</v>
      </c>
      <c r="N63" s="237">
        <f t="shared" si="33"/>
        <v>2</v>
      </c>
      <c r="O63" s="237">
        <f t="shared" si="33"/>
        <v>3</v>
      </c>
      <c r="P63" s="237">
        <f t="shared" si="33"/>
        <v>4</v>
      </c>
      <c r="Q63" s="237">
        <f t="shared" si="33"/>
        <v>5</v>
      </c>
      <c r="R63" s="237">
        <f t="shared" si="33"/>
        <v>6</v>
      </c>
      <c r="S63" s="237">
        <f t="shared" si="33"/>
        <v>7</v>
      </c>
      <c r="T63" s="237">
        <f t="shared" si="33"/>
        <v>8</v>
      </c>
      <c r="U63" s="237">
        <f t="shared" si="33"/>
        <v>9</v>
      </c>
      <c r="V63" s="237">
        <f t="shared" si="33"/>
        <v>10</v>
      </c>
      <c r="W63" s="238">
        <f t="shared" si="33"/>
        <v>11</v>
      </c>
    </row>
    <row r="64" spans="2:23">
      <c r="B64"/>
      <c r="C64"/>
      <c r="D64"/>
      <c r="E64"/>
      <c r="F64"/>
      <c r="H64" s="43" t="s">
        <v>13</v>
      </c>
      <c r="L64" s="68">
        <f>-I5</f>
        <v>-48000000</v>
      </c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148"/>
    </row>
    <row r="65" spans="2:24">
      <c r="B65"/>
      <c r="C65"/>
      <c r="D65"/>
      <c r="E65"/>
      <c r="F65"/>
      <c r="H65" s="43" t="s">
        <v>11</v>
      </c>
      <c r="L65" s="68">
        <f>-I7</f>
        <v>-1440000</v>
      </c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148"/>
    </row>
    <row r="66" spans="2:24">
      <c r="B66"/>
      <c r="C66"/>
      <c r="D66"/>
      <c r="E66"/>
      <c r="F66"/>
      <c r="H66" s="43" t="s">
        <v>22</v>
      </c>
      <c r="L66" s="68">
        <f t="shared" ref="L66:W66" si="34">IF(L16=$M$8,-$I$8,0)</f>
        <v>-1820000</v>
      </c>
      <c r="M66" s="68">
        <f t="shared" si="34"/>
        <v>0</v>
      </c>
      <c r="N66" s="68">
        <f t="shared" si="34"/>
        <v>0</v>
      </c>
      <c r="O66" s="68">
        <f t="shared" si="34"/>
        <v>0</v>
      </c>
      <c r="P66" s="68">
        <f t="shared" si="34"/>
        <v>0</v>
      </c>
      <c r="Q66" s="68">
        <f t="shared" si="34"/>
        <v>0</v>
      </c>
      <c r="R66" s="68">
        <f t="shared" si="34"/>
        <v>0</v>
      </c>
      <c r="S66" s="68">
        <f t="shared" si="34"/>
        <v>0</v>
      </c>
      <c r="T66" s="68">
        <f t="shared" si="34"/>
        <v>0</v>
      </c>
      <c r="U66" s="68">
        <f t="shared" si="34"/>
        <v>0</v>
      </c>
      <c r="V66" s="68">
        <f t="shared" si="34"/>
        <v>0</v>
      </c>
      <c r="W66" s="148">
        <f t="shared" si="34"/>
        <v>0</v>
      </c>
    </row>
    <row r="67" spans="2:24">
      <c r="B67"/>
      <c r="C67"/>
      <c r="D67"/>
      <c r="E67"/>
      <c r="F67"/>
      <c r="H67" s="43" t="s">
        <v>31</v>
      </c>
      <c r="L67" s="68"/>
      <c r="M67" s="68">
        <f>M47</f>
        <v>3577438.8468000004</v>
      </c>
      <c r="N67" s="68">
        <f>N47</f>
        <v>4527897.4728487497</v>
      </c>
      <c r="O67" s="68">
        <f>O47</f>
        <v>5498559.0257950714</v>
      </c>
      <c r="P67" s="68">
        <f>P47</f>
        <v>6058027.2009578366</v>
      </c>
      <c r="Q67" s="68">
        <f>Q47</f>
        <v>6280976.5529134637</v>
      </c>
      <c r="R67" s="68">
        <f t="shared" ref="R67:W67" si="35">R47</f>
        <v>0</v>
      </c>
      <c r="S67" s="68">
        <f t="shared" si="35"/>
        <v>0</v>
      </c>
      <c r="T67" s="68">
        <f t="shared" si="35"/>
        <v>0</v>
      </c>
      <c r="U67" s="68">
        <f t="shared" si="35"/>
        <v>0</v>
      </c>
      <c r="V67" s="68">
        <f t="shared" si="35"/>
        <v>0</v>
      </c>
      <c r="W67" s="148">
        <f t="shared" si="35"/>
        <v>0</v>
      </c>
    </row>
    <row r="68" spans="2:24">
      <c r="B68"/>
      <c r="C68"/>
      <c r="D68"/>
      <c r="E68"/>
      <c r="F68"/>
      <c r="H68" s="43" t="s">
        <v>28</v>
      </c>
      <c r="L68" s="68"/>
      <c r="M68" s="68">
        <f t="shared" ref="M68:W68" si="36">IF(M$16=$P$8,$P$5,0)</f>
        <v>0</v>
      </c>
      <c r="N68" s="68">
        <f t="shared" si="36"/>
        <v>0</v>
      </c>
      <c r="O68" s="68">
        <f t="shared" si="36"/>
        <v>0</v>
      </c>
      <c r="P68" s="68">
        <f t="shared" si="36"/>
        <v>0</v>
      </c>
      <c r="Q68" s="68">
        <f t="shared" si="36"/>
        <v>78512206.911418289</v>
      </c>
      <c r="R68" s="68">
        <f t="shared" si="36"/>
        <v>0</v>
      </c>
      <c r="S68" s="68">
        <f t="shared" si="36"/>
        <v>0</v>
      </c>
      <c r="T68" s="68">
        <f t="shared" si="36"/>
        <v>0</v>
      </c>
      <c r="U68" s="68">
        <f t="shared" si="36"/>
        <v>0</v>
      </c>
      <c r="V68" s="68">
        <f t="shared" si="36"/>
        <v>0</v>
      </c>
      <c r="W68" s="148">
        <f t="shared" si="36"/>
        <v>0</v>
      </c>
    </row>
    <row r="69" spans="2:24">
      <c r="B69"/>
      <c r="C69"/>
      <c r="D69"/>
      <c r="E69"/>
      <c r="F69"/>
      <c r="H69" s="51" t="s">
        <v>29</v>
      </c>
      <c r="I69" s="3"/>
      <c r="J69" s="3"/>
      <c r="K69" s="3"/>
      <c r="L69" s="72"/>
      <c r="M69" s="72">
        <f t="shared" ref="M69:W69" si="37">IF(M$16=$P$7,-$P$9,0)</f>
        <v>0</v>
      </c>
      <c r="N69" s="72">
        <f t="shared" si="37"/>
        <v>0</v>
      </c>
      <c r="O69" s="72">
        <f t="shared" si="37"/>
        <v>0</v>
      </c>
      <c r="P69" s="72">
        <f t="shared" si="37"/>
        <v>0</v>
      </c>
      <c r="Q69" s="72">
        <f t="shared" si="37"/>
        <v>-1570244.1382283659</v>
      </c>
      <c r="R69" s="72">
        <f t="shared" si="37"/>
        <v>0</v>
      </c>
      <c r="S69" s="72">
        <f t="shared" si="37"/>
        <v>0</v>
      </c>
      <c r="T69" s="72">
        <f t="shared" si="37"/>
        <v>0</v>
      </c>
      <c r="U69" s="72">
        <f t="shared" si="37"/>
        <v>0</v>
      </c>
      <c r="V69" s="72">
        <f t="shared" si="37"/>
        <v>0</v>
      </c>
      <c r="W69" s="205">
        <f t="shared" si="37"/>
        <v>0</v>
      </c>
    </row>
    <row r="70" spans="2:24" ht="15.75" thickBot="1">
      <c r="B70"/>
      <c r="C70"/>
      <c r="D70"/>
      <c r="E70"/>
      <c r="F70"/>
      <c r="H70" s="90" t="s">
        <v>30</v>
      </c>
      <c r="I70" s="63"/>
      <c r="J70" s="63"/>
      <c r="K70" s="63"/>
      <c r="L70" s="206">
        <f t="shared" ref="L70:W70" si="38">SUM(L64:L69)</f>
        <v>-51260000</v>
      </c>
      <c r="M70" s="206">
        <f t="shared" si="38"/>
        <v>3577438.8468000004</v>
      </c>
      <c r="N70" s="206">
        <f t="shared" si="38"/>
        <v>4527897.4728487497</v>
      </c>
      <c r="O70" s="206">
        <f t="shared" si="38"/>
        <v>5498559.0257950714</v>
      </c>
      <c r="P70" s="206">
        <f t="shared" si="38"/>
        <v>6058027.2009578366</v>
      </c>
      <c r="Q70" s="206">
        <f t="shared" si="38"/>
        <v>83222939.326103374</v>
      </c>
      <c r="R70" s="206">
        <f t="shared" si="38"/>
        <v>0</v>
      </c>
      <c r="S70" s="206">
        <f t="shared" si="38"/>
        <v>0</v>
      </c>
      <c r="T70" s="206">
        <f t="shared" si="38"/>
        <v>0</v>
      </c>
      <c r="U70" s="206">
        <f t="shared" si="38"/>
        <v>0</v>
      </c>
      <c r="V70" s="206">
        <f t="shared" si="38"/>
        <v>0</v>
      </c>
      <c r="W70" s="207">
        <f t="shared" si="38"/>
        <v>0</v>
      </c>
    </row>
    <row r="71" spans="2:24">
      <c r="B71"/>
      <c r="C71"/>
      <c r="D71"/>
      <c r="E71"/>
      <c r="F71"/>
    </row>
    <row r="72" spans="2:24" ht="15.75" thickBot="1">
      <c r="B72"/>
      <c r="C72"/>
      <c r="D72"/>
      <c r="E72"/>
      <c r="F72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29"/>
    </row>
    <row r="73" spans="2:24" ht="15.75" thickBot="1">
      <c r="B73"/>
      <c r="C73"/>
      <c r="D73"/>
      <c r="E73"/>
      <c r="F73"/>
      <c r="H73" s="234" t="s">
        <v>48</v>
      </c>
      <c r="I73" s="235"/>
      <c r="J73" s="235"/>
      <c r="K73" s="235"/>
      <c r="L73" s="236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8"/>
    </row>
    <row r="74" spans="2:24">
      <c r="B74"/>
      <c r="C74"/>
      <c r="D74"/>
      <c r="E74"/>
      <c r="F74"/>
      <c r="H74" s="43" t="s">
        <v>13</v>
      </c>
      <c r="L74" s="68">
        <f>-I5</f>
        <v>-48000000</v>
      </c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148"/>
    </row>
    <row r="75" spans="2:24">
      <c r="B75"/>
      <c r="C75"/>
      <c r="D75"/>
      <c r="E75"/>
      <c r="F75"/>
      <c r="H75" s="43" t="s">
        <v>22</v>
      </c>
      <c r="L75" s="68">
        <f>IF(L$16=$M$8,-$I$8,0)</f>
        <v>-1820000</v>
      </c>
      <c r="M75" s="68">
        <f t="shared" ref="M75:W75" si="39">IF(M$16=$M$8,-$I$8*(1-$V$5),0)</f>
        <v>0</v>
      </c>
      <c r="N75" s="68">
        <f t="shared" si="39"/>
        <v>0</v>
      </c>
      <c r="O75" s="68">
        <f t="shared" si="39"/>
        <v>0</v>
      </c>
      <c r="P75" s="68">
        <f t="shared" si="39"/>
        <v>0</v>
      </c>
      <c r="Q75" s="68">
        <f t="shared" si="39"/>
        <v>0</v>
      </c>
      <c r="R75" s="68">
        <f t="shared" si="39"/>
        <v>0</v>
      </c>
      <c r="S75" s="68">
        <f t="shared" si="39"/>
        <v>0</v>
      </c>
      <c r="T75" s="68">
        <f t="shared" si="39"/>
        <v>0</v>
      </c>
      <c r="U75" s="68">
        <f t="shared" si="39"/>
        <v>0</v>
      </c>
      <c r="V75" s="68">
        <f t="shared" si="39"/>
        <v>0</v>
      </c>
      <c r="W75" s="148">
        <f t="shared" si="39"/>
        <v>0</v>
      </c>
      <c r="X75" s="76"/>
    </row>
    <row r="76" spans="2:24">
      <c r="B76"/>
      <c r="C76"/>
      <c r="D76"/>
      <c r="E76"/>
      <c r="F76"/>
      <c r="H76" s="43" t="s">
        <v>11</v>
      </c>
      <c r="L76" s="68">
        <f>-I7</f>
        <v>-1440000</v>
      </c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148"/>
    </row>
    <row r="77" spans="2:24">
      <c r="B77"/>
      <c r="C77"/>
      <c r="D77"/>
      <c r="E77"/>
      <c r="F77"/>
      <c r="H77" s="43" t="s">
        <v>43</v>
      </c>
      <c r="L77" s="68">
        <f ca="1">+U5</f>
        <v>33536990.437846001</v>
      </c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148"/>
    </row>
    <row r="78" spans="2:24">
      <c r="B78"/>
      <c r="C78"/>
      <c r="D78"/>
      <c r="E78"/>
      <c r="F78"/>
      <c r="H78" s="43" t="s">
        <v>20</v>
      </c>
      <c r="L78" s="68">
        <f ca="1">-I9</f>
        <v>-335369.90437846002</v>
      </c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148"/>
    </row>
    <row r="79" spans="2:24">
      <c r="B79"/>
      <c r="C79"/>
      <c r="D79"/>
      <c r="E79"/>
      <c r="F79"/>
      <c r="H79" s="43" t="s">
        <v>36</v>
      </c>
      <c r="L79" s="68"/>
      <c r="M79" s="68">
        <f t="shared" ref="M79:W79" ca="1" si="40">IF(M63&gt;$P$8,0,M60)</f>
        <v>1062164.5639615506</v>
      </c>
      <c r="N79" s="68">
        <f t="shared" ca="1" si="40"/>
        <v>2012623.1900102999</v>
      </c>
      <c r="O79" s="68">
        <f t="shared" ca="1" si="40"/>
        <v>2983284.7429566216</v>
      </c>
      <c r="P79" s="68">
        <f t="shared" ca="1" si="40"/>
        <v>3542752.9181193868</v>
      </c>
      <c r="Q79" s="68">
        <f t="shared" ca="1" si="40"/>
        <v>3765702.2700750139</v>
      </c>
      <c r="R79" s="68">
        <f t="shared" si="40"/>
        <v>0</v>
      </c>
      <c r="S79" s="68">
        <f t="shared" si="40"/>
        <v>0</v>
      </c>
      <c r="T79" s="68">
        <f t="shared" si="40"/>
        <v>0</v>
      </c>
      <c r="U79" s="68">
        <f t="shared" si="40"/>
        <v>0</v>
      </c>
      <c r="V79" s="68">
        <f t="shared" si="40"/>
        <v>0</v>
      </c>
      <c r="W79" s="148">
        <f t="shared" si="40"/>
        <v>0</v>
      </c>
    </row>
    <row r="80" spans="2:24">
      <c r="B80"/>
      <c r="C80"/>
      <c r="D80"/>
      <c r="E80"/>
      <c r="F80"/>
      <c r="H80" s="43" t="s">
        <v>28</v>
      </c>
      <c r="L80" s="68"/>
      <c r="M80" s="68">
        <f t="shared" ref="M80:W80" si="41">IF(M$16=$P$8,$P$5,0)</f>
        <v>0</v>
      </c>
      <c r="N80" s="68">
        <f t="shared" si="41"/>
        <v>0</v>
      </c>
      <c r="O80" s="68">
        <f t="shared" si="41"/>
        <v>0</v>
      </c>
      <c r="P80" s="68">
        <f t="shared" si="41"/>
        <v>0</v>
      </c>
      <c r="Q80" s="77">
        <f t="shared" si="41"/>
        <v>78512206.911418289</v>
      </c>
      <c r="R80" s="77">
        <f t="shared" si="41"/>
        <v>0</v>
      </c>
      <c r="S80" s="77">
        <f t="shared" si="41"/>
        <v>0</v>
      </c>
      <c r="T80" s="77">
        <f t="shared" si="41"/>
        <v>0</v>
      </c>
      <c r="U80" s="77">
        <f t="shared" si="41"/>
        <v>0</v>
      </c>
      <c r="V80" s="77">
        <f t="shared" si="41"/>
        <v>0</v>
      </c>
      <c r="W80" s="208">
        <f t="shared" si="41"/>
        <v>0</v>
      </c>
    </row>
    <row r="81" spans="2:23">
      <c r="B81"/>
      <c r="C81"/>
      <c r="D81"/>
      <c r="E81"/>
      <c r="F81"/>
      <c r="H81" s="43" t="s">
        <v>37</v>
      </c>
      <c r="L81" s="68"/>
      <c r="M81" s="68">
        <f t="shared" ref="M81:W81" si="42">IF(M$63=$P$8,-M$55,0)</f>
        <v>0</v>
      </c>
      <c r="N81" s="68">
        <f t="shared" si="42"/>
        <v>0</v>
      </c>
      <c r="O81" s="68">
        <f t="shared" si="42"/>
        <v>0</v>
      </c>
      <c r="P81" s="68">
        <f t="shared" si="42"/>
        <v>0</v>
      </c>
      <c r="Q81" s="68">
        <f t="shared" ca="1" si="42"/>
        <v>-33536990.437846001</v>
      </c>
      <c r="R81" s="68">
        <f t="shared" si="42"/>
        <v>0</v>
      </c>
      <c r="S81" s="68">
        <f t="shared" si="42"/>
        <v>0</v>
      </c>
      <c r="T81" s="68">
        <f t="shared" si="42"/>
        <v>0</v>
      </c>
      <c r="U81" s="68">
        <f t="shared" si="42"/>
        <v>0</v>
      </c>
      <c r="V81" s="68">
        <f t="shared" si="42"/>
        <v>0</v>
      </c>
      <c r="W81" s="148">
        <f t="shared" si="42"/>
        <v>0</v>
      </c>
    </row>
    <row r="82" spans="2:23">
      <c r="B82"/>
      <c r="C82"/>
      <c r="D82"/>
      <c r="E82"/>
      <c r="F82"/>
      <c r="H82" s="51" t="s">
        <v>29</v>
      </c>
      <c r="I82" s="3"/>
      <c r="J82" s="3"/>
      <c r="K82" s="3"/>
      <c r="L82" s="72"/>
      <c r="M82" s="72">
        <f t="shared" ref="M82:W82" si="43">IF(M$16=$P$7,-$P$9,0)</f>
        <v>0</v>
      </c>
      <c r="N82" s="72">
        <f t="shared" si="43"/>
        <v>0</v>
      </c>
      <c r="O82" s="72">
        <f t="shared" si="43"/>
        <v>0</v>
      </c>
      <c r="P82" s="72">
        <f t="shared" si="43"/>
        <v>0</v>
      </c>
      <c r="Q82" s="72">
        <f t="shared" si="43"/>
        <v>-1570244.1382283659</v>
      </c>
      <c r="R82" s="72">
        <f t="shared" si="43"/>
        <v>0</v>
      </c>
      <c r="S82" s="72">
        <f t="shared" si="43"/>
        <v>0</v>
      </c>
      <c r="T82" s="72">
        <f t="shared" si="43"/>
        <v>0</v>
      </c>
      <c r="U82" s="72">
        <f t="shared" si="43"/>
        <v>0</v>
      </c>
      <c r="V82" s="72">
        <f t="shared" si="43"/>
        <v>0</v>
      </c>
      <c r="W82" s="205">
        <f t="shared" si="43"/>
        <v>0</v>
      </c>
    </row>
    <row r="83" spans="2:23" ht="15.75" thickBot="1">
      <c r="H83" s="90" t="s">
        <v>35</v>
      </c>
      <c r="I83" s="63"/>
      <c r="J83" s="63"/>
      <c r="K83" s="63"/>
      <c r="L83" s="206">
        <f t="shared" ref="L83:W83" ca="1" si="44">SUM(L74:L82)</f>
        <v>-18058379.466532458</v>
      </c>
      <c r="M83" s="206">
        <f t="shared" ca="1" si="44"/>
        <v>1062164.5639615506</v>
      </c>
      <c r="N83" s="206">
        <f t="shared" ca="1" si="44"/>
        <v>2012623.1900102999</v>
      </c>
      <c r="O83" s="206">
        <f t="shared" ca="1" si="44"/>
        <v>2983284.7429566216</v>
      </c>
      <c r="P83" s="206">
        <f t="shared" ca="1" si="44"/>
        <v>3542752.9181193868</v>
      </c>
      <c r="Q83" s="206">
        <f t="shared" ca="1" si="44"/>
        <v>47170674.605418928</v>
      </c>
      <c r="R83" s="206">
        <f t="shared" si="44"/>
        <v>0</v>
      </c>
      <c r="S83" s="206">
        <f t="shared" si="44"/>
        <v>0</v>
      </c>
      <c r="T83" s="206">
        <f t="shared" si="44"/>
        <v>0</v>
      </c>
      <c r="U83" s="206">
        <f t="shared" si="44"/>
        <v>0</v>
      </c>
      <c r="V83" s="206">
        <f t="shared" si="44"/>
        <v>0</v>
      </c>
      <c r="W83" s="207">
        <f t="shared" si="44"/>
        <v>0</v>
      </c>
    </row>
  </sheetData>
  <conditionalFormatting sqref="M57:W57">
    <cfRule type="cellIs" dxfId="1" priority="13" operator="lessThan">
      <formula>1</formula>
    </cfRule>
  </conditionalFormatting>
  <conditionalFormatting sqref="AB30">
    <cfRule type="cellIs" dxfId="0" priority="1" operator="greaterThan">
      <formula>0.18</formula>
    </cfRule>
  </conditionalFormatting>
  <dataValidations disablePrompts="1" count="4">
    <dataValidation type="list" allowBlank="1" showInputMessage="1" showErrorMessage="1" sqref="C5" xr:uid="{56B2E735-91E0-491B-8037-283EFD9428E1}">
      <formula1>"Full Service,Limited Service"</formula1>
    </dataValidation>
    <dataValidation type="list" allowBlank="1" showInputMessage="1" showErrorMessage="1" sqref="U8" xr:uid="{FC61D455-F497-4337-8ECD-5A840161AE50}">
      <formula1>"Yes,No"</formula1>
    </dataValidation>
    <dataValidation type="list" allowBlank="1" showInputMessage="1" showErrorMessage="1" sqref="L15" xr:uid="{5240064A-1AC0-41C6-AA20-9617852F9610}">
      <formula1>"Y,N"</formula1>
    </dataValidation>
    <dataValidation type="list" allowBlank="1" showInputMessage="1" showErrorMessage="1" sqref="J6" xr:uid="{F5EE5068-E78A-445B-B514-F1E821165E50}">
      <formula1>$I$17:$K$17</formula1>
    </dataValidation>
  </dataValidations>
  <pageMargins left="0.25" right="0.25" top="0.75" bottom="0.75" header="0.3" footer="0.3"/>
  <pageSetup scale="20" orientation="landscape" r:id="rId1"/>
  <headerFooter>
    <oddFooter>&amp;L&amp;"Times New Roman,Regular"&amp;9&amp;D &amp;T&amp;C&amp;"Times New Roman,Bold"&amp;9&amp;KFF0000[CONFIDENTIAL]&amp;R&amp;G</oddFooter>
  </headerFooter>
  <ignoredErrors>
    <ignoredError sqref="M25 P23:W23" formula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46EC-C100-4D58-86D1-5A2301405AEF}">
  <dimension ref="B2:I101"/>
  <sheetViews>
    <sheetView showGridLines="0" tabSelected="1" zoomScale="85" zoomScaleNormal="85" workbookViewId="0">
      <selection activeCell="M51" sqref="M51"/>
    </sheetView>
  </sheetViews>
  <sheetFormatPr defaultRowHeight="15"/>
  <cols>
    <col min="1" max="1" width="2.85546875" customWidth="1"/>
    <col min="2" max="2" width="47.5703125" customWidth="1"/>
    <col min="3" max="3" width="24.7109375" customWidth="1"/>
    <col min="4" max="9" width="21" customWidth="1"/>
  </cols>
  <sheetData>
    <row r="2" spans="2:4" ht="15.75">
      <c r="B2" s="298" t="s">
        <v>108</v>
      </c>
    </row>
    <row r="4" spans="2:4">
      <c r="B4" s="301" t="s">
        <v>109</v>
      </c>
    </row>
    <row r="5" spans="2:4">
      <c r="B5" s="299" t="s">
        <v>110</v>
      </c>
      <c r="C5" s="302">
        <f ca="1">Input!C17</f>
        <v>18058379.466532458</v>
      </c>
    </row>
    <row r="6" spans="2:4">
      <c r="B6" s="299" t="s">
        <v>111</v>
      </c>
      <c r="C6" s="303">
        <v>0.1</v>
      </c>
    </row>
    <row r="7" spans="2:4">
      <c r="B7" s="299" t="s">
        <v>112</v>
      </c>
      <c r="C7" s="304">
        <f>1-C6</f>
        <v>0.9</v>
      </c>
    </row>
    <row r="8" spans="2:4">
      <c r="B8" s="299" t="s">
        <v>113</v>
      </c>
      <c r="C8" s="302">
        <f ca="1">C5*C6</f>
        <v>1805837.9466532459</v>
      </c>
    </row>
    <row r="9" spans="2:4">
      <c r="B9" s="299" t="s">
        <v>114</v>
      </c>
      <c r="C9" s="302">
        <f ca="1">C5*C7</f>
        <v>16252541.519879213</v>
      </c>
    </row>
    <row r="11" spans="2:4">
      <c r="B11" s="301" t="s">
        <v>115</v>
      </c>
    </row>
    <row r="12" spans="2:4">
      <c r="B12" s="299" t="s">
        <v>116</v>
      </c>
      <c r="C12" s="305">
        <v>0.08</v>
      </c>
    </row>
    <row r="13" spans="2:4">
      <c r="B13" s="299" t="s">
        <v>117</v>
      </c>
      <c r="C13" s="303">
        <v>0.7</v>
      </c>
      <c r="D13" s="304">
        <f>1-C13</f>
        <v>0.30000000000000004</v>
      </c>
    </row>
    <row r="14" spans="2:4">
      <c r="B14" s="299" t="s">
        <v>118</v>
      </c>
      <c r="C14" s="306">
        <v>2</v>
      </c>
    </row>
    <row r="15" spans="2:4">
      <c r="B15" s="299" t="s">
        <v>119</v>
      </c>
      <c r="C15" s="303">
        <v>0.5</v>
      </c>
      <c r="D15" s="304">
        <f>1-C15</f>
        <v>0.5</v>
      </c>
    </row>
    <row r="18" spans="2:9" ht="15.75" thickBot="1">
      <c r="B18" s="307" t="s">
        <v>120</v>
      </c>
      <c r="C18" s="308"/>
      <c r="D18" s="308"/>
      <c r="E18" s="308"/>
      <c r="F18" s="308"/>
      <c r="G18" s="308"/>
      <c r="H18" s="308"/>
      <c r="I18" s="308"/>
    </row>
    <row r="19" spans="2:9">
      <c r="C19" s="300"/>
      <c r="D19" s="309">
        <f>Input!L17</f>
        <v>45444</v>
      </c>
      <c r="E19" s="309">
        <f>Input!M17</f>
        <v>45838</v>
      </c>
      <c r="F19" s="309">
        <f>Input!N17</f>
        <v>46203</v>
      </c>
      <c r="G19" s="309">
        <f>Input!O17</f>
        <v>46568</v>
      </c>
      <c r="H19" s="309">
        <f>Input!P17</f>
        <v>46934</v>
      </c>
      <c r="I19" s="309">
        <f>Input!Q17</f>
        <v>47299</v>
      </c>
    </row>
    <row r="20" spans="2:9">
      <c r="B20" s="299" t="s">
        <v>35</v>
      </c>
      <c r="D20" s="302">
        <f ca="1">Input!L83</f>
        <v>-18058379.466532458</v>
      </c>
      <c r="E20" s="302">
        <f ca="1">Input!M83</f>
        <v>1062164.5639615506</v>
      </c>
      <c r="F20" s="302">
        <f ca="1">Input!N83</f>
        <v>2012623.1900102999</v>
      </c>
      <c r="G20" s="302">
        <f ca="1">Input!O83</f>
        <v>2983284.7429566216</v>
      </c>
      <c r="H20" s="302">
        <f ca="1">Input!P83</f>
        <v>3542752.9181193868</v>
      </c>
      <c r="I20" s="302">
        <f ca="1">Input!Q83</f>
        <v>47170674.605418928</v>
      </c>
    </row>
    <row r="21" spans="2:9">
      <c r="B21" s="299" t="s">
        <v>121</v>
      </c>
      <c r="D21" s="302">
        <f ca="1">D20</f>
        <v>-18058379.466532458</v>
      </c>
      <c r="E21" s="302">
        <f ca="1">D21+E20</f>
        <v>-16996214.902570907</v>
      </c>
      <c r="F21" s="302">
        <f ca="1">E21+F20</f>
        <v>-14983591.712560607</v>
      </c>
      <c r="G21" s="302">
        <f ca="1">F21+G20</f>
        <v>-12000306.969603986</v>
      </c>
      <c r="H21" s="302">
        <f ca="1">G21+H20</f>
        <v>-8457554.0514845997</v>
      </c>
      <c r="I21" s="302">
        <f ca="1">H21+I20</f>
        <v>38713120.553934328</v>
      </c>
    </row>
    <row r="24" spans="2:9" ht="15.75" thickBot="1">
      <c r="B24" s="307" t="s">
        <v>122</v>
      </c>
      <c r="C24" s="308"/>
      <c r="D24" s="308"/>
      <c r="E24" s="308"/>
      <c r="F24" s="308"/>
      <c r="G24" s="308"/>
      <c r="H24" s="308"/>
      <c r="I24" s="308"/>
    </row>
    <row r="25" spans="2:9">
      <c r="D25" s="309">
        <f>D19</f>
        <v>45444</v>
      </c>
      <c r="E25" s="309">
        <f>E19</f>
        <v>45838</v>
      </c>
      <c r="F25" s="309">
        <f>F19</f>
        <v>46203</v>
      </c>
      <c r="G25" s="309">
        <f>G19</f>
        <v>46568</v>
      </c>
      <c r="H25" s="309">
        <f>H19</f>
        <v>46934</v>
      </c>
      <c r="I25" s="309">
        <f>I19</f>
        <v>47299</v>
      </c>
    </row>
    <row r="27" spans="2:9">
      <c r="B27" s="299" t="s">
        <v>123</v>
      </c>
      <c r="D27" s="302">
        <f ca="1">$C$9</f>
        <v>16252541.519879213</v>
      </c>
      <c r="E27" s="302">
        <f ca="1">D42</f>
        <v>16252541.519879213</v>
      </c>
      <c r="F27" s="302">
        <f ca="1">E42</f>
        <v>16252541.519879213</v>
      </c>
      <c r="G27" s="302">
        <f ca="1">F42</f>
        <v>15778160.409088036</v>
      </c>
      <c r="H27" s="302">
        <f ca="1">G42</f>
        <v>14057128.498858457</v>
      </c>
      <c r="I27" s="302">
        <f ca="1">H42</f>
        <v>11638945.860647747</v>
      </c>
    </row>
    <row r="28" spans="2:9">
      <c r="B28" s="299" t="s">
        <v>124</v>
      </c>
      <c r="E28" s="302">
        <f ca="1">E27*$C$12</f>
        <v>1300203.321590337</v>
      </c>
      <c r="F28" s="302">
        <f ca="1">F27*$C$12</f>
        <v>1300203.321590337</v>
      </c>
      <c r="G28" s="302">
        <f ca="1">G27*$C$12</f>
        <v>1262252.832727043</v>
      </c>
      <c r="H28" s="302">
        <f ca="1">H27*$C$12</f>
        <v>1124570.2799086766</v>
      </c>
      <c r="I28" s="302">
        <f ca="1">I27*$C$12</f>
        <v>931115.66885181982</v>
      </c>
    </row>
    <row r="29" spans="2:9">
      <c r="B29" s="299" t="s">
        <v>125</v>
      </c>
      <c r="E29" s="302">
        <f ca="1">E38</f>
        <v>1062164.5639615506</v>
      </c>
      <c r="F29" s="302">
        <f ca="1">F38</f>
        <v>1538242.0792191233</v>
      </c>
      <c r="G29" s="302">
        <f ca="1">G38</f>
        <v>1262252.832727043</v>
      </c>
      <c r="H29" s="302">
        <f ca="1">H38</f>
        <v>1124570.2799086766</v>
      </c>
      <c r="I29" s="302">
        <f ca="1">I38</f>
        <v>931115.66885181982</v>
      </c>
    </row>
    <row r="30" spans="2:9">
      <c r="B30" s="299" t="s">
        <v>126</v>
      </c>
      <c r="D30" s="302">
        <v>0</v>
      </c>
      <c r="E30" s="302">
        <f>D31</f>
        <v>0</v>
      </c>
      <c r="F30" s="302">
        <f ca="1">E31</f>
        <v>238038.75762878638</v>
      </c>
      <c r="G30" s="302">
        <f ca="1">F31</f>
        <v>0</v>
      </c>
      <c r="H30" s="302">
        <f ca="1">G31</f>
        <v>0</v>
      </c>
      <c r="I30" s="302">
        <f ca="1">H31</f>
        <v>0</v>
      </c>
    </row>
    <row r="31" spans="2:9">
      <c r="B31" s="299" t="s">
        <v>127</v>
      </c>
      <c r="D31" s="302">
        <v>0</v>
      </c>
      <c r="E31" s="302">
        <f ca="1">E30+E28-E29</f>
        <v>238038.75762878638</v>
      </c>
      <c r="F31" s="302">
        <f ca="1">F30+F28-F29</f>
        <v>0</v>
      </c>
      <c r="G31" s="302">
        <f ca="1">G30+G28-G29</f>
        <v>0</v>
      </c>
      <c r="H31" s="302">
        <f ca="1">H30+H28-H29</f>
        <v>0</v>
      </c>
      <c r="I31" s="302">
        <f ca="1">I30+I28-I29</f>
        <v>0</v>
      </c>
    </row>
    <row r="34" spans="2:9" ht="15.75" thickBot="1">
      <c r="B34" s="307" t="s">
        <v>128</v>
      </c>
      <c r="C34" s="308"/>
      <c r="D34" s="308"/>
      <c r="E34" s="308"/>
      <c r="F34" s="308"/>
      <c r="G34" s="308"/>
      <c r="H34" s="308"/>
      <c r="I34" s="308"/>
    </row>
    <row r="35" spans="2:9">
      <c r="D35" s="309">
        <f>D19</f>
        <v>45444</v>
      </c>
      <c r="E35" s="309">
        <f>E19</f>
        <v>45838</v>
      </c>
      <c r="F35" s="309">
        <f>F19</f>
        <v>46203</v>
      </c>
      <c r="G35" s="309">
        <f>G19</f>
        <v>46568</v>
      </c>
      <c r="H35" s="309">
        <f>H19</f>
        <v>46934</v>
      </c>
      <c r="I35" s="309">
        <f>I19</f>
        <v>47299</v>
      </c>
    </row>
    <row r="37" spans="2:9">
      <c r="B37" s="300" t="s">
        <v>129</v>
      </c>
      <c r="D37" s="302"/>
      <c r="E37" s="302">
        <f ca="1">E20</f>
        <v>1062164.5639615506</v>
      </c>
      <c r="F37" s="302">
        <f ca="1">F20</f>
        <v>2012623.1900102999</v>
      </c>
      <c r="G37" s="302">
        <f ca="1">G20</f>
        <v>2983284.7429566216</v>
      </c>
      <c r="H37" s="302">
        <f ca="1">H20</f>
        <v>3542752.9181193868</v>
      </c>
      <c r="I37" s="302">
        <f ca="1">I20</f>
        <v>47170674.605418928</v>
      </c>
    </row>
    <row r="38" spans="2:9">
      <c r="B38" s="299" t="s">
        <v>130</v>
      </c>
      <c r="E38" s="302">
        <f ca="1">MIN(E37,E30+E28)</f>
        <v>1062164.5639615506</v>
      </c>
      <c r="F38" s="302">
        <f ca="1">MIN(F37,F30+F28)</f>
        <v>1538242.0792191233</v>
      </c>
      <c r="G38" s="302">
        <f ca="1">MIN(G37,G30+G28)</f>
        <v>1262252.832727043</v>
      </c>
      <c r="H38" s="302">
        <f ca="1">MIN(H37,H30+H28)</f>
        <v>1124570.2799086766</v>
      </c>
      <c r="I38" s="302">
        <f ca="1">MIN(I37,I30+I28)</f>
        <v>931115.66885181982</v>
      </c>
    </row>
    <row r="39" spans="2:9">
      <c r="B39" s="314" t="s">
        <v>131</v>
      </c>
      <c r="C39" s="315"/>
      <c r="D39" s="315"/>
      <c r="E39" s="316">
        <f ca="1">E37-E38</f>
        <v>0</v>
      </c>
      <c r="F39" s="316">
        <f ca="1">F37-F38</f>
        <v>474381.11079117656</v>
      </c>
      <c r="G39" s="316">
        <f ca="1">G37-G38</f>
        <v>1721031.9102295786</v>
      </c>
      <c r="H39" s="316">
        <f ca="1">H37-H38</f>
        <v>2418182.6382107101</v>
      </c>
      <c r="I39" s="316">
        <f ca="1">I37-I38</f>
        <v>46239558.936567105</v>
      </c>
    </row>
    <row r="40" spans="2:9">
      <c r="B40" s="299"/>
      <c r="E40" s="302"/>
      <c r="F40" s="302"/>
      <c r="G40" s="302"/>
      <c r="H40" s="302"/>
      <c r="I40" s="302"/>
    </row>
    <row r="41" spans="2:9">
      <c r="B41" s="91" t="s">
        <v>132</v>
      </c>
      <c r="E41" s="302">
        <f ca="1">MIN(E39,E27)</f>
        <v>0</v>
      </c>
      <c r="F41" s="302">
        <f ca="1">MIN(F39,F27)</f>
        <v>474381.11079117656</v>
      </c>
      <c r="G41" s="302">
        <f ca="1">MIN(G39,G27)</f>
        <v>1721031.9102295786</v>
      </c>
      <c r="H41" s="302">
        <f ca="1">MIN(H39,H27)</f>
        <v>2418182.6382107101</v>
      </c>
      <c r="I41" s="302">
        <f ca="1">MIN(I39,I27)</f>
        <v>11638945.860647747</v>
      </c>
    </row>
    <row r="42" spans="2:9">
      <c r="B42" s="299" t="s">
        <v>133</v>
      </c>
      <c r="D42" s="302">
        <f ca="1">D27</f>
        <v>16252541.519879213</v>
      </c>
      <c r="E42" s="302">
        <f ca="1">E27-E41</f>
        <v>16252541.519879213</v>
      </c>
      <c r="F42" s="302">
        <f ca="1">F27-F41</f>
        <v>15778160.409088036</v>
      </c>
      <c r="G42" s="302">
        <f ca="1">G27-G41</f>
        <v>14057128.498858457</v>
      </c>
      <c r="H42" s="302">
        <f ca="1">H27-H41</f>
        <v>11638945.860647747</v>
      </c>
      <c r="I42" s="302">
        <f ca="1">I27-I41</f>
        <v>0</v>
      </c>
    </row>
    <row r="43" spans="2:9">
      <c r="B43" s="314" t="s">
        <v>134</v>
      </c>
      <c r="C43" s="315"/>
      <c r="D43" s="315"/>
      <c r="E43" s="316">
        <f ca="1">E39-E41</f>
        <v>0</v>
      </c>
      <c r="F43" s="316">
        <f ca="1">F39-F41</f>
        <v>0</v>
      </c>
      <c r="G43" s="316">
        <f ca="1">G39-G41</f>
        <v>0</v>
      </c>
      <c r="H43" s="316">
        <f ca="1">H39-H41</f>
        <v>0</v>
      </c>
      <c r="I43" s="316">
        <f ca="1">I39-I41</f>
        <v>34600613.07591936</v>
      </c>
    </row>
    <row r="44" spans="2:9">
      <c r="B44" s="299"/>
      <c r="E44" s="302"/>
      <c r="F44" s="302"/>
      <c r="G44" s="302"/>
      <c r="H44" s="302"/>
      <c r="I44" s="302"/>
    </row>
    <row r="45" spans="2:9">
      <c r="B45" s="91" t="s">
        <v>135</v>
      </c>
    </row>
    <row r="46" spans="2:9">
      <c r="B46" s="299" t="s">
        <v>136</v>
      </c>
      <c r="D46" s="302">
        <f ca="1">$C$8</f>
        <v>1805837.9466532459</v>
      </c>
      <c r="E46" s="302">
        <f ca="1">D48</f>
        <v>1805837.9466532459</v>
      </c>
      <c r="F46" s="302">
        <f ca="1">E48</f>
        <v>1805837.9466532459</v>
      </c>
      <c r="G46" s="302">
        <f ca="1">F48</f>
        <v>1805837.9466532459</v>
      </c>
      <c r="H46" s="302">
        <f ca="1">G48</f>
        <v>1805837.9466532459</v>
      </c>
      <c r="I46" s="302">
        <f ca="1">H48</f>
        <v>1805837.9466532459</v>
      </c>
    </row>
    <row r="47" spans="2:9">
      <c r="B47" s="299" t="s">
        <v>137</v>
      </c>
      <c r="E47" s="302">
        <f ca="1">MIN(E43,E46)</f>
        <v>0</v>
      </c>
      <c r="F47" s="302">
        <f ca="1">MIN(F43,F46)</f>
        <v>0</v>
      </c>
      <c r="G47" s="302">
        <f ca="1">MIN(G43,G46)</f>
        <v>0</v>
      </c>
      <c r="H47" s="302">
        <f ca="1">MIN(H43,H46)</f>
        <v>0</v>
      </c>
      <c r="I47" s="302">
        <f ca="1">MIN(I43,I46)</f>
        <v>1805837.9466532459</v>
      </c>
    </row>
    <row r="48" spans="2:9">
      <c r="B48" s="299" t="s">
        <v>138</v>
      </c>
      <c r="D48" s="302">
        <f ca="1">D46</f>
        <v>1805837.9466532459</v>
      </c>
      <c r="E48" s="302">
        <f ca="1">E46-E47</f>
        <v>1805837.9466532459</v>
      </c>
      <c r="F48" s="302">
        <f ca="1">F46-F47</f>
        <v>1805837.9466532459</v>
      </c>
      <c r="G48" s="302">
        <f ca="1">G46-G47</f>
        <v>1805837.9466532459</v>
      </c>
      <c r="H48" s="302">
        <f ca="1">H46-H47</f>
        <v>1805837.9466532459</v>
      </c>
      <c r="I48" s="302">
        <f ca="1">I46-I47</f>
        <v>0</v>
      </c>
    </row>
    <row r="49" spans="2:9">
      <c r="B49" s="314" t="s">
        <v>139</v>
      </c>
      <c r="C49" s="315"/>
      <c r="D49" s="315"/>
      <c r="E49" s="316">
        <f ca="1">E43-E47</f>
        <v>0</v>
      </c>
      <c r="F49" s="316">
        <f ca="1">F43-F47</f>
        <v>0</v>
      </c>
      <c r="G49" s="316">
        <f ca="1">G43-G47</f>
        <v>0</v>
      </c>
      <c r="H49" s="316">
        <f ca="1">H43-H47</f>
        <v>0</v>
      </c>
      <c r="I49" s="316">
        <f ca="1">I43-I47</f>
        <v>32794775.129266113</v>
      </c>
    </row>
    <row r="50" spans="2:9">
      <c r="B50" s="299"/>
      <c r="E50" s="302"/>
      <c r="F50" s="302"/>
      <c r="G50" s="302"/>
      <c r="H50" s="302"/>
      <c r="I50" s="302"/>
    </row>
    <row r="51" spans="2:9">
      <c r="B51" s="300" t="s">
        <v>140</v>
      </c>
    </row>
    <row r="52" spans="2:9">
      <c r="B52" s="299" t="s">
        <v>141</v>
      </c>
      <c r="E52" s="302">
        <v>0</v>
      </c>
      <c r="F52" s="302">
        <f ca="1">E52+E38+E41+E57+E62</f>
        <v>1062164.5639615506</v>
      </c>
      <c r="G52" s="302">
        <f ca="1">F52+F38+F41+F57+F62</f>
        <v>3074787.7539718505</v>
      </c>
      <c r="H52" s="302">
        <f ca="1">G52+G38+G41+G57+G62</f>
        <v>6058072.4969284721</v>
      </c>
      <c r="I52" s="302">
        <f ca="1">H52+H38+H41+H57+H62</f>
        <v>9600825.4150478579</v>
      </c>
    </row>
    <row r="53" spans="2:9">
      <c r="B53" s="299" t="s">
        <v>142</v>
      </c>
      <c r="E53" s="302">
        <f ca="1">E38+E41</f>
        <v>1062164.5639615506</v>
      </c>
      <c r="F53" s="302">
        <f ca="1">F38+F41</f>
        <v>2012623.1900102999</v>
      </c>
      <c r="G53" s="302">
        <f ca="1">G38+G41</f>
        <v>2983284.7429566216</v>
      </c>
      <c r="H53" s="302">
        <f ca="1">H38+H41</f>
        <v>3542752.9181193868</v>
      </c>
      <c r="I53" s="302">
        <f ca="1">I38+I41</f>
        <v>12570061.529499568</v>
      </c>
    </row>
    <row r="54" spans="2:9">
      <c r="B54" s="299" t="s">
        <v>143</v>
      </c>
      <c r="E54" s="302">
        <f ca="1">E52+E53</f>
        <v>1062164.5639615506</v>
      </c>
      <c r="F54" s="302">
        <f ca="1">F52+F53</f>
        <v>3074787.7539718505</v>
      </c>
      <c r="G54" s="302">
        <f ca="1">G52+G53</f>
        <v>6058072.4969284721</v>
      </c>
      <c r="H54" s="302">
        <f ca="1">H52+H53</f>
        <v>9600825.4150478579</v>
      </c>
      <c r="I54" s="302">
        <f ca="1">I52+I53</f>
        <v>22170886.944547426</v>
      </c>
    </row>
    <row r="55" spans="2:9">
      <c r="B55" s="299" t="s">
        <v>144</v>
      </c>
      <c r="E55" s="302">
        <f ca="1">MAX(0,$C$9*$C$14-E54)</f>
        <v>31442918.475796875</v>
      </c>
      <c r="F55" s="302">
        <f ca="1">MAX(0,$C$9*$C$14-F54)</f>
        <v>29430295.285786577</v>
      </c>
      <c r="G55" s="302">
        <f ca="1">MAX(0,$C$9*$C$14-G54)</f>
        <v>26447010.542829953</v>
      </c>
      <c r="H55" s="302">
        <f ca="1">MAX(0,$C$9*$C$14-H54)</f>
        <v>22904257.624710567</v>
      </c>
      <c r="I55" s="302">
        <f ca="1">MAX(0,$C$9*$C$14-I54)</f>
        <v>10334196.095210999</v>
      </c>
    </row>
    <row r="56" spans="2:9">
      <c r="B56" s="299" t="s">
        <v>145</v>
      </c>
      <c r="E56" s="302">
        <f ca="1">IF(E55=0,0,MIN(E49,E55/$C$13))</f>
        <v>0</v>
      </c>
      <c r="F56" s="302">
        <f ca="1">IF(F55=0,0,MIN(F49,F55/$C$13))</f>
        <v>0</v>
      </c>
      <c r="G56" s="302">
        <f ca="1">IF(G55=0,0,MIN(G49,G55/$C$13))</f>
        <v>0</v>
      </c>
      <c r="H56" s="302">
        <f ca="1">IF(H55=0,0,MIN(H49,H55/$C$13))</f>
        <v>0</v>
      </c>
      <c r="I56" s="302">
        <f ca="1">IF(I55=0,0,MIN(I49,I55/$C$13))</f>
        <v>14763137.278872857</v>
      </c>
    </row>
    <row r="57" spans="2:9">
      <c r="B57" s="299" t="s">
        <v>146</v>
      </c>
      <c r="E57" s="302">
        <f ca="1">E56*$C$13</f>
        <v>0</v>
      </c>
      <c r="F57" s="302">
        <f ca="1">F56*$C$13</f>
        <v>0</v>
      </c>
      <c r="G57" s="302">
        <f ca="1">G56*$C$13</f>
        <v>0</v>
      </c>
      <c r="H57" s="302">
        <f ca="1">H56*$C$13</f>
        <v>0</v>
      </c>
      <c r="I57" s="302">
        <f ca="1">I56*$C$13</f>
        <v>10334196.095210999</v>
      </c>
    </row>
    <row r="58" spans="2:9">
      <c r="B58" s="299" t="s">
        <v>147</v>
      </c>
      <c r="E58" s="302">
        <f ca="1">E56*$D$13</f>
        <v>0</v>
      </c>
      <c r="F58" s="302">
        <f ca="1">F56*$D$13</f>
        <v>0</v>
      </c>
      <c r="G58" s="302">
        <f ca="1">G56*$D$13</f>
        <v>0</v>
      </c>
      <c r="H58" s="302">
        <f ca="1">H56*$D$13</f>
        <v>0</v>
      </c>
      <c r="I58" s="302">
        <f ca="1">I56*$D$13</f>
        <v>4428941.1836618576</v>
      </c>
    </row>
    <row r="59" spans="2:9">
      <c r="B59" s="314" t="s">
        <v>148</v>
      </c>
      <c r="C59" s="315"/>
      <c r="D59" s="315"/>
      <c r="E59" s="316">
        <f ca="1">E49-E56</f>
        <v>0</v>
      </c>
      <c r="F59" s="316">
        <f ca="1">F49-F56</f>
        <v>0</v>
      </c>
      <c r="G59" s="316">
        <f ca="1">G49-G56</f>
        <v>0</v>
      </c>
      <c r="H59" s="316">
        <f ca="1">H49-H56</f>
        <v>0</v>
      </c>
      <c r="I59" s="316">
        <f ca="1">I49-I56</f>
        <v>18031637.850393258</v>
      </c>
    </row>
    <row r="61" spans="2:9">
      <c r="B61" s="300" t="s">
        <v>149</v>
      </c>
    </row>
    <row r="62" spans="2:9">
      <c r="B62" s="299" t="s">
        <v>150</v>
      </c>
      <c r="E62" s="302">
        <f ca="1">E59*$C$15</f>
        <v>0</v>
      </c>
      <c r="F62" s="302">
        <f ca="1">F59*$C$15</f>
        <v>0</v>
      </c>
      <c r="G62" s="302">
        <f ca="1">G59*$C$15</f>
        <v>0</v>
      </c>
      <c r="H62" s="302">
        <f ca="1">H59*$C$15</f>
        <v>0</v>
      </c>
      <c r="I62" s="302">
        <f ca="1">I59*$C$15</f>
        <v>9015818.925196629</v>
      </c>
    </row>
    <row r="63" spans="2:9">
      <c r="B63" s="299" t="s">
        <v>151</v>
      </c>
      <c r="E63" s="302">
        <f ca="1">E59*$D$15</f>
        <v>0</v>
      </c>
      <c r="F63" s="302">
        <f ca="1">F59*$D$15</f>
        <v>0</v>
      </c>
      <c r="G63" s="302">
        <f ca="1">G59*$D$15</f>
        <v>0</v>
      </c>
      <c r="H63" s="302">
        <f ca="1">H59*$D$15</f>
        <v>0</v>
      </c>
      <c r="I63" s="302">
        <f ca="1">I59*$D$15</f>
        <v>9015818.925196629</v>
      </c>
    </row>
    <row r="65" spans="2:9">
      <c r="B65" s="299" t="s">
        <v>152</v>
      </c>
      <c r="E65" s="302">
        <f ca="1">E59-E62-E63</f>
        <v>0</v>
      </c>
      <c r="F65" s="302">
        <f ca="1">F59-F62-F63</f>
        <v>0</v>
      </c>
      <c r="G65" s="302">
        <f ca="1">G59-G62-G63</f>
        <v>0</v>
      </c>
      <c r="H65" s="302">
        <f ca="1">H59-H62-H63</f>
        <v>0</v>
      </c>
      <c r="I65" s="302">
        <f ca="1">I59-I62-I63</f>
        <v>0</v>
      </c>
    </row>
    <row r="68" spans="2:9" ht="15.75" thickBot="1">
      <c r="B68" s="307" t="s">
        <v>153</v>
      </c>
      <c r="C68" s="308"/>
      <c r="D68" s="308"/>
      <c r="E68" s="308"/>
      <c r="F68" s="308"/>
      <c r="G68" s="308"/>
      <c r="H68" s="308"/>
      <c r="I68" s="308"/>
    </row>
    <row r="69" spans="2:9">
      <c r="D69" s="309">
        <f>D19</f>
        <v>45444</v>
      </c>
      <c r="E69" s="309">
        <f>E19</f>
        <v>45838</v>
      </c>
      <c r="F69" s="309">
        <f>F19</f>
        <v>46203</v>
      </c>
      <c r="G69" s="309">
        <f>G19</f>
        <v>46568</v>
      </c>
      <c r="H69" s="309">
        <f>H19</f>
        <v>46934</v>
      </c>
      <c r="I69" s="309">
        <f>I19</f>
        <v>47299</v>
      </c>
    </row>
    <row r="71" spans="2:9">
      <c r="B71" s="301" t="s">
        <v>154</v>
      </c>
    </row>
    <row r="72" spans="2:9">
      <c r="B72" s="299" t="s">
        <v>155</v>
      </c>
      <c r="D72" s="302">
        <f ca="1">-$C$9</f>
        <v>-16252541.519879213</v>
      </c>
    </row>
    <row r="73" spans="2:9">
      <c r="B73" s="299" t="s">
        <v>156</v>
      </c>
      <c r="E73" s="302">
        <f ca="1">E38</f>
        <v>1062164.5639615506</v>
      </c>
      <c r="F73" s="302">
        <f ca="1">F38</f>
        <v>1538242.0792191233</v>
      </c>
      <c r="G73" s="302">
        <f ca="1">G38</f>
        <v>1262252.832727043</v>
      </c>
      <c r="H73" s="302">
        <f ca="1">H38</f>
        <v>1124570.2799086766</v>
      </c>
      <c r="I73" s="302">
        <f ca="1">I38</f>
        <v>931115.66885181982</v>
      </c>
    </row>
    <row r="74" spans="2:9">
      <c r="B74" s="299" t="s">
        <v>157</v>
      </c>
      <c r="E74" s="302">
        <f ca="1">E41</f>
        <v>0</v>
      </c>
      <c r="F74" s="302">
        <f ca="1">F41</f>
        <v>474381.11079117656</v>
      </c>
      <c r="G74" s="302">
        <f ca="1">G41</f>
        <v>1721031.9102295786</v>
      </c>
      <c r="H74" s="302">
        <f ca="1">H41</f>
        <v>2418182.6382107101</v>
      </c>
      <c r="I74" s="302">
        <f ca="1">I41</f>
        <v>11638945.860647747</v>
      </c>
    </row>
    <row r="75" spans="2:9">
      <c r="B75" s="299" t="s">
        <v>158</v>
      </c>
      <c r="E75" s="302">
        <f ca="1">E57+E62</f>
        <v>0</v>
      </c>
      <c r="F75" s="302">
        <f ca="1">F57+F62</f>
        <v>0</v>
      </c>
      <c r="G75" s="302">
        <f ca="1">G57+G62</f>
        <v>0</v>
      </c>
      <c r="H75" s="302">
        <f ca="1">H57+H62</f>
        <v>0</v>
      </c>
      <c r="I75" s="302">
        <f ca="1">I57+I62</f>
        <v>19350015.020407628</v>
      </c>
    </row>
    <row r="76" spans="2:9">
      <c r="B76" s="300" t="s">
        <v>159</v>
      </c>
      <c r="D76" s="311">
        <f ca="1">D72</f>
        <v>-16252541.519879213</v>
      </c>
      <c r="E76" s="311">
        <f ca="1">SUM(E73:E75)</f>
        <v>1062164.5639615506</v>
      </c>
      <c r="F76" s="311">
        <f ca="1">SUM(F73:F75)</f>
        <v>2012623.1900102999</v>
      </c>
      <c r="G76" s="311">
        <f ca="1">SUM(G73:G75)</f>
        <v>2983284.7429566216</v>
      </c>
      <c r="H76" s="311">
        <f ca="1">SUM(H73:H75)</f>
        <v>3542752.9181193868</v>
      </c>
      <c r="I76" s="312">
        <f ca="1">SUM(I73:I75)</f>
        <v>31920076.549907196</v>
      </c>
    </row>
    <row r="78" spans="2:9">
      <c r="B78" s="301" t="s">
        <v>160</v>
      </c>
    </row>
    <row r="79" spans="2:9">
      <c r="B79" s="299" t="s">
        <v>155</v>
      </c>
      <c r="D79" s="302">
        <f ca="1">-$C$8</f>
        <v>-1805837.9466532459</v>
      </c>
    </row>
    <row r="80" spans="2:9">
      <c r="B80" s="299" t="s">
        <v>157</v>
      </c>
      <c r="E80" s="302">
        <f ca="1">E47</f>
        <v>0</v>
      </c>
      <c r="F80" s="302">
        <f ca="1">F47</f>
        <v>0</v>
      </c>
      <c r="G80" s="302">
        <f ca="1">G47</f>
        <v>0</v>
      </c>
      <c r="H80" s="302">
        <f ca="1">H47</f>
        <v>0</v>
      </c>
      <c r="I80" s="302">
        <f ca="1">I47</f>
        <v>1805837.9466532459</v>
      </c>
    </row>
    <row r="81" spans="2:9">
      <c r="B81" s="299" t="s">
        <v>158</v>
      </c>
      <c r="E81" s="302">
        <f ca="1">E58+E63</f>
        <v>0</v>
      </c>
      <c r="F81" s="302">
        <f ca="1">F58+F63</f>
        <v>0</v>
      </c>
      <c r="G81" s="302">
        <f ca="1">G58+G63</f>
        <v>0</v>
      </c>
      <c r="H81" s="302">
        <f ca="1">H58+H63</f>
        <v>0</v>
      </c>
      <c r="I81" s="302">
        <f ca="1">I58+I63</f>
        <v>13444760.108858487</v>
      </c>
    </row>
    <row r="82" spans="2:9">
      <c r="B82" s="300" t="s">
        <v>161</v>
      </c>
      <c r="D82" s="311">
        <f ca="1">D79</f>
        <v>-1805837.9466532459</v>
      </c>
      <c r="E82" s="311">
        <f ca="1">SUM(E80:E81)</f>
        <v>0</v>
      </c>
      <c r="F82" s="311">
        <f ca="1">SUM(F80:F81)</f>
        <v>0</v>
      </c>
      <c r="G82" s="311">
        <f ca="1">SUM(G80:G81)</f>
        <v>0</v>
      </c>
      <c r="H82" s="311">
        <f ca="1">SUM(H80:H81)</f>
        <v>0</v>
      </c>
      <c r="I82" s="312">
        <f ca="1">SUM(I80:I81)</f>
        <v>15250598.055511732</v>
      </c>
    </row>
    <row r="84" spans="2:9">
      <c r="B84" s="299" t="s">
        <v>162</v>
      </c>
      <c r="D84" s="302">
        <f ca="1">D76+D82</f>
        <v>-18058379.466532458</v>
      </c>
      <c r="E84" s="302">
        <f ca="1">E76+E82</f>
        <v>1062164.5639615506</v>
      </c>
      <c r="F84" s="302">
        <f ca="1">F76+F82</f>
        <v>2012623.1900102999</v>
      </c>
      <c r="G84" s="302">
        <f ca="1">G76+G82</f>
        <v>2983284.7429566216</v>
      </c>
      <c r="H84" s="302">
        <f ca="1">H76+H82</f>
        <v>3542752.9181193868</v>
      </c>
      <c r="I84" s="302">
        <f ca="1">I76+I82</f>
        <v>47170674.605418928</v>
      </c>
    </row>
    <row r="87" spans="2:9" ht="15.75" thickBot="1">
      <c r="B87" s="307" t="s">
        <v>163</v>
      </c>
      <c r="C87" s="308"/>
      <c r="D87" s="308"/>
    </row>
    <row r="88" spans="2:9">
      <c r="C88" s="317" t="s">
        <v>164</v>
      </c>
      <c r="D88" s="317" t="s">
        <v>165</v>
      </c>
    </row>
    <row r="90" spans="2:9">
      <c r="B90" s="299" t="s">
        <v>166</v>
      </c>
      <c r="C90" s="302">
        <f ca="1">$C$9</f>
        <v>16252541.519879213</v>
      </c>
      <c r="D90" s="302">
        <f ca="1">$C$8</f>
        <v>1805837.9466532459</v>
      </c>
    </row>
    <row r="91" spans="2:9">
      <c r="B91" s="299" t="s">
        <v>167</v>
      </c>
      <c r="C91" s="302">
        <f ca="1">SUM(E76:I76)</f>
        <v>41520901.964955054</v>
      </c>
      <c r="D91" s="302">
        <f ca="1">SUM(E82:I82)</f>
        <v>15250598.055511732</v>
      </c>
    </row>
    <row r="92" spans="2:9">
      <c r="B92" s="299" t="s">
        <v>33</v>
      </c>
      <c r="C92" s="302">
        <f ca="1">C91+D76</f>
        <v>25268360.44507584</v>
      </c>
      <c r="D92" s="302">
        <f ca="1">D91+D82</f>
        <v>13444760.108858485</v>
      </c>
    </row>
    <row r="94" spans="2:9">
      <c r="B94" s="318" t="s">
        <v>32</v>
      </c>
      <c r="C94" s="319">
        <f ca="1">XIRR(D76:I76,D69:I69)</f>
        <v>0.23261892199516293</v>
      </c>
      <c r="D94" s="320">
        <f ca="1">XIRR(D82:I82,D69:I69)</f>
        <v>0.52168410420417799</v>
      </c>
    </row>
    <row r="95" spans="2:9">
      <c r="B95" s="321" t="s">
        <v>34</v>
      </c>
      <c r="C95" s="322">
        <f ca="1">C91/C90</f>
        <v>2.5547328652671939</v>
      </c>
      <c r="D95" s="323">
        <f ca="1">D91/D90</f>
        <v>8.4451642428799438</v>
      </c>
    </row>
    <row r="97" spans="2:3">
      <c r="B97" s="301" t="s">
        <v>168</v>
      </c>
    </row>
    <row r="98" spans="2:3">
      <c r="B98" s="299" t="s">
        <v>169</v>
      </c>
      <c r="C98" s="302">
        <f ca="1">(C91+D91)*$C$6</f>
        <v>5677150.0020466791</v>
      </c>
    </row>
    <row r="99" spans="2:3">
      <c r="B99" s="299" t="s">
        <v>170</v>
      </c>
      <c r="C99" s="302">
        <f ca="1">D91</f>
        <v>15250598.055511732</v>
      </c>
    </row>
    <row r="100" spans="2:3">
      <c r="B100" s="300" t="s">
        <v>171</v>
      </c>
      <c r="C100" s="310">
        <f ca="1">C99-C98</f>
        <v>9573448.0534650534</v>
      </c>
    </row>
    <row r="101" spans="2:3">
      <c r="B101" s="299" t="s">
        <v>172</v>
      </c>
      <c r="C101" s="313">
        <f ca="1">C100/C92</f>
        <v>0.37887096292908368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JV Waterfall</vt:lpstr>
      <vt:lpstr>Input!Print_Area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2024-02-05T22:52:38Z</cp:lastPrinted>
  <dcterms:created xsi:type="dcterms:W3CDTF">2022-12-06T19:45:36Z</dcterms:created>
  <dcterms:modified xsi:type="dcterms:W3CDTF">2026-02-23T17:05:23Z</dcterms:modified>
</cp:coreProperties>
</file>