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ai\Downloads\"/>
    </mc:Choice>
  </mc:AlternateContent>
  <xr:revisionPtr revIDLastSave="0" documentId="8_{E7D85075-8A90-494B-89DC-F7F83ABA795A}" xr6:coauthVersionLast="47" xr6:coauthVersionMax="47" xr10:uidLastSave="{00000000-0000-0000-0000-000000000000}"/>
  <bookViews>
    <workbookView xWindow="34452" yWindow="-108" windowWidth="61656" windowHeight="25416" xr2:uid="{2AE23F9B-00E0-4442-A59C-3D6C05B7D717}"/>
  </bookViews>
  <sheets>
    <sheet name="Public Comps" sheetId="1" r:id="rId1"/>
  </sheets>
  <definedNames>
    <definedName name="_xlnm.Print_Area" localSheetId="0">'Public Comps'!$B$2:$N$24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H24" i="1"/>
  <c r="G24" i="1"/>
  <c r="F24" i="1"/>
  <c r="K23" i="1"/>
  <c r="J23" i="1"/>
  <c r="H23" i="1"/>
  <c r="G23" i="1"/>
  <c r="F23" i="1"/>
  <c r="N22" i="1"/>
  <c r="M22" i="1"/>
  <c r="K22" i="1"/>
  <c r="J22" i="1"/>
  <c r="H22" i="1"/>
  <c r="G22" i="1"/>
  <c r="F22" i="1"/>
  <c r="N21" i="1"/>
  <c r="M21" i="1"/>
  <c r="K21" i="1"/>
  <c r="J21" i="1"/>
  <c r="H21" i="1"/>
  <c r="G21" i="1"/>
  <c r="F21" i="1"/>
  <c r="K19" i="1"/>
  <c r="J19" i="1"/>
  <c r="G19" i="1"/>
  <c r="H18" i="1"/>
  <c r="F18" i="1" s="1"/>
  <c r="N18" i="1" s="1"/>
  <c r="H17" i="1"/>
  <c r="F17" i="1" s="1"/>
  <c r="M17" i="1" s="1"/>
  <c r="H16" i="1"/>
  <c r="F16" i="1" s="1"/>
  <c r="N16" i="1" s="1"/>
  <c r="H15" i="1"/>
  <c r="F15" i="1" s="1"/>
  <c r="H14" i="1"/>
  <c r="K11" i="1"/>
  <c r="J11" i="1"/>
  <c r="G11" i="1"/>
  <c r="H7" i="1"/>
  <c r="F7" i="1" s="1"/>
  <c r="H8" i="1"/>
  <c r="F8" i="1" s="1"/>
  <c r="N8" i="1" s="1"/>
  <c r="H9" i="1"/>
  <c r="F9" i="1" s="1"/>
  <c r="M9" i="1" s="1"/>
  <c r="H10" i="1"/>
  <c r="F10" i="1" s="1"/>
  <c r="N10" i="1" s="1"/>
  <c r="H6" i="1"/>
  <c r="F6" i="1" s="1"/>
  <c r="M6" i="1" s="1"/>
  <c r="H19" i="1" l="1"/>
  <c r="N6" i="1"/>
  <c r="M10" i="1"/>
  <c r="F11" i="1"/>
  <c r="N15" i="1"/>
  <c r="M15" i="1"/>
  <c r="N9" i="1"/>
  <c r="M8" i="1"/>
  <c r="M7" i="1"/>
  <c r="M16" i="1"/>
  <c r="N17" i="1"/>
  <c r="N7" i="1"/>
  <c r="F14" i="1"/>
  <c r="M18" i="1"/>
  <c r="N11" i="1"/>
  <c r="H11" i="1"/>
  <c r="F19" i="1"/>
  <c r="N24" i="1" l="1"/>
  <c r="N23" i="1"/>
  <c r="M11" i="1"/>
  <c r="N14" i="1"/>
  <c r="N19" i="1" s="1"/>
  <c r="M14" i="1"/>
  <c r="M19" i="1" s="1"/>
  <c r="M24" i="1" l="1"/>
  <c r="M23" i="1"/>
</calcChain>
</file>

<file path=xl/sharedStrings.xml><?xml version="1.0" encoding="utf-8"?>
<sst xmlns="http://schemas.openxmlformats.org/spreadsheetml/2006/main" count="33" uniqueCount="30">
  <si>
    <t>Note: As of October 14, 2025.</t>
  </si>
  <si>
    <t>Net Debt</t>
  </si>
  <si>
    <t>AlphaSoft</t>
  </si>
  <si>
    <t>BetaWare</t>
  </si>
  <si>
    <t>GammaCloud</t>
  </si>
  <si>
    <t>Nimbus Systems</t>
  </si>
  <si>
    <t>Software</t>
  </si>
  <si>
    <t>Vertex Logic</t>
  </si>
  <si>
    <t>IT Services</t>
  </si>
  <si>
    <t>Outstanding</t>
  </si>
  <si>
    <t>Shares</t>
  </si>
  <si>
    <t>EBITDA</t>
  </si>
  <si>
    <t>FY + 1</t>
  </si>
  <si>
    <t>LTM</t>
  </si>
  <si>
    <t>Price ($)</t>
  </si>
  <si>
    <t>Valuation</t>
  </si>
  <si>
    <t>Enterprise Value</t>
  </si>
  <si>
    <t>Equity Value</t>
  </si>
  <si>
    <t>EV / EBITDA</t>
  </si>
  <si>
    <t>(In millions, except per share price)</t>
  </si>
  <si>
    <t>Average</t>
  </si>
  <si>
    <t>DeltaTech</t>
  </si>
  <si>
    <t>EchoGlobal</t>
  </si>
  <si>
    <t>Foxtrot Digital</t>
  </si>
  <si>
    <t>Horizon Consult</t>
  </si>
  <si>
    <t>IronPeak Group</t>
  </si>
  <si>
    <t>Total Average</t>
  </si>
  <si>
    <t>Total Median</t>
  </si>
  <si>
    <t>Total - 1st Quartile</t>
  </si>
  <si>
    <t>Total - 3rd 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</si>
</sst>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164" formatCode="&quot;$&quot;#,##0.0_);\(&quot;$&quot;#,##0.0\)"/>
    <numFmt numFmtId="165" formatCode="#,##0.0_);\(#,##0.0\);&quot;--&quot;"/>
    <numFmt numFmtId="166" formatCode="#,##0.00_);\(#,##0.00\);&quot;--&quot;"/>
    <numFmt numFmtId="167" formatCode="0.0\x_);\(0.0\x\);0.0\x_);@_)"/>
    <numFmt numFmtId="168" formatCode="0.0_)_x;\(0.0\)_x;\-_)_x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41B4D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65" fontId="1" fillId="0" borderId="0" xfId="0" applyNumberFormat="1" applyFont="1"/>
    <xf numFmtId="0" fontId="5" fillId="0" borderId="0" xfId="0" applyFont="1"/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Continuous"/>
    </xf>
    <xf numFmtId="0" fontId="2" fillId="2" borderId="5" xfId="0" applyFont="1" applyFill="1" applyBorder="1" applyAlignment="1">
      <alignment horizontal="centerContinuous"/>
    </xf>
    <xf numFmtId="0" fontId="2" fillId="2" borderId="6" xfId="0" applyFont="1" applyFill="1" applyBorder="1" applyAlignment="1">
      <alignment horizontal="centerContinuous"/>
    </xf>
    <xf numFmtId="7" fontId="4" fillId="0" borderId="0" xfId="0" applyNumberFormat="1" applyFont="1"/>
    <xf numFmtId="166" fontId="4" fillId="0" borderId="0" xfId="0" applyNumberFormat="1" applyFont="1"/>
    <xf numFmtId="164" fontId="7" fillId="0" borderId="0" xfId="0" applyNumberFormat="1" applyFont="1"/>
    <xf numFmtId="0" fontId="2" fillId="0" borderId="0" xfId="0" applyFont="1" applyAlignment="1">
      <alignment horizontal="centerContinuous"/>
    </xf>
    <xf numFmtId="0" fontId="6" fillId="3" borderId="2" xfId="0" applyFont="1" applyFill="1" applyBorder="1"/>
    <xf numFmtId="166" fontId="4" fillId="3" borderId="8" xfId="0" applyNumberFormat="1" applyFont="1" applyFill="1" applyBorder="1"/>
    <xf numFmtId="165" fontId="4" fillId="3" borderId="8" xfId="0" applyNumberFormat="1" applyFont="1" applyFill="1" applyBorder="1"/>
    <xf numFmtId="164" fontId="8" fillId="3" borderId="8" xfId="0" applyNumberFormat="1" applyFont="1" applyFill="1" applyBorder="1"/>
    <xf numFmtId="0" fontId="6" fillId="3" borderId="9" xfId="0" applyFont="1" applyFill="1" applyBorder="1"/>
    <xf numFmtId="0" fontId="6" fillId="3" borderId="7" xfId="0" applyFont="1" applyFill="1" applyBorder="1"/>
    <xf numFmtId="0" fontId="6" fillId="3" borderId="11" xfId="0" applyFont="1" applyFill="1" applyBorder="1"/>
    <xf numFmtId="0" fontId="6" fillId="3" borderId="0" xfId="0" applyFont="1" applyFill="1"/>
    <xf numFmtId="0" fontId="6" fillId="3" borderId="12" xfId="0" applyFont="1" applyFill="1" applyBorder="1"/>
    <xf numFmtId="0" fontId="6" fillId="3" borderId="13" xfId="0" applyFont="1" applyFill="1" applyBorder="1"/>
    <xf numFmtId="164" fontId="8" fillId="3" borderId="0" xfId="0" applyNumberFormat="1" applyFont="1" applyFill="1"/>
    <xf numFmtId="164" fontId="8" fillId="3" borderId="7" xfId="0" applyNumberFormat="1" applyFont="1" applyFill="1" applyBorder="1"/>
    <xf numFmtId="164" fontId="8" fillId="3" borderId="13" xfId="0" applyNumberFormat="1" applyFont="1" applyFill="1" applyBorder="1"/>
    <xf numFmtId="0" fontId="1" fillId="3" borderId="8" xfId="0" applyFont="1" applyFill="1" applyBorder="1"/>
    <xf numFmtId="0" fontId="8" fillId="3" borderId="8" xfId="0" applyFont="1" applyFill="1" applyBorder="1"/>
    <xf numFmtId="0" fontId="8" fillId="3" borderId="7" xfId="0" applyFont="1" applyFill="1" applyBorder="1"/>
    <xf numFmtId="0" fontId="8" fillId="3" borderId="0" xfId="0" applyFont="1" applyFill="1"/>
    <xf numFmtId="0" fontId="8" fillId="3" borderId="13" xfId="0" applyFont="1" applyFill="1" applyBorder="1"/>
    <xf numFmtId="167" fontId="1" fillId="0" borderId="0" xfId="0" applyNumberFormat="1" applyFont="1"/>
    <xf numFmtId="168" fontId="7" fillId="0" borderId="0" xfId="0" applyNumberFormat="1" applyFont="1"/>
    <xf numFmtId="167" fontId="8" fillId="3" borderId="8" xfId="0" applyNumberFormat="1" applyFont="1" applyFill="1" applyBorder="1"/>
    <xf numFmtId="167" fontId="8" fillId="3" borderId="3" xfId="0" applyNumberFormat="1" applyFont="1" applyFill="1" applyBorder="1"/>
    <xf numFmtId="167" fontId="8" fillId="3" borderId="7" xfId="0" applyNumberFormat="1" applyFont="1" applyFill="1" applyBorder="1"/>
    <xf numFmtId="167" fontId="8" fillId="3" borderId="10" xfId="0" applyNumberFormat="1" applyFont="1" applyFill="1" applyBorder="1"/>
    <xf numFmtId="167" fontId="8" fillId="3" borderId="0" xfId="0" applyNumberFormat="1" applyFont="1" applyFill="1"/>
    <xf numFmtId="167" fontId="8" fillId="3" borderId="1" xfId="0" applyNumberFormat="1" applyFont="1" applyFill="1" applyBorder="1"/>
    <xf numFmtId="167" fontId="8" fillId="3" borderId="13" xfId="0" applyNumberFormat="1" applyFont="1" applyFill="1" applyBorder="1"/>
    <xf numFmtId="167" fontId="8" fillId="3" borderId="1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41B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5DCE-B225-494F-9ED9-9EFFCD93D776}">
  <sheetPr>
    <pageSetUpPr fitToPage="1"/>
  </sheetPr>
  <dimension ref="B2:N26"/>
  <sheetViews>
    <sheetView showGridLines="0" tabSelected="1" view="pageBreakPreview" zoomScale="115" zoomScaleNormal="130" zoomScaleSheetLayoutView="115" workbookViewId="0"/>
  </sheetViews>
  <sheetFormatPr defaultColWidth="8.86328125" defaultRowHeight="13.5" x14ac:dyDescent="0.35"/>
  <cols>
    <col min="1" max="1" width="3.6640625" style="1" customWidth="1"/>
    <col min="2" max="2" width="40.6640625" style="1" bestFit="1" customWidth="1"/>
    <col min="3" max="4" width="15.796875" style="1" customWidth="1"/>
    <col min="5" max="5" width="1.796875" style="1" customWidth="1"/>
    <col min="6" max="8" width="17.796875" style="1" customWidth="1"/>
    <col min="9" max="9" width="1.796875" style="1" customWidth="1"/>
    <col min="10" max="11" width="12.796875" style="1" customWidth="1"/>
    <col min="12" max="12" width="1.796875" style="1" customWidth="1"/>
    <col min="13" max="14" width="12.796875" style="1" customWidth="1"/>
    <col min="15" max="16384" width="8.86328125" style="1"/>
  </cols>
  <sheetData>
    <row r="2" spans="2:14" ht="13.9" x14ac:dyDescent="0.4">
      <c r="C2" s="9" t="s">
        <v>10</v>
      </c>
      <c r="D2" s="10"/>
      <c r="E2" s="15"/>
      <c r="F2" s="10" t="s">
        <v>15</v>
      </c>
      <c r="G2" s="10"/>
      <c r="H2" s="10"/>
      <c r="I2" s="8"/>
      <c r="J2" s="10" t="s">
        <v>11</v>
      </c>
      <c r="K2" s="10"/>
      <c r="M2" s="10" t="s">
        <v>18</v>
      </c>
      <c r="N2" s="11"/>
    </row>
    <row r="3" spans="2:14" ht="13.9" x14ac:dyDescent="0.4">
      <c r="B3" s="2" t="s">
        <v>19</v>
      </c>
      <c r="C3" s="3" t="s">
        <v>14</v>
      </c>
      <c r="D3" s="3" t="s">
        <v>9</v>
      </c>
      <c r="E3" s="8"/>
      <c r="F3" s="3" t="s">
        <v>16</v>
      </c>
      <c r="G3" s="3" t="s">
        <v>1</v>
      </c>
      <c r="H3" s="3" t="s">
        <v>17</v>
      </c>
      <c r="I3" s="8"/>
      <c r="J3" s="3" t="s">
        <v>13</v>
      </c>
      <c r="K3" s="3" t="s">
        <v>12</v>
      </c>
      <c r="M3" s="3" t="s">
        <v>13</v>
      </c>
      <c r="N3" s="3" t="s">
        <v>12</v>
      </c>
    </row>
    <row r="4" spans="2:14" ht="10.050000000000001" customHeight="1" x14ac:dyDescent="0.35"/>
    <row r="5" spans="2:14" ht="13.8" customHeight="1" x14ac:dyDescent="0.4">
      <c r="B5" s="7" t="s">
        <v>6</v>
      </c>
    </row>
    <row r="6" spans="2:14" x14ac:dyDescent="0.35">
      <c r="B6" s="1" t="s">
        <v>2</v>
      </c>
      <c r="C6" s="12">
        <v>75</v>
      </c>
      <c r="D6" s="5">
        <v>200</v>
      </c>
      <c r="E6" s="4"/>
      <c r="F6" s="14">
        <f>H6+G6</f>
        <v>15400</v>
      </c>
      <c r="G6" s="4">
        <v>400</v>
      </c>
      <c r="H6" s="14">
        <f>C6*D6</f>
        <v>15000</v>
      </c>
      <c r="I6" s="4"/>
      <c r="J6" s="4">
        <v>900</v>
      </c>
      <c r="K6" s="4">
        <v>1050</v>
      </c>
      <c r="M6" s="34">
        <f>$F6/J6</f>
        <v>17.111111111111111</v>
      </c>
      <c r="N6" s="34">
        <f>$F6/K6</f>
        <v>14.666666666666666</v>
      </c>
    </row>
    <row r="7" spans="2:14" x14ac:dyDescent="0.35">
      <c r="B7" s="1" t="s">
        <v>3</v>
      </c>
      <c r="C7" s="13">
        <v>62</v>
      </c>
      <c r="D7" s="5">
        <v>180</v>
      </c>
      <c r="E7" s="5"/>
      <c r="F7" s="6">
        <f t="shared" ref="F7:F10" si="0">H7+G7</f>
        <v>11410</v>
      </c>
      <c r="G7" s="5">
        <v>250</v>
      </c>
      <c r="H7" s="6">
        <f t="shared" ref="H7:H10" si="1">C7*D7</f>
        <v>11160</v>
      </c>
      <c r="I7" s="5"/>
      <c r="J7" s="5">
        <v>750</v>
      </c>
      <c r="K7" s="5">
        <v>820</v>
      </c>
      <c r="M7" s="35">
        <f t="shared" ref="M7:M10" si="2">$F7/J7</f>
        <v>15.213333333333333</v>
      </c>
      <c r="N7" s="35">
        <f t="shared" ref="N7:N10" si="3">$F7/K7</f>
        <v>13.914634146341463</v>
      </c>
    </row>
    <row r="8" spans="2:14" x14ac:dyDescent="0.35">
      <c r="B8" s="1" t="s">
        <v>4</v>
      </c>
      <c r="C8" s="13">
        <v>48</v>
      </c>
      <c r="D8" s="5">
        <v>220</v>
      </c>
      <c r="F8" s="6">
        <f t="shared" si="0"/>
        <v>10660</v>
      </c>
      <c r="G8" s="5">
        <v>100</v>
      </c>
      <c r="H8" s="6">
        <f t="shared" si="1"/>
        <v>10560</v>
      </c>
      <c r="J8" s="5">
        <v>600</v>
      </c>
      <c r="K8" s="5">
        <v>700</v>
      </c>
      <c r="M8" s="35">
        <f t="shared" si="2"/>
        <v>17.766666666666666</v>
      </c>
      <c r="N8" s="35">
        <f t="shared" si="3"/>
        <v>15.228571428571428</v>
      </c>
    </row>
    <row r="9" spans="2:14" x14ac:dyDescent="0.35">
      <c r="B9" s="1" t="s">
        <v>5</v>
      </c>
      <c r="C9" s="13">
        <v>90</v>
      </c>
      <c r="D9" s="5">
        <v>150</v>
      </c>
      <c r="F9" s="6">
        <f t="shared" si="0"/>
        <v>13800</v>
      </c>
      <c r="G9" s="5">
        <v>300</v>
      </c>
      <c r="H9" s="6">
        <f t="shared" si="1"/>
        <v>13500</v>
      </c>
      <c r="J9" s="5">
        <v>1100</v>
      </c>
      <c r="K9" s="5">
        <v>1250</v>
      </c>
      <c r="M9" s="35">
        <f t="shared" si="2"/>
        <v>12.545454545454545</v>
      </c>
      <c r="N9" s="35">
        <f t="shared" si="3"/>
        <v>11.04</v>
      </c>
    </row>
    <row r="10" spans="2:14" x14ac:dyDescent="0.35">
      <c r="B10" s="1" t="s">
        <v>7</v>
      </c>
      <c r="C10" s="13">
        <v>55</v>
      </c>
      <c r="D10" s="5">
        <v>260</v>
      </c>
      <c r="F10" s="6">
        <f t="shared" si="0"/>
        <v>14450</v>
      </c>
      <c r="G10" s="5">
        <v>150</v>
      </c>
      <c r="H10" s="6">
        <f t="shared" si="1"/>
        <v>14300</v>
      </c>
      <c r="J10" s="5">
        <v>850</v>
      </c>
      <c r="K10" s="5">
        <v>930</v>
      </c>
      <c r="M10" s="35">
        <f t="shared" si="2"/>
        <v>17</v>
      </c>
      <c r="N10" s="35">
        <f t="shared" si="3"/>
        <v>15.53763440860215</v>
      </c>
    </row>
    <row r="11" spans="2:14" ht="13.9" x14ac:dyDescent="0.4">
      <c r="B11" s="16" t="s">
        <v>20</v>
      </c>
      <c r="C11" s="17"/>
      <c r="D11" s="18"/>
      <c r="E11" s="29"/>
      <c r="F11" s="19">
        <f>AVERAGE(F6:F10)</f>
        <v>13144</v>
      </c>
      <c r="G11" s="19">
        <f>AVERAGE(G6:G10)</f>
        <v>240</v>
      </c>
      <c r="H11" s="19">
        <f>AVERAGE(H6:H10)</f>
        <v>12904</v>
      </c>
      <c r="I11" s="30"/>
      <c r="J11" s="19">
        <f t="shared" ref="J11:K11" si="4">AVERAGE(J6:J10)</f>
        <v>840</v>
      </c>
      <c r="K11" s="19">
        <f t="shared" si="4"/>
        <v>950</v>
      </c>
      <c r="L11" s="30"/>
      <c r="M11" s="36">
        <f>AVERAGE(M6:M10)</f>
        <v>15.927313131313133</v>
      </c>
      <c r="N11" s="37">
        <f>AVERAGE(N6:N10)</f>
        <v>14.077501330036341</v>
      </c>
    </row>
    <row r="13" spans="2:14" ht="13.9" x14ac:dyDescent="0.4">
      <c r="B13" s="7" t="s">
        <v>8</v>
      </c>
    </row>
    <row r="14" spans="2:14" x14ac:dyDescent="0.35">
      <c r="B14" s="1" t="s">
        <v>21</v>
      </c>
      <c r="C14" s="12">
        <v>40</v>
      </c>
      <c r="D14" s="5">
        <v>300</v>
      </c>
      <c r="F14" s="14">
        <f>H14+G14</f>
        <v>12600</v>
      </c>
      <c r="G14" s="4">
        <v>600</v>
      </c>
      <c r="H14" s="14">
        <f>C14*D14</f>
        <v>12000</v>
      </c>
      <c r="J14" s="4">
        <v>800</v>
      </c>
      <c r="K14" s="4">
        <v>870</v>
      </c>
      <c r="M14" s="34">
        <f>$F14/J14</f>
        <v>15.75</v>
      </c>
      <c r="N14" s="34">
        <f>$F14/K14</f>
        <v>14.482758620689655</v>
      </c>
    </row>
    <row r="15" spans="2:14" x14ac:dyDescent="0.35">
      <c r="B15" s="1" t="s">
        <v>22</v>
      </c>
      <c r="C15" s="13">
        <v>55</v>
      </c>
      <c r="D15" s="5">
        <v>250</v>
      </c>
      <c r="F15" s="6">
        <f t="shared" ref="F15:F18" si="5">H15+G15</f>
        <v>14450</v>
      </c>
      <c r="G15" s="5">
        <v>700</v>
      </c>
      <c r="H15" s="6">
        <f t="shared" ref="H15:H18" si="6">C15*D15</f>
        <v>13750</v>
      </c>
      <c r="J15" s="5">
        <v>720</v>
      </c>
      <c r="K15" s="5">
        <v>780</v>
      </c>
      <c r="M15" s="35">
        <f t="shared" ref="M15:M18" si="7">$F15/J15</f>
        <v>20.069444444444443</v>
      </c>
      <c r="N15" s="35">
        <f t="shared" ref="N15:N18" si="8">$F15/K15</f>
        <v>18.525641025641026</v>
      </c>
    </row>
    <row r="16" spans="2:14" x14ac:dyDescent="0.35">
      <c r="B16" s="1" t="s">
        <v>23</v>
      </c>
      <c r="C16" s="13">
        <v>33</v>
      </c>
      <c r="D16" s="5">
        <v>400</v>
      </c>
      <c r="F16" s="6">
        <f t="shared" si="5"/>
        <v>13700</v>
      </c>
      <c r="G16" s="5">
        <v>500</v>
      </c>
      <c r="H16" s="6">
        <f t="shared" si="6"/>
        <v>13200</v>
      </c>
      <c r="J16" s="5">
        <v>640</v>
      </c>
      <c r="K16" s="5">
        <v>710</v>
      </c>
      <c r="M16" s="35">
        <f t="shared" si="7"/>
        <v>21.40625</v>
      </c>
      <c r="N16" s="35">
        <f t="shared" si="8"/>
        <v>19.295774647887324</v>
      </c>
    </row>
    <row r="17" spans="2:14" x14ac:dyDescent="0.35">
      <c r="B17" s="1" t="s">
        <v>24</v>
      </c>
      <c r="C17" s="13">
        <v>60</v>
      </c>
      <c r="D17" s="5">
        <v>230</v>
      </c>
      <c r="F17" s="6">
        <f t="shared" si="5"/>
        <v>14350</v>
      </c>
      <c r="G17" s="5">
        <v>550</v>
      </c>
      <c r="H17" s="6">
        <f t="shared" si="6"/>
        <v>13800</v>
      </c>
      <c r="J17" s="5">
        <v>760</v>
      </c>
      <c r="K17" s="5">
        <v>820</v>
      </c>
      <c r="M17" s="35">
        <f t="shared" si="7"/>
        <v>18.881578947368421</v>
      </c>
      <c r="N17" s="35">
        <f t="shared" si="8"/>
        <v>17.5</v>
      </c>
    </row>
    <row r="18" spans="2:14" x14ac:dyDescent="0.35">
      <c r="B18" s="1" t="s">
        <v>25</v>
      </c>
      <c r="C18" s="13">
        <v>28</v>
      </c>
      <c r="D18" s="5">
        <v>500</v>
      </c>
      <c r="F18" s="6">
        <f t="shared" si="5"/>
        <v>14650</v>
      </c>
      <c r="G18" s="5">
        <v>650</v>
      </c>
      <c r="H18" s="6">
        <f t="shared" si="6"/>
        <v>14000</v>
      </c>
      <c r="J18" s="5">
        <v>700</v>
      </c>
      <c r="K18" s="5">
        <v>770</v>
      </c>
      <c r="M18" s="35">
        <f t="shared" si="7"/>
        <v>20.928571428571427</v>
      </c>
      <c r="N18" s="35">
        <f t="shared" si="8"/>
        <v>19.025974025974026</v>
      </c>
    </row>
    <row r="19" spans="2:14" ht="13.9" x14ac:dyDescent="0.4">
      <c r="B19" s="16" t="s">
        <v>20</v>
      </c>
      <c r="C19" s="17"/>
      <c r="D19" s="18"/>
      <c r="E19" s="29"/>
      <c r="F19" s="19">
        <f>AVERAGE(F14:F18)</f>
        <v>13950</v>
      </c>
      <c r="G19" s="19">
        <f>AVERAGE(G14:G18)</f>
        <v>600</v>
      </c>
      <c r="H19" s="19">
        <f>AVERAGE(H14:H18)</f>
        <v>13350</v>
      </c>
      <c r="I19" s="30"/>
      <c r="J19" s="19">
        <f t="shared" ref="J19" si="9">AVERAGE(J14:J18)</f>
        <v>724</v>
      </c>
      <c r="K19" s="19">
        <f t="shared" ref="K19" si="10">AVERAGE(K14:K18)</f>
        <v>790</v>
      </c>
      <c r="L19" s="30"/>
      <c r="M19" s="36">
        <f>AVERAGE(M14:M18)</f>
        <v>19.40716896407686</v>
      </c>
      <c r="N19" s="37">
        <f>AVERAGE(N14:N18)</f>
        <v>17.766029664038406</v>
      </c>
    </row>
    <row r="21" spans="2:14" ht="13.9" x14ac:dyDescent="0.4">
      <c r="B21" s="20" t="s">
        <v>26</v>
      </c>
      <c r="C21" s="21"/>
      <c r="D21" s="21"/>
      <c r="E21" s="21"/>
      <c r="F21" s="27">
        <f>AVERAGE(F6:F10,F14:F18)</f>
        <v>13547</v>
      </c>
      <c r="G21" s="27">
        <f t="shared" ref="G21:H21" si="11">AVERAGE(G6:G10,G14:G18)</f>
        <v>420</v>
      </c>
      <c r="H21" s="27">
        <f t="shared" si="11"/>
        <v>13127</v>
      </c>
      <c r="I21" s="31"/>
      <c r="J21" s="27">
        <f t="shared" ref="J21:K21" si="12">AVERAGE(J6:J10,J14:J18)</f>
        <v>782</v>
      </c>
      <c r="K21" s="27">
        <f t="shared" si="12"/>
        <v>870</v>
      </c>
      <c r="L21" s="31"/>
      <c r="M21" s="38">
        <f t="shared" ref="M21:N21" si="13">AVERAGE(M6:M10,M14:M18)</f>
        <v>17.667241047694993</v>
      </c>
      <c r="N21" s="39">
        <f t="shared" si="13"/>
        <v>15.921765497037374</v>
      </c>
    </row>
    <row r="22" spans="2:14" ht="13.9" x14ac:dyDescent="0.4">
      <c r="B22" s="22" t="s">
        <v>27</v>
      </c>
      <c r="C22" s="23"/>
      <c r="D22" s="23"/>
      <c r="E22" s="23"/>
      <c r="F22" s="26">
        <f>MEDIAN(F6:F10,F14:F18)</f>
        <v>14075</v>
      </c>
      <c r="G22" s="26">
        <f t="shared" ref="G22:H22" si="14">MEDIAN(G6:G10,G14:G18)</f>
        <v>450</v>
      </c>
      <c r="H22" s="26">
        <f t="shared" si="14"/>
        <v>13625</v>
      </c>
      <c r="I22" s="32"/>
      <c r="J22" s="26">
        <f t="shared" ref="J22:K22" si="15">MEDIAN(J6:J10,J14:J18)</f>
        <v>755</v>
      </c>
      <c r="K22" s="26">
        <f t="shared" si="15"/>
        <v>820</v>
      </c>
      <c r="L22" s="32"/>
      <c r="M22" s="40">
        <f t="shared" ref="M22:N22" si="16">MEDIAN(M6:M10,M14:M18)</f>
        <v>17.43888888888889</v>
      </c>
      <c r="N22" s="41">
        <f t="shared" si="16"/>
        <v>15.38310291858679</v>
      </c>
    </row>
    <row r="23" spans="2:14" ht="13.9" x14ac:dyDescent="0.4">
      <c r="B23" s="22" t="s">
        <v>28</v>
      </c>
      <c r="C23" s="23"/>
      <c r="D23" s="23"/>
      <c r="E23" s="23"/>
      <c r="F23" s="26">
        <f>_xlfn.QUARTILE.INC(F6:F10:F14:F18,1)</f>
        <v>12872</v>
      </c>
      <c r="G23" s="26">
        <f>_xlfn.QUARTILE.INC(G6:G10:G14:G18,1)</f>
        <v>245</v>
      </c>
      <c r="H23" s="26">
        <f>_xlfn.QUARTILE.INC(H6:H10:H14:H18,1)</f>
        <v>12452</v>
      </c>
      <c r="I23" s="32"/>
      <c r="J23" s="26">
        <f>_xlfn.QUARTILE.INC(J6:J10:J14:J18,1)</f>
        <v>710</v>
      </c>
      <c r="K23" s="26">
        <f>_xlfn.QUARTILE.INC(K6:K10:K14:K18,1)</f>
        <v>775</v>
      </c>
      <c r="L23" s="32"/>
      <c r="M23" s="40">
        <f>_xlfn.QUARTILE.INC(M6:M10:M14:M18,1)</f>
        <v>15.838656565656567</v>
      </c>
      <c r="N23" s="41">
        <f>_xlfn.QUARTILE.INC(N6:N10:N14:N18,1)</f>
        <v>14.280129975362998</v>
      </c>
    </row>
    <row r="24" spans="2:14" ht="13.9" x14ac:dyDescent="0.4">
      <c r="B24" s="24" t="s">
        <v>29</v>
      </c>
      <c r="C24" s="25"/>
      <c r="D24" s="25"/>
      <c r="E24" s="25"/>
      <c r="F24" s="28">
        <f>_xlfn.QUARTILE.INC(F6:F10:F14:F18,3)</f>
        <v>14450</v>
      </c>
      <c r="G24" s="28">
        <f>_xlfn.QUARTILE.INC(G6:G10:G14:G18,3)</f>
        <v>575</v>
      </c>
      <c r="H24" s="28">
        <f>_xlfn.QUARTILE.INC(H6:H10:H14:H18,3)</f>
        <v>13900</v>
      </c>
      <c r="I24" s="33"/>
      <c r="J24" s="28">
        <f>_xlfn.QUARTILE.INC(J6:J10:J14:J18,3)</f>
        <v>845</v>
      </c>
      <c r="K24" s="28">
        <f>_xlfn.QUARTILE.INC(K6:K10:K14:K18,3)</f>
        <v>940</v>
      </c>
      <c r="L24" s="33"/>
      <c r="M24" s="42">
        <f>_xlfn.QUARTILE.INC(M6:M10:M14:M18,3)</f>
        <v>19.475511695906434</v>
      </c>
      <c r="N24" s="43">
        <f>_xlfn.QUARTILE.INC(N6:N10:N14:N18,3)</f>
        <v>18.012820512820511</v>
      </c>
    </row>
    <row r="26" spans="2:14" x14ac:dyDescent="0.35">
      <c r="B26" s="1" t="s">
        <v>0</v>
      </c>
    </row>
  </sheetData>
  <pageMargins left="0.7" right="0.7" top="0.75" bottom="0.75" header="0.3" footer="0.3"/>
  <pageSetup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Public Comps</vt:lpstr>
      <vt:lpstr>'Public Comps'!Print_Area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Colton Moraine</dc:creator>
  <cp:lastModifiedBy>Colton Moraine</cp:lastModifiedBy>
  <dcterms:created xsi:type="dcterms:W3CDTF">2025-10-14T19:15:30Z</dcterms:created>
  <dcterms:modified xsi:type="dcterms:W3CDTF">2025-12-16T16:43:53Z</dcterms:modified>
</cp:coreProperties>
</file>