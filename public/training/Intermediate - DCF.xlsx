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rai\Downloads\"/>
    </mc:Choice>
  </mc:AlternateContent>
  <xr:revisionPtr revIDLastSave="0" documentId="13_ncr:1_{FEE844BC-59C9-44B0-9B0A-EC9305C115D3}" xr6:coauthVersionLast="47" xr6:coauthVersionMax="47" xr10:uidLastSave="{00000000-0000-0000-0000-000000000000}"/>
  <bookViews>
    <workbookView xWindow="34452" yWindow="-108" windowWidth="61656" windowHeight="25416" xr2:uid="{3651C6AC-F954-4D5C-A681-27BEAD9D1960}"/>
  </bookViews>
  <sheets>
    <sheet name="DCF" sheetId="1" r:id="rId1"/>
  </sheet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4" i="1" l="1"/>
  <c r="H62" i="1"/>
  <c r="G61" i="1"/>
  <c r="M57" i="1"/>
  <c r="L57" i="1"/>
  <c r="K57" i="1"/>
  <c r="J57" i="1"/>
  <c r="I57" i="1"/>
  <c r="H57" i="1"/>
  <c r="I54" i="1"/>
  <c r="J54" i="1" s="1"/>
  <c r="K54" i="1" s="1"/>
  <c r="L53" i="1"/>
  <c r="K53" i="1"/>
  <c r="J53" i="1"/>
  <c r="I53" i="1"/>
  <c r="H53" i="1"/>
  <c r="L52" i="1"/>
  <c r="K52" i="1"/>
  <c r="J52" i="1"/>
  <c r="I52" i="1"/>
  <c r="H52" i="1"/>
  <c r="M32" i="1"/>
  <c r="M31" i="1"/>
  <c r="M30" i="1"/>
  <c r="M29" i="1"/>
  <c r="B24" i="1"/>
  <c r="B23" i="1"/>
  <c r="B22" i="1"/>
  <c r="B21" i="1"/>
  <c r="C17" i="1"/>
  <c r="H18" i="1" s="1"/>
  <c r="H17" i="1" s="1"/>
  <c r="M16" i="1"/>
  <c r="L16" i="1"/>
  <c r="K16" i="1"/>
  <c r="J16" i="1"/>
  <c r="H16" i="1"/>
  <c r="J13" i="1"/>
  <c r="I13" i="1"/>
  <c r="H13" i="1"/>
  <c r="L9" i="1"/>
  <c r="M9" i="1" s="1"/>
  <c r="M8" i="1" s="1"/>
  <c r="K9" i="1"/>
  <c r="J9" i="1"/>
  <c r="I9" i="1"/>
  <c r="H9" i="1"/>
  <c r="M6" i="1"/>
  <c r="M5" i="1" s="1"/>
  <c r="L6" i="1"/>
  <c r="K6" i="1"/>
  <c r="J6" i="1"/>
  <c r="I6" i="1"/>
  <c r="H3" i="1"/>
  <c r="H61" i="1" s="1"/>
  <c r="M21" i="1" l="1"/>
  <c r="M52" i="1"/>
  <c r="L54" i="1"/>
  <c r="L66" i="1" s="1"/>
  <c r="K13" i="1"/>
  <c r="J66" i="1"/>
  <c r="K66" i="1"/>
  <c r="I18" i="1"/>
  <c r="M11" i="1"/>
  <c r="M53" i="1" s="1"/>
  <c r="M14" i="1"/>
  <c r="H51" i="1"/>
  <c r="I3" i="1"/>
  <c r="H66" i="1"/>
  <c r="I66" i="1"/>
  <c r="I17" i="1" l="1"/>
  <c r="J18" i="1"/>
  <c r="H67" i="1"/>
  <c r="H63" i="1" s="1"/>
  <c r="I51" i="1"/>
  <c r="J3" i="1"/>
  <c r="I61" i="1"/>
  <c r="L13" i="1"/>
  <c r="M13" i="1" s="1"/>
  <c r="M54" i="1"/>
  <c r="M66" i="1" s="1"/>
  <c r="M37" i="1"/>
  <c r="P36" i="1" s="1"/>
  <c r="J51" i="1" l="1"/>
  <c r="K3" i="1"/>
  <c r="J61" i="1"/>
  <c r="H55" i="1"/>
  <c r="H56" i="1" s="1"/>
  <c r="H58" i="1" s="1"/>
  <c r="H12" i="1" s="1"/>
  <c r="H15" i="1" s="1"/>
  <c r="H19" i="1" s="1"/>
  <c r="H64" i="1"/>
  <c r="I62" i="1" s="1"/>
  <c r="J17" i="1"/>
  <c r="K18" i="1"/>
  <c r="H68" i="1"/>
  <c r="I67" i="1" l="1"/>
  <c r="K51" i="1"/>
  <c r="L3" i="1"/>
  <c r="K61" i="1"/>
  <c r="K17" i="1"/>
  <c r="L18" i="1"/>
  <c r="L17" i="1" l="1"/>
  <c r="M18" i="1"/>
  <c r="M17" i="1" s="1"/>
  <c r="M22" i="1" s="1"/>
  <c r="M23" i="1" s="1"/>
  <c r="M26" i="1" s="1"/>
  <c r="I63" i="1"/>
  <c r="I68" i="1"/>
  <c r="L51" i="1"/>
  <c r="L61" i="1"/>
  <c r="I55" i="1" l="1"/>
  <c r="I56" i="1" s="1"/>
  <c r="I58" i="1" s="1"/>
  <c r="I12" i="1" s="1"/>
  <c r="I15" i="1" s="1"/>
  <c r="I19" i="1" s="1"/>
  <c r="I64" i="1"/>
  <c r="J62" i="1" s="1"/>
  <c r="J67" i="1" l="1"/>
  <c r="J63" i="1" l="1"/>
  <c r="J68" i="1"/>
  <c r="J55" i="1" l="1"/>
  <c r="J56" i="1" s="1"/>
  <c r="J58" i="1" s="1"/>
  <c r="J12" i="1" s="1"/>
  <c r="J15" i="1" s="1"/>
  <c r="J19" i="1" s="1"/>
  <c r="J64" i="1"/>
  <c r="K62" i="1" s="1"/>
  <c r="K67" i="1" l="1"/>
  <c r="K63" i="1" l="1"/>
  <c r="K68" i="1"/>
  <c r="K55" i="1" l="1"/>
  <c r="K56" i="1" s="1"/>
  <c r="K58" i="1" s="1"/>
  <c r="K12" i="1" s="1"/>
  <c r="K15" i="1" s="1"/>
  <c r="K19" i="1" s="1"/>
  <c r="K64" i="1"/>
  <c r="L62" i="1" s="1"/>
  <c r="L67" i="1" l="1"/>
  <c r="L63" i="1" l="1"/>
  <c r="L68" i="1"/>
  <c r="L55" i="1" l="1"/>
  <c r="L56" i="1" s="1"/>
  <c r="L58" i="1" s="1"/>
  <c r="L12" i="1" s="1"/>
  <c r="L15" i="1" s="1"/>
  <c r="L19" i="1" s="1"/>
  <c r="M25" i="1" s="1"/>
  <c r="M28" i="1" s="1"/>
  <c r="L64" i="1"/>
  <c r="M62" i="1" s="1"/>
  <c r="M67" i="1" l="1"/>
  <c r="M33" i="1"/>
  <c r="M27" i="1"/>
  <c r="M63" i="1" l="1"/>
  <c r="M68" i="1"/>
  <c r="M55" i="1" l="1"/>
  <c r="M56" i="1" s="1"/>
  <c r="M58" i="1" s="1"/>
  <c r="M12" i="1" s="1"/>
  <c r="M15" i="1" s="1"/>
  <c r="M64" i="1"/>
  <c r="M19" i="1" l="1"/>
  <c r="M36" i="1"/>
  <c r="P15" i="1"/>
  <c r="P35" i="1" l="1"/>
  <c r="M43" i="1"/>
  <c r="M47" i="1"/>
  <c r="M34" i="1"/>
  <c r="M35" i="1"/>
  <c r="M44" i="1"/>
</calcChain>
</file>

<file path=xl/sharedStrings.xml><?xml version="1.0" encoding="utf-8"?>
<sst xmlns="http://schemas.openxmlformats.org/spreadsheetml/2006/main" count="72" uniqueCount="65">
  <si>
    <t>Key Assumptions</t>
  </si>
  <si>
    <t>Terminal</t>
  </si>
  <si>
    <t>Circ?</t>
  </si>
  <si>
    <r>
      <rPr>
        <sz val="10"/>
        <color theme="1"/>
        <rFont val="Sero Offc"/>
      </rPr>
      <t>Year</t>
    </r>
    <r>
      <rPr>
        <vertAlign val="superscript"/>
        <sz val="10"/>
        <color theme="1"/>
        <rFont val="Sero Offc"/>
      </rPr>
      <t>(1)</t>
    </r>
  </si>
  <si>
    <t>DCF Assumptions</t>
  </si>
  <si>
    <t>Revenue</t>
  </si>
  <si>
    <t>Tax Rate</t>
  </si>
  <si>
    <t>% Growth</t>
  </si>
  <si>
    <t>WACC</t>
  </si>
  <si>
    <t>Terminal Multiple</t>
  </si>
  <si>
    <t>EBITDA (pre-SBC)</t>
  </si>
  <si>
    <t>Mid-Year Convention?</t>
  </si>
  <si>
    <t>% Margin</t>
  </si>
  <si>
    <t>Use NTM Terminal Multiple?</t>
  </si>
  <si>
    <t>PGR</t>
  </si>
  <si>
    <t>Less: SBC</t>
  </si>
  <si>
    <t>Less: Unlevered Taxes</t>
  </si>
  <si>
    <t>Federal NOLs Outstanding</t>
  </si>
  <si>
    <t>Less: Capex</t>
  </si>
  <si>
    <t>Less: Increase in NWC</t>
  </si>
  <si>
    <t>Check</t>
  </si>
  <si>
    <t>Valuation Date</t>
  </si>
  <si>
    <t>UFCF</t>
  </si>
  <si>
    <t>End of Next Full Year</t>
  </si>
  <si>
    <t>Stub Factor</t>
  </si>
  <si>
    <t>Stub period</t>
  </si>
  <si>
    <t>Discount Factor</t>
  </si>
  <si>
    <t>Memo: Discounting Period</t>
  </si>
  <si>
    <t>PV of UFCF</t>
  </si>
  <si>
    <t>Current Balance Sheet</t>
  </si>
  <si>
    <t>Terminal Value</t>
  </si>
  <si>
    <t>Discounted Terminal Value</t>
  </si>
  <si>
    <t>PV of CFs</t>
  </si>
  <si>
    <t>PV of Terminal Value</t>
  </si>
  <si>
    <t>Memo: Terminal Value as % of TEV</t>
  </si>
  <si>
    <t>Enterprise Value</t>
  </si>
  <si>
    <t>Plus: Cash</t>
  </si>
  <si>
    <t>Less: Debt</t>
  </si>
  <si>
    <t>Plus: Equity Investments</t>
  </si>
  <si>
    <t>Less: NCI</t>
  </si>
  <si>
    <t>Equity Value</t>
  </si>
  <si>
    <t>FDSO (in millions)</t>
  </si>
  <si>
    <t>Implied Share Price</t>
  </si>
  <si>
    <t>Implied Terminal Growth Rate</t>
  </si>
  <si>
    <t>Implied Terminal EBITDA Multiple</t>
  </si>
  <si>
    <t>FDSO Calculation</t>
  </si>
  <si>
    <t>#</t>
  </si>
  <si>
    <t>Strike</t>
  </si>
  <si>
    <t>Dilution</t>
  </si>
  <si>
    <t>Tranche 1</t>
  </si>
  <si>
    <t>RSUs</t>
  </si>
  <si>
    <t>Basic Shares</t>
  </si>
  <si>
    <t>FDSO</t>
  </si>
  <si>
    <t>Tax Schedule</t>
  </si>
  <si>
    <t>Less: D&amp;A</t>
  </si>
  <si>
    <t>Less: NOL Usage</t>
  </si>
  <si>
    <t>Taxable EBIT</t>
  </si>
  <si>
    <t xml:space="preserve">Unlevered Taxes </t>
  </si>
  <si>
    <t>NOL Schedule</t>
  </si>
  <si>
    <t>Beginning Balance</t>
  </si>
  <si>
    <t>NOL Used</t>
  </si>
  <si>
    <t>Ending Balance</t>
  </si>
  <si>
    <t>EBIT (pre-NOL)</t>
  </si>
  <si>
    <t>NOLs (Used) / Created</t>
  </si>
  <si>
    <t>EBIT (post-NOL)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</si>
</sst>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8" formatCode="&quot;$&quot;#,##0.00_);[Red]\(&quot;$&quot;#,##0.00\)"/>
    <numFmt numFmtId="164" formatCode="_([$$]#,##0_)_%;\([$$]#,##0\)_%;_(&quot;–&quot;_)_%;_(@_)_%"/>
    <numFmt numFmtId="165" formatCode="&quot;Yes&quot;;&quot;No&quot;;&quot;No&quot;"/>
    <numFmt numFmtId="166" formatCode="yyyy&quot;E&quot;"/>
    <numFmt numFmtId="167" formatCode="[$$]#,##0.0_);\([$$]#,##0.0\);&quot;–&quot;_);@_)"/>
    <numFmt numFmtId="168" formatCode="_(#,##0.00%_);\(#,##0.00%\);_(&quot;–&quot;_)_%;_(@_)_%"/>
    <numFmt numFmtId="169" formatCode="_(#,##0.0%_);\(#,##0.0%\);_(&quot;–&quot;_)_%;_(@_)_%"/>
    <numFmt numFmtId="170" formatCode="_(0.0\x_);_(\(0.0\x\);_(&quot;–&quot;_)_);_(@_)"/>
    <numFmt numFmtId="171" formatCode="#,##0.0_);\(#,##0.0\);&quot;–&quot;_);@_)"/>
    <numFmt numFmtId="172" formatCode="#,##0.0_);\(#,##0.0\);_)\-_);_)@_)"/>
    <numFmt numFmtId="173" formatCode="_(#,##0.0%_);\(#,##0.0%\);_(&quot;–&quot;_%;_(@_)"/>
    <numFmt numFmtId="174" formatCode="[$$]#,##0_);\([$$]#,##0\);&quot;–&quot;_);@_)"/>
    <numFmt numFmtId="175" formatCode="_(#,##0.00%_);\(#,##0.00%\);_(&quot;–&quot;_%;_(@_)"/>
    <numFmt numFmtId="176" formatCode="#,##0.00_);\(#,##0.00\);&quot;–&quot;_);@_)"/>
    <numFmt numFmtId="177" formatCode="_(#,##0.000_);\(#,##0.000\);_(&quot;–&quot;_);_(@_)"/>
    <numFmt numFmtId="178" formatCode="_(#,##0_);\(#,##0\);_(&quot;–&quot;_);_(@_)"/>
    <numFmt numFmtId="179" formatCode="_(#,##0.0_);\(#,##0.0\);_(&quot;–&quot;_);_(@_)"/>
    <numFmt numFmtId="180" formatCode="[$$]#,##0.00_);\([$$]#,##0.00\);&quot;–&quot;_);@_)"/>
    <numFmt numFmtId="181" formatCode="#,##0_);\(#,##0\);&quot;–&quot;_);@_)"/>
  </numFmts>
  <fonts count="14">
    <font>
      <sz val="11"/>
      <color theme="1"/>
      <name val="Calibri"/>
      <scheme val="minor"/>
    </font>
    <font>
      <sz val="10"/>
      <color theme="1"/>
      <name val="Sero Offc Light"/>
    </font>
    <font>
      <sz val="10"/>
      <color theme="0"/>
      <name val="Sero Offc"/>
    </font>
    <font>
      <sz val="10"/>
      <color theme="1"/>
      <name val="Sero Offc"/>
    </font>
    <font>
      <sz val="10"/>
      <color rgb="FF0000FF"/>
      <name val="Sero Offc Light"/>
    </font>
    <font>
      <vertAlign val="superscript"/>
      <sz val="10"/>
      <color theme="1"/>
      <name val="Sero Offc"/>
    </font>
    <font>
      <u/>
      <sz val="10"/>
      <color theme="1"/>
      <name val="Sero Offc"/>
    </font>
    <font>
      <sz val="10"/>
      <color rgb="FF5A656E"/>
      <name val="Sero Offc Light"/>
    </font>
    <font>
      <i/>
      <sz val="10"/>
      <color theme="1"/>
      <name val="Sero Offc Light"/>
    </font>
    <font>
      <i/>
      <sz val="10"/>
      <color rgb="FF5A656E"/>
      <name val="Sero Offc Light"/>
    </font>
    <font>
      <i/>
      <sz val="10"/>
      <color rgb="FFBFBFBF"/>
      <name val="Sero Offc Light"/>
    </font>
    <font>
      <sz val="10"/>
      <color theme="0"/>
      <name val="Sero Offc Light"/>
    </font>
    <font>
      <sz val="10"/>
      <color rgb="FF5A656E"/>
      <name val="Sero Offc"/>
    </font>
    <font>
      <sz val="10"/>
      <color rgb="FF008000"/>
      <name val="Sero Offc Light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EFED8"/>
        <bgColor rgb="FFFEFED8"/>
      </patternFill>
    </fill>
    <fill>
      <patternFill patternType="solid">
        <fgColor rgb="FFE3EAEE"/>
        <bgColor rgb="FFE3EAEE"/>
      </patternFill>
    </fill>
    <fill>
      <patternFill patternType="solid">
        <fgColor theme="9"/>
        <bgColor theme="9"/>
      </patternFill>
    </fill>
  </fills>
  <borders count="12">
    <border>
      <left/>
      <right/>
      <top/>
      <bottom/>
      <diagonal/>
    </border>
    <border>
      <left/>
      <right/>
      <top style="thin">
        <color rgb="FF7C98AB"/>
      </top>
      <bottom/>
      <diagonal/>
    </border>
    <border>
      <left style="hair">
        <color rgb="FF7C98AB"/>
      </left>
      <right/>
      <top style="thin">
        <color rgb="FF7C98AB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7C98AB"/>
      </bottom>
      <diagonal/>
    </border>
    <border>
      <left style="hair">
        <color rgb="FF7C98AB"/>
      </left>
      <right/>
      <top/>
      <bottom style="thin">
        <color rgb="FF7C98AB"/>
      </bottom>
      <diagonal/>
    </border>
    <border>
      <left/>
      <right style="hair">
        <color rgb="FF7C98AB"/>
      </right>
      <top/>
      <bottom/>
      <diagonal/>
    </border>
    <border>
      <left style="hair">
        <color rgb="FF7C98AB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hair">
        <color rgb="FF7C98AB"/>
      </right>
      <top style="thin">
        <color rgb="FF7C98AB"/>
      </top>
      <bottom/>
      <diagonal/>
    </border>
    <border>
      <left/>
      <right/>
      <top style="thin">
        <color rgb="FF7C98AB"/>
      </top>
      <bottom style="thin">
        <color rgb="FF7C98AB"/>
      </bottom>
      <diagonal/>
    </border>
    <border>
      <left/>
      <right style="hair">
        <color rgb="FF7C98AB"/>
      </right>
      <top style="thin">
        <color rgb="FF7C98AB"/>
      </top>
      <bottom style="thin">
        <color rgb="FF7C98AB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/>
    <xf numFmtId="165" fontId="4" fillId="3" borderId="3" xfId="0" applyNumberFormat="1" applyFont="1" applyFill="1" applyBorder="1" applyAlignment="1">
      <alignment horizontal="center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166" fontId="3" fillId="0" borderId="4" xfId="0" applyNumberFormat="1" applyFont="1" applyBorder="1" applyAlignment="1">
      <alignment horizontal="left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164" fontId="1" fillId="0" borderId="6" xfId="0" applyNumberFormat="1" applyFont="1" applyBorder="1" applyAlignment="1">
      <alignment horizontal="right"/>
    </xf>
    <xf numFmtId="0" fontId="6" fillId="0" borderId="0" xfId="0" applyFont="1"/>
    <xf numFmtId="167" fontId="4" fillId="3" borderId="0" xfId="0" applyNumberFormat="1" applyFont="1" applyFill="1" applyAlignment="1">
      <alignment horizontal="right"/>
    </xf>
    <xf numFmtId="167" fontId="4" fillId="3" borderId="6" xfId="0" applyNumberFormat="1" applyFont="1" applyFill="1" applyBorder="1" applyAlignment="1">
      <alignment horizontal="right"/>
    </xf>
    <xf numFmtId="167" fontId="7" fillId="0" borderId="0" xfId="0" applyNumberFormat="1" applyFont="1" applyAlignment="1">
      <alignment horizontal="right"/>
    </xf>
    <xf numFmtId="168" fontId="4" fillId="3" borderId="3" xfId="0" applyNumberFormat="1" applyFont="1" applyFill="1" applyBorder="1" applyAlignment="1">
      <alignment horizontal="center"/>
    </xf>
    <xf numFmtId="0" fontId="8" fillId="0" borderId="0" xfId="0" applyFont="1" applyAlignment="1">
      <alignment horizontal="left"/>
    </xf>
    <xf numFmtId="169" fontId="8" fillId="0" borderId="0" xfId="0" applyNumberFormat="1" applyFont="1" applyAlignment="1">
      <alignment horizontal="right"/>
    </xf>
    <xf numFmtId="169" fontId="8" fillId="0" borderId="6" xfId="0" applyNumberFormat="1" applyFont="1" applyBorder="1" applyAlignment="1">
      <alignment horizontal="right"/>
    </xf>
    <xf numFmtId="170" fontId="4" fillId="3" borderId="3" xfId="0" applyNumberFormat="1" applyFont="1" applyFill="1" applyBorder="1" applyAlignment="1">
      <alignment horizontal="center"/>
    </xf>
    <xf numFmtId="171" fontId="4" fillId="3" borderId="0" xfId="0" applyNumberFormat="1" applyFont="1" applyFill="1" applyAlignment="1">
      <alignment horizontal="right"/>
    </xf>
    <xf numFmtId="172" fontId="4" fillId="3" borderId="0" xfId="0" applyNumberFormat="1" applyFont="1" applyFill="1" applyAlignment="1">
      <alignment horizontal="right"/>
    </xf>
    <xf numFmtId="172" fontId="4" fillId="3" borderId="6" xfId="0" applyNumberFormat="1" applyFont="1" applyFill="1" applyBorder="1" applyAlignment="1">
      <alignment horizontal="right"/>
    </xf>
    <xf numFmtId="172" fontId="7" fillId="0" borderId="0" xfId="0" applyNumberFormat="1" applyFont="1" applyAlignment="1">
      <alignment horizontal="right"/>
    </xf>
    <xf numFmtId="173" fontId="1" fillId="0" borderId="0" xfId="0" applyNumberFormat="1" applyFont="1"/>
    <xf numFmtId="173" fontId="9" fillId="0" borderId="0" xfId="0" applyNumberFormat="1" applyFont="1"/>
    <xf numFmtId="173" fontId="9" fillId="0" borderId="7" xfId="0" applyNumberFormat="1" applyFont="1" applyBorder="1"/>
    <xf numFmtId="169" fontId="10" fillId="0" borderId="0" xfId="0" applyNumberFormat="1" applyFont="1"/>
    <xf numFmtId="169" fontId="8" fillId="0" borderId="0" xfId="0" applyNumberFormat="1" applyFont="1"/>
    <xf numFmtId="169" fontId="8" fillId="0" borderId="6" xfId="0" applyNumberFormat="1" applyFont="1" applyBorder="1"/>
    <xf numFmtId="0" fontId="1" fillId="0" borderId="0" xfId="0" applyFont="1" applyAlignment="1">
      <alignment horizontal="left"/>
    </xf>
    <xf numFmtId="171" fontId="7" fillId="0" borderId="0" xfId="0" applyNumberFormat="1" applyFont="1" applyAlignment="1">
      <alignment horizontal="right"/>
    </xf>
    <xf numFmtId="172" fontId="7" fillId="0" borderId="6" xfId="0" applyNumberFormat="1" applyFont="1" applyBorder="1" applyAlignment="1">
      <alignment horizontal="right"/>
    </xf>
    <xf numFmtId="174" fontId="4" fillId="3" borderId="3" xfId="0" applyNumberFormat="1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14" fontId="4" fillId="3" borderId="8" xfId="0" applyNumberFormat="1" applyFont="1" applyFill="1" applyBorder="1"/>
    <xf numFmtId="0" fontId="3" fillId="4" borderId="1" xfId="0" applyFont="1" applyFill="1" applyBorder="1"/>
    <xf numFmtId="167" fontId="3" fillId="4" borderId="1" xfId="0" applyNumberFormat="1" applyFont="1" applyFill="1" applyBorder="1" applyAlignment="1">
      <alignment horizontal="right"/>
    </xf>
    <xf numFmtId="167" fontId="3" fillId="4" borderId="9" xfId="0" applyNumberFormat="1" applyFont="1" applyFill="1" applyBorder="1" applyAlignment="1">
      <alignment horizontal="right"/>
    </xf>
    <xf numFmtId="175" fontId="1" fillId="0" borderId="0" xfId="0" applyNumberFormat="1" applyFont="1"/>
    <xf numFmtId="176" fontId="11" fillId="5" borderId="3" xfId="0" applyNumberFormat="1" applyFont="1" applyFill="1" applyBorder="1" applyAlignment="1">
      <alignment horizontal="center"/>
    </xf>
    <xf numFmtId="14" fontId="4" fillId="3" borderId="3" xfId="0" applyNumberFormat="1" applyFont="1" applyFill="1" applyBorder="1"/>
    <xf numFmtId="0" fontId="2" fillId="0" borderId="0" xfId="0" applyFont="1"/>
    <xf numFmtId="176" fontId="1" fillId="0" borderId="0" xfId="0" applyNumberFormat="1" applyFont="1" applyAlignment="1">
      <alignment horizontal="right"/>
    </xf>
    <xf numFmtId="176" fontId="4" fillId="0" borderId="0" xfId="0" applyNumberFormat="1" applyFont="1" applyAlignment="1">
      <alignment horizontal="right"/>
    </xf>
    <xf numFmtId="176" fontId="1" fillId="0" borderId="6" xfId="0" applyNumberFormat="1" applyFont="1" applyBorder="1" applyAlignment="1">
      <alignment horizontal="right"/>
    </xf>
    <xf numFmtId="176" fontId="1" fillId="0" borderId="0" xfId="0" applyNumberFormat="1" applyFont="1" applyAlignment="1">
      <alignment horizontal="center"/>
    </xf>
    <xf numFmtId="176" fontId="1" fillId="0" borderId="0" xfId="0" applyNumberFormat="1" applyFont="1"/>
    <xf numFmtId="176" fontId="8" fillId="0" borderId="0" xfId="0" applyNumberFormat="1" applyFont="1" applyAlignment="1">
      <alignment horizontal="right"/>
    </xf>
    <xf numFmtId="176" fontId="8" fillId="0" borderId="6" xfId="0" applyNumberFormat="1" applyFont="1" applyBorder="1" applyAlignment="1">
      <alignment horizontal="right"/>
    </xf>
    <xf numFmtId="177" fontId="8" fillId="0" borderId="0" xfId="0" applyNumberFormat="1" applyFont="1" applyAlignment="1">
      <alignment horizontal="right"/>
    </xf>
    <xf numFmtId="177" fontId="8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78" fontId="4" fillId="3" borderId="3" xfId="0" applyNumberFormat="1" applyFont="1" applyFill="1" applyBorder="1"/>
    <xf numFmtId="171" fontId="1" fillId="0" borderId="0" xfId="0" applyNumberFormat="1" applyFont="1" applyAlignment="1">
      <alignment horizontal="right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71" fontId="1" fillId="0" borderId="1" xfId="0" applyNumberFormat="1" applyFont="1" applyBorder="1" applyAlignment="1">
      <alignment horizontal="right"/>
    </xf>
    <xf numFmtId="178" fontId="1" fillId="0" borderId="0" xfId="0" applyNumberFormat="1" applyFont="1"/>
    <xf numFmtId="0" fontId="12" fillId="4" borderId="1" xfId="0" applyFont="1" applyFill="1" applyBorder="1" applyAlignment="1">
      <alignment horizontal="left"/>
    </xf>
    <xf numFmtId="0" fontId="12" fillId="4" borderId="1" xfId="0" applyFont="1" applyFill="1" applyBorder="1"/>
    <xf numFmtId="174" fontId="12" fillId="4" borderId="1" xfId="0" applyNumberFormat="1" applyFont="1" applyFill="1" applyBorder="1"/>
    <xf numFmtId="178" fontId="7" fillId="0" borderId="0" xfId="0" applyNumberFormat="1" applyFont="1"/>
    <xf numFmtId="178" fontId="7" fillId="0" borderId="4" xfId="0" applyNumberFormat="1" applyFont="1" applyBorder="1"/>
    <xf numFmtId="0" fontId="1" fillId="0" borderId="1" xfId="0" applyFont="1" applyBorder="1" applyAlignment="1">
      <alignment horizontal="left"/>
    </xf>
    <xf numFmtId="178" fontId="1" fillId="0" borderId="0" xfId="0" applyNumberFormat="1" applyFont="1" applyAlignment="1">
      <alignment horizontal="right"/>
    </xf>
    <xf numFmtId="179" fontId="1" fillId="0" borderId="0" xfId="0" applyNumberFormat="1" applyFont="1"/>
    <xf numFmtId="8" fontId="12" fillId="4" borderId="1" xfId="0" applyNumberFormat="1" applyFont="1" applyFill="1" applyBorder="1"/>
    <xf numFmtId="0" fontId="8" fillId="0" borderId="0" xfId="0" applyFont="1"/>
    <xf numFmtId="168" fontId="8" fillId="0" borderId="0" xfId="0" applyNumberFormat="1" applyFont="1"/>
    <xf numFmtId="170" fontId="1" fillId="0" borderId="0" xfId="0" applyNumberFormat="1" applyFont="1" applyAlignment="1">
      <alignment horizontal="right"/>
    </xf>
    <xf numFmtId="0" fontId="2" fillId="2" borderId="10" xfId="0" applyFont="1" applyFill="1" applyBorder="1"/>
    <xf numFmtId="167" fontId="2" fillId="2" borderId="10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1" xfId="0" applyFont="1" applyBorder="1"/>
    <xf numFmtId="171" fontId="4" fillId="3" borderId="1" xfId="0" applyNumberFormat="1" applyFont="1" applyFill="1" applyBorder="1" applyAlignment="1">
      <alignment horizontal="center"/>
    </xf>
    <xf numFmtId="180" fontId="4" fillId="3" borderId="0" xfId="0" applyNumberFormat="1" applyFont="1" applyFill="1" applyAlignment="1">
      <alignment horizontal="center"/>
    </xf>
    <xf numFmtId="171" fontId="1" fillId="0" borderId="0" xfId="0" applyNumberFormat="1" applyFont="1" applyAlignment="1">
      <alignment horizontal="center"/>
    </xf>
    <xf numFmtId="171" fontId="4" fillId="3" borderId="0" xfId="0" applyNumberFormat="1" applyFont="1" applyFill="1" applyAlignment="1">
      <alignment horizontal="center"/>
    </xf>
    <xf numFmtId="171" fontId="13" fillId="0" borderId="0" xfId="0" applyNumberFormat="1" applyFont="1"/>
    <xf numFmtId="0" fontId="13" fillId="0" borderId="0" xfId="0" applyFont="1"/>
    <xf numFmtId="0" fontId="12" fillId="0" borderId="1" xfId="0" applyFont="1" applyBorder="1"/>
    <xf numFmtId="171" fontId="12" fillId="0" borderId="1" xfId="0" applyNumberFormat="1" applyFont="1" applyBorder="1" applyAlignment="1">
      <alignment horizontal="center"/>
    </xf>
    <xf numFmtId="167" fontId="2" fillId="2" borderId="1" xfId="0" applyNumberFormat="1" applyFont="1" applyFill="1" applyBorder="1" applyAlignment="1">
      <alignment horizontal="right"/>
    </xf>
    <xf numFmtId="0" fontId="1" fillId="0" borderId="4" xfId="0" applyFont="1" applyBorder="1"/>
    <xf numFmtId="166" fontId="3" fillId="0" borderId="11" xfId="0" applyNumberFormat="1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171" fontId="1" fillId="0" borderId="0" xfId="0" applyNumberFormat="1" applyFont="1"/>
    <xf numFmtId="171" fontId="1" fillId="0" borderId="6" xfId="0" applyNumberFormat="1" applyFont="1" applyBorder="1"/>
    <xf numFmtId="171" fontId="4" fillId="3" borderId="0" xfId="0" applyNumberFormat="1" applyFont="1" applyFill="1"/>
    <xf numFmtId="171" fontId="4" fillId="3" borderId="6" xfId="0" applyNumberFormat="1" applyFont="1" applyFill="1" applyBorder="1"/>
    <xf numFmtId="171" fontId="7" fillId="0" borderId="0" xfId="0" applyNumberFormat="1" applyFont="1"/>
    <xf numFmtId="181" fontId="1" fillId="0" borderId="0" xfId="0" applyNumberFormat="1" applyFont="1"/>
    <xf numFmtId="181" fontId="1" fillId="0" borderId="6" xfId="0" applyNumberFormat="1" applyFont="1" applyBorder="1"/>
    <xf numFmtId="171" fontId="1" fillId="0" borderId="1" xfId="0" applyNumberFormat="1" applyFont="1" applyBorder="1"/>
    <xf numFmtId="171" fontId="1" fillId="0" borderId="9" xfId="0" applyNumberFormat="1" applyFont="1" applyBorder="1"/>
    <xf numFmtId="169" fontId="1" fillId="0" borderId="0" xfId="0" applyNumberFormat="1" applyFont="1"/>
    <xf numFmtId="169" fontId="1" fillId="0" borderId="6" xfId="0" applyNumberFormat="1" applyFont="1" applyBorder="1"/>
    <xf numFmtId="0" fontId="3" fillId="0" borderId="0" xfId="0" applyFont="1"/>
    <xf numFmtId="171" fontId="3" fillId="0" borderId="0" xfId="0" applyNumberFormat="1" applyFont="1"/>
    <xf numFmtId="171" fontId="3" fillId="0" borderId="6" xfId="0" applyNumberFormat="1" applyFont="1" applyBorder="1"/>
    <xf numFmtId="167" fontId="2" fillId="2" borderId="0" xfId="0" applyNumberFormat="1" applyFont="1" applyFill="1" applyAlignment="1">
      <alignment horizontal="right"/>
    </xf>
    <xf numFmtId="14" fontId="3" fillId="0" borderId="4" xfId="0" applyNumberFormat="1" applyFont="1" applyBorder="1" applyAlignment="1">
      <alignment horizontal="left"/>
    </xf>
    <xf numFmtId="0" fontId="1" fillId="0" borderId="6" xfId="0" applyFont="1" applyBorder="1"/>
    <xf numFmtId="0" fontId="1" fillId="0" borderId="0" xfId="0" quotePrefix="1" applyFont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6" fontId="3" fillId="0" borderId="4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5A656E"/>
      </a:dk1>
      <a:lt1>
        <a:srgbClr val="FFFFFF"/>
      </a:lt1>
      <a:dk2>
        <a:srgbClr val="5A656E"/>
      </a:dk2>
      <a:lt2>
        <a:srgbClr val="FFFFFF"/>
      </a:lt2>
      <a:accent1>
        <a:srgbClr val="7C98AB"/>
      </a:accent1>
      <a:accent2>
        <a:srgbClr val="00BAC8"/>
      </a:accent2>
      <a:accent3>
        <a:srgbClr val="8DB400"/>
      </a:accent3>
      <a:accent4>
        <a:srgbClr val="FBFB71"/>
      </a:accent4>
      <a:accent5>
        <a:srgbClr val="F14545"/>
      </a:accent5>
      <a:accent6>
        <a:srgbClr val="00889D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AAA05-3855-4E84-9EDB-622D2D893678}">
  <sheetPr>
    <tabColor rgb="FF0070C0"/>
  </sheetPr>
  <dimension ref="A1:Z1000"/>
  <sheetViews>
    <sheetView showGridLines="0" tabSelected="1" zoomScaleNormal="100" workbookViewId="0"/>
  </sheetViews>
  <sheetFormatPr defaultColWidth="14.46484375" defaultRowHeight="15" customHeight="1"/>
  <cols>
    <col min="1" max="1" width="9.06640625" customWidth="1"/>
    <col min="2" max="2" width="65" customWidth="1"/>
    <col min="3" max="3" width="11.796875" customWidth="1"/>
    <col min="4" max="4" width="9.06640625" customWidth="1"/>
    <col min="5" max="5" width="2.265625" customWidth="1"/>
    <col min="6" max="6" width="30.73046875" customWidth="1"/>
    <col min="7" max="7" width="25.46484375" customWidth="1"/>
    <col min="8" max="12" width="20.06640625" customWidth="1"/>
    <col min="13" max="13" width="18.73046875" customWidth="1"/>
    <col min="14" max="16" width="11.796875" customWidth="1"/>
    <col min="17" max="26" width="9.06640625" customWidth="1"/>
  </cols>
  <sheetData>
    <row r="1" spans="1:26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1"/>
      <c r="B2" s="2" t="s">
        <v>0</v>
      </c>
      <c r="C2" s="2"/>
      <c r="D2" s="1"/>
      <c r="E2" s="1"/>
      <c r="F2" s="3"/>
      <c r="G2" s="3"/>
      <c r="H2" s="107"/>
      <c r="I2" s="107"/>
      <c r="J2" s="107"/>
      <c r="K2" s="108"/>
      <c r="L2" s="108"/>
      <c r="M2" s="109" t="s">
        <v>1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>
      <c r="A3" s="1"/>
      <c r="B3" s="1" t="s">
        <v>2</v>
      </c>
      <c r="C3" s="4">
        <v>1</v>
      </c>
      <c r="D3" s="1"/>
      <c r="E3" s="1"/>
      <c r="F3" s="5"/>
      <c r="G3" s="6"/>
      <c r="H3" s="110">
        <f>+C16</f>
        <v>46022</v>
      </c>
      <c r="I3" s="110">
        <f t="shared" ref="I3:L3" si="0">+EOMONTH(H3,12)</f>
        <v>46387</v>
      </c>
      <c r="J3" s="110">
        <f t="shared" si="0"/>
        <v>46752</v>
      </c>
      <c r="K3" s="110">
        <f t="shared" si="0"/>
        <v>47118</v>
      </c>
      <c r="L3" s="110">
        <f t="shared" si="0"/>
        <v>47483</v>
      </c>
      <c r="M3" s="111" t="s">
        <v>3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>
      <c r="A4" s="1"/>
      <c r="B4" s="1"/>
      <c r="C4" s="1"/>
      <c r="D4" s="1"/>
      <c r="E4" s="1"/>
      <c r="F4" s="1"/>
      <c r="G4" s="1"/>
      <c r="H4" s="1"/>
      <c r="I4" s="8"/>
      <c r="J4" s="8"/>
      <c r="K4" s="9"/>
      <c r="L4" s="10"/>
      <c r="M4" s="9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>
      <c r="A5" s="1"/>
      <c r="B5" s="11" t="s">
        <v>4</v>
      </c>
      <c r="C5" s="1"/>
      <c r="D5" s="1"/>
      <c r="E5" s="1"/>
      <c r="F5" s="1" t="s">
        <v>5</v>
      </c>
      <c r="G5" s="1"/>
      <c r="H5" s="12">
        <v>80</v>
      </c>
      <c r="I5" s="12">
        <v>85</v>
      </c>
      <c r="J5" s="12">
        <v>90</v>
      </c>
      <c r="K5" s="12">
        <v>100</v>
      </c>
      <c r="L5" s="13">
        <v>105</v>
      </c>
      <c r="M5" s="14">
        <f>+L5*(1+M6)</f>
        <v>107.10000000000001</v>
      </c>
      <c r="O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1"/>
      <c r="B6" s="1" t="s">
        <v>6</v>
      </c>
      <c r="C6" s="15">
        <v>0.21</v>
      </c>
      <c r="D6" s="1"/>
      <c r="E6" s="1"/>
      <c r="F6" s="16" t="s">
        <v>7</v>
      </c>
      <c r="G6" s="16"/>
      <c r="H6" s="17"/>
      <c r="I6" s="17">
        <f t="shared" ref="I6:L6" si="1">+I5/H5-1</f>
        <v>6.25E-2</v>
      </c>
      <c r="J6" s="17">
        <f t="shared" si="1"/>
        <v>5.8823529411764719E-2</v>
      </c>
      <c r="K6" s="17">
        <f t="shared" si="1"/>
        <v>0.11111111111111116</v>
      </c>
      <c r="L6" s="18">
        <f t="shared" si="1"/>
        <v>5.0000000000000044E-2</v>
      </c>
      <c r="M6" s="17">
        <f>+C11</f>
        <v>0.02</v>
      </c>
      <c r="O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1" t="s">
        <v>8</v>
      </c>
      <c r="C7" s="15">
        <v>7.2499999999999995E-2</v>
      </c>
      <c r="D7" s="1"/>
      <c r="E7" s="1"/>
      <c r="F7" s="1"/>
      <c r="G7" s="1"/>
      <c r="H7" s="1"/>
      <c r="I7" s="8"/>
      <c r="J7" s="8"/>
      <c r="K7" s="9"/>
      <c r="L7" s="10"/>
      <c r="M7" s="9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1" t="s">
        <v>9</v>
      </c>
      <c r="C8" s="19">
        <v>8.5</v>
      </c>
      <c r="D8" s="1"/>
      <c r="E8" s="1"/>
      <c r="F8" s="1" t="s">
        <v>10</v>
      </c>
      <c r="G8" s="1"/>
      <c r="H8" s="20">
        <v>28</v>
      </c>
      <c r="I8" s="21">
        <v>30</v>
      </c>
      <c r="J8" s="21">
        <v>32</v>
      </c>
      <c r="K8" s="21">
        <v>34</v>
      </c>
      <c r="L8" s="22">
        <v>35</v>
      </c>
      <c r="M8" s="23">
        <f>+M9*M5</f>
        <v>35.700000000000003</v>
      </c>
      <c r="O8" s="24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>
      <c r="A9" s="1"/>
      <c r="B9" s="1" t="s">
        <v>11</v>
      </c>
      <c r="C9" s="4">
        <v>1</v>
      </c>
      <c r="D9" s="1"/>
      <c r="E9" s="1"/>
      <c r="F9" s="16" t="s">
        <v>12</v>
      </c>
      <c r="G9" s="16"/>
      <c r="H9" s="25">
        <f t="shared" ref="H9:L9" si="2">+H8/H5</f>
        <v>0.35</v>
      </c>
      <c r="I9" s="25">
        <f t="shared" si="2"/>
        <v>0.35294117647058826</v>
      </c>
      <c r="J9" s="25">
        <f t="shared" si="2"/>
        <v>0.35555555555555557</v>
      </c>
      <c r="K9" s="25">
        <f t="shared" si="2"/>
        <v>0.34</v>
      </c>
      <c r="L9" s="25">
        <f t="shared" si="2"/>
        <v>0.33333333333333331</v>
      </c>
      <c r="M9" s="26">
        <f>+L9</f>
        <v>0.33333333333333331</v>
      </c>
      <c r="N9" s="27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1"/>
      <c r="B10" s="1" t="s">
        <v>13</v>
      </c>
      <c r="C10" s="4">
        <v>1</v>
      </c>
      <c r="D10" s="1"/>
      <c r="E10" s="1"/>
      <c r="F10" s="16"/>
      <c r="G10" s="16"/>
      <c r="H10" s="28"/>
      <c r="I10" s="28"/>
      <c r="J10" s="28"/>
      <c r="K10" s="28"/>
      <c r="L10" s="29"/>
      <c r="M10" s="28"/>
      <c r="N10" s="27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1"/>
      <c r="B11" s="1" t="s">
        <v>14</v>
      </c>
      <c r="C11" s="15">
        <v>0.02</v>
      </c>
      <c r="D11" s="1"/>
      <c r="E11" s="1"/>
      <c r="F11" s="30" t="s">
        <v>15</v>
      </c>
      <c r="G11" s="30"/>
      <c r="H11" s="20">
        <v>-1</v>
      </c>
      <c r="I11" s="21">
        <v>-1</v>
      </c>
      <c r="J11" s="21">
        <v>-1</v>
      </c>
      <c r="K11" s="21">
        <v>-1</v>
      </c>
      <c r="L11" s="22">
        <v>-1</v>
      </c>
      <c r="M11" s="23">
        <f>+(L11/L$5)*M$5</f>
        <v>-1.0200000000000002</v>
      </c>
      <c r="N11" s="27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>
      <c r="A12" s="1"/>
      <c r="B12" s="11"/>
      <c r="D12" s="1"/>
      <c r="E12" s="1"/>
      <c r="F12" s="30" t="s">
        <v>16</v>
      </c>
      <c r="G12" s="30"/>
      <c r="H12" s="31">
        <f t="shared" ref="H12:M12" si="3">+H58</f>
        <v>-3.57</v>
      </c>
      <c r="I12" s="23">
        <f t="shared" si="3"/>
        <v>-3.78</v>
      </c>
      <c r="J12" s="23">
        <f t="shared" si="3"/>
        <v>-3.9899999999999998</v>
      </c>
      <c r="K12" s="23">
        <f t="shared" si="3"/>
        <v>-4.2</v>
      </c>
      <c r="L12" s="32">
        <f t="shared" si="3"/>
        <v>-4.2</v>
      </c>
      <c r="M12" s="23">
        <f t="shared" si="3"/>
        <v>-4.2839999999999998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>
      <c r="A13" s="1"/>
      <c r="B13" s="1" t="s">
        <v>17</v>
      </c>
      <c r="C13" s="33">
        <v>0</v>
      </c>
      <c r="D13" s="1"/>
      <c r="E13" s="1"/>
      <c r="F13" s="30" t="s">
        <v>18</v>
      </c>
      <c r="G13" s="30"/>
      <c r="H13" s="21">
        <f t="shared" ref="H13:L13" si="4">+H54*1.1</f>
        <v>-11</v>
      </c>
      <c r="I13" s="21">
        <f t="shared" si="4"/>
        <v>-12.100000000000001</v>
      </c>
      <c r="J13" s="21">
        <f t="shared" si="4"/>
        <v>-13.200000000000001</v>
      </c>
      <c r="K13" s="21">
        <f t="shared" si="4"/>
        <v>-14.3</v>
      </c>
      <c r="L13" s="22">
        <f t="shared" si="4"/>
        <v>-15.400000000000002</v>
      </c>
      <c r="M13" s="23">
        <f>+(L13/L$5)*M$5</f>
        <v>-15.708000000000004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>
      <c r="A14" s="1"/>
      <c r="D14" s="1"/>
      <c r="E14" s="1"/>
      <c r="F14" s="30" t="s">
        <v>19</v>
      </c>
      <c r="G14" s="30"/>
      <c r="H14" s="21">
        <v>0</v>
      </c>
      <c r="I14" s="21">
        <v>0</v>
      </c>
      <c r="J14" s="21">
        <v>0</v>
      </c>
      <c r="K14" s="21">
        <v>0</v>
      </c>
      <c r="L14" s="22">
        <v>0</v>
      </c>
      <c r="M14" s="23">
        <f>+(L14/L5)*M5</f>
        <v>0</v>
      </c>
      <c r="N14" s="1"/>
      <c r="O14" s="1"/>
      <c r="P14" s="34" t="s">
        <v>20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1"/>
      <c r="B15" s="1" t="s">
        <v>21</v>
      </c>
      <c r="C15" s="35">
        <v>45747</v>
      </c>
      <c r="D15" s="1"/>
      <c r="E15" s="1"/>
      <c r="F15" s="36" t="s">
        <v>22</v>
      </c>
      <c r="G15" s="36"/>
      <c r="H15" s="37">
        <f t="shared" ref="H15:M15" si="5">+SUM(H8,H11:H14)</f>
        <v>12.43</v>
      </c>
      <c r="I15" s="37">
        <f t="shared" si="5"/>
        <v>13.119999999999997</v>
      </c>
      <c r="J15" s="37">
        <f t="shared" si="5"/>
        <v>13.81</v>
      </c>
      <c r="K15" s="37">
        <f t="shared" si="5"/>
        <v>14.5</v>
      </c>
      <c r="L15" s="38">
        <f t="shared" si="5"/>
        <v>14.399999999999999</v>
      </c>
      <c r="M15" s="37">
        <f t="shared" si="5"/>
        <v>14.687999999999997</v>
      </c>
      <c r="N15" s="39"/>
      <c r="O15" s="1"/>
      <c r="P15" s="40">
        <f>+ROUND((M15/L15-1)-C11,0.01)</f>
        <v>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>
      <c r="A16" s="1"/>
      <c r="B16" s="1" t="s">
        <v>23</v>
      </c>
      <c r="C16" s="41">
        <v>46022</v>
      </c>
      <c r="D16" s="1"/>
      <c r="E16" s="1"/>
      <c r="F16" s="1" t="s">
        <v>24</v>
      </c>
      <c r="G16" s="42"/>
      <c r="H16" s="43">
        <f>+C17</f>
        <v>0.75</v>
      </c>
      <c r="I16" s="44">
        <v>1</v>
      </c>
      <c r="J16" s="43">
        <f t="shared" ref="J16:M16" si="6">+$I$16</f>
        <v>1</v>
      </c>
      <c r="K16" s="43">
        <f t="shared" si="6"/>
        <v>1</v>
      </c>
      <c r="L16" s="45">
        <f t="shared" si="6"/>
        <v>1</v>
      </c>
      <c r="M16" s="43">
        <f t="shared" si="6"/>
        <v>1</v>
      </c>
      <c r="N16" s="39"/>
      <c r="O16" s="1"/>
      <c r="P16" s="46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>
      <c r="A17" s="1"/>
      <c r="B17" s="1" t="s">
        <v>25</v>
      </c>
      <c r="C17" s="47">
        <f>+ROUND((C16-C15)/365,2)</f>
        <v>0.75</v>
      </c>
      <c r="D17" s="1"/>
      <c r="E17" s="1"/>
      <c r="F17" s="1" t="s">
        <v>26</v>
      </c>
      <c r="G17" s="16"/>
      <c r="H17" s="48">
        <f t="shared" ref="H17:M17" si="7">1/((1+$C$7)^(H18))</f>
        <v>0.9740943227403448</v>
      </c>
      <c r="I17" s="48">
        <f t="shared" si="7"/>
        <v>0.91622760804557968</v>
      </c>
      <c r="J17" s="48">
        <f t="shared" si="7"/>
        <v>0.85429147603317446</v>
      </c>
      <c r="K17" s="48">
        <f t="shared" si="7"/>
        <v>0.79654216879550066</v>
      </c>
      <c r="L17" s="49">
        <f t="shared" si="7"/>
        <v>0.7426966608815857</v>
      </c>
      <c r="M17" s="48">
        <f t="shared" si="7"/>
        <v>0.71715465367083242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>
      <c r="A18" s="1"/>
      <c r="B18" s="1"/>
      <c r="C18" s="1"/>
      <c r="D18" s="1"/>
      <c r="E18" s="1"/>
      <c r="F18" s="16" t="s">
        <v>27</v>
      </c>
      <c r="G18" s="16"/>
      <c r="H18" s="50">
        <f>IF(C9=1,$C$17/2,$C$17)</f>
        <v>0.375</v>
      </c>
      <c r="I18" s="50">
        <f>+IF($C$9=0,H18+1,H18*2+0.5)</f>
        <v>1.25</v>
      </c>
      <c r="J18" s="50">
        <f t="shared" ref="J18:L18" si="8">+I18+1</f>
        <v>2.25</v>
      </c>
      <c r="K18" s="50">
        <f t="shared" si="8"/>
        <v>3.25</v>
      </c>
      <c r="L18" s="51">
        <f t="shared" si="8"/>
        <v>4.25</v>
      </c>
      <c r="M18" s="50">
        <f>IF(C10=0,L18,L18+IF($C$9=0,1,0.5))</f>
        <v>4.75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>
      <c r="A19" s="1"/>
      <c r="B19" s="1"/>
      <c r="C19" s="1"/>
      <c r="D19" s="1"/>
      <c r="E19" s="1"/>
      <c r="F19" s="36" t="s">
        <v>28</v>
      </c>
      <c r="G19" s="36"/>
      <c r="H19" s="37">
        <f t="shared" ref="H19:M19" si="9">+H15*H16*H17</f>
        <v>9.0809943237468644</v>
      </c>
      <c r="I19" s="37">
        <f t="shared" si="9"/>
        <v>12.020906217558004</v>
      </c>
      <c r="J19" s="37">
        <f t="shared" si="9"/>
        <v>11.797765284018139</v>
      </c>
      <c r="K19" s="37">
        <f t="shared" si="9"/>
        <v>11.549861447534759</v>
      </c>
      <c r="L19" s="38">
        <f t="shared" si="9"/>
        <v>10.694831916694833</v>
      </c>
      <c r="M19" s="37">
        <f t="shared" si="9"/>
        <v>10.533567553117184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>
      <c r="A20" s="1"/>
      <c r="B20" s="11" t="s">
        <v>29</v>
      </c>
      <c r="C20" s="1"/>
      <c r="D20" s="1"/>
      <c r="E20" s="1"/>
      <c r="F20" s="1"/>
      <c r="G20" s="1"/>
      <c r="H20" s="8"/>
      <c r="I20" s="8"/>
      <c r="J20" s="8"/>
      <c r="K20" s="8"/>
      <c r="L20" s="52"/>
      <c r="M20" s="8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>
      <c r="A21" s="1"/>
      <c r="B21" s="1" t="str">
        <f>+"Cash as of "&amp;TEXT($C$15,"mm/dd/yyyy")</f>
        <v>Cash as of 03/31/2025</v>
      </c>
      <c r="C21" s="53">
        <v>2.3040000000000003</v>
      </c>
      <c r="D21" s="1"/>
      <c r="E21" s="1"/>
      <c r="F21" s="1" t="s">
        <v>30</v>
      </c>
      <c r="G21" s="1"/>
      <c r="H21" s="8"/>
      <c r="I21" s="8"/>
      <c r="J21" s="8"/>
      <c r="K21" s="8"/>
      <c r="L21" s="52"/>
      <c r="M21" s="54">
        <f>+IF(C10=1,M8*$C$8,((M15)/(C7-C11)))</f>
        <v>303.45000000000005</v>
      </c>
      <c r="N21" s="1"/>
      <c r="O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1" t="str">
        <f>+"Debt as of "&amp;TEXT($C$15,"mm/dd/yyyy")</f>
        <v>Debt as of 03/31/2025</v>
      </c>
      <c r="C22" s="53">
        <v>62</v>
      </c>
      <c r="D22" s="1"/>
      <c r="E22" s="1"/>
      <c r="F22" s="30" t="s">
        <v>26</v>
      </c>
      <c r="G22" s="30"/>
      <c r="H22" s="8"/>
      <c r="I22" s="8"/>
      <c r="J22" s="8"/>
      <c r="K22" s="8"/>
      <c r="L22" s="52"/>
      <c r="M22" s="43">
        <f>M17</f>
        <v>0.71715465367083242</v>
      </c>
      <c r="N22" s="1"/>
      <c r="O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1"/>
      <c r="B23" s="1" t="str">
        <f>+"Minority Interest as of "&amp;TEXT($C$15,"mm/dd/yyyy")</f>
        <v>Minority Interest as of 03/31/2025</v>
      </c>
      <c r="C23" s="53">
        <v>6</v>
      </c>
      <c r="D23" s="1"/>
      <c r="E23" s="1"/>
      <c r="F23" s="55" t="s">
        <v>31</v>
      </c>
      <c r="G23" s="55"/>
      <c r="H23" s="56"/>
      <c r="I23" s="56"/>
      <c r="J23" s="56"/>
      <c r="K23" s="56"/>
      <c r="L23" s="57"/>
      <c r="M23" s="58">
        <f>+M21*M22</f>
        <v>217.62057965641412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1"/>
      <c r="B24" s="1" t="str">
        <f>+"Investments in Affiliates as of "&amp;TEXT($C$15,"mm/dd/yyyy")</f>
        <v>Investments in Affiliates as of 03/31/2025</v>
      </c>
      <c r="C24" s="53">
        <v>1</v>
      </c>
      <c r="D24" s="1"/>
      <c r="E24" s="1"/>
      <c r="F24" s="1"/>
      <c r="G24" s="1"/>
      <c r="H24" s="8"/>
      <c r="I24" s="8"/>
      <c r="J24" s="8"/>
      <c r="K24" s="8"/>
      <c r="L24" s="8"/>
      <c r="M24" s="8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"/>
      <c r="B25" s="1"/>
      <c r="C25" s="1"/>
      <c r="D25" s="1"/>
      <c r="E25" s="1"/>
      <c r="F25" s="1" t="s">
        <v>32</v>
      </c>
      <c r="G25" s="30"/>
      <c r="H25" s="1"/>
      <c r="I25" s="1"/>
      <c r="J25" s="1"/>
      <c r="K25" s="8"/>
      <c r="L25" s="8"/>
      <c r="M25" s="59">
        <f>SUM(H19:L19)</f>
        <v>55.144359189552596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1"/>
      <c r="B26" s="42"/>
      <c r="C26" s="42"/>
      <c r="D26" s="1"/>
      <c r="E26" s="1"/>
      <c r="F26" s="1" t="s">
        <v>33</v>
      </c>
      <c r="G26" s="30"/>
      <c r="H26" s="1"/>
      <c r="I26" s="1"/>
      <c r="J26" s="1"/>
      <c r="K26" s="8"/>
      <c r="L26" s="8"/>
      <c r="M26" s="59">
        <f>+M23</f>
        <v>217.62057965641412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1"/>
      <c r="B27" s="106"/>
      <c r="C27" s="1"/>
      <c r="D27" s="1"/>
      <c r="E27" s="1"/>
      <c r="F27" s="16" t="s">
        <v>34</v>
      </c>
      <c r="G27" s="30"/>
      <c r="H27" s="1"/>
      <c r="I27" s="1"/>
      <c r="J27" s="1"/>
      <c r="K27" s="8"/>
      <c r="L27" s="8"/>
      <c r="M27" s="24">
        <f>+M26/M28</f>
        <v>0.79783193755450665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106"/>
      <c r="C28" s="1"/>
      <c r="D28" s="1"/>
      <c r="E28" s="1"/>
      <c r="F28" s="60" t="s">
        <v>35</v>
      </c>
      <c r="G28" s="60"/>
      <c r="H28" s="61"/>
      <c r="I28" s="61"/>
      <c r="J28" s="61"/>
      <c r="K28" s="61"/>
      <c r="L28" s="61"/>
      <c r="M28" s="62">
        <f>+SUM(M25:M26)</f>
        <v>272.7649388459667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>
      <c r="A29" s="1"/>
      <c r="B29" s="106"/>
      <c r="C29" s="1"/>
      <c r="D29" s="1"/>
      <c r="E29" s="1"/>
      <c r="F29" s="30" t="s">
        <v>36</v>
      </c>
      <c r="G29" s="30"/>
      <c r="H29" s="1"/>
      <c r="I29" s="1"/>
      <c r="J29" s="1"/>
      <c r="K29" s="1"/>
      <c r="L29" s="1"/>
      <c r="M29" s="63">
        <f>+C21</f>
        <v>2.3040000000000003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1"/>
      <c r="B30" s="106"/>
      <c r="C30" s="1"/>
      <c r="D30" s="1"/>
      <c r="E30" s="1"/>
      <c r="F30" s="30" t="s">
        <v>37</v>
      </c>
      <c r="G30" s="30"/>
      <c r="H30" s="1"/>
      <c r="I30" s="1"/>
      <c r="J30" s="1"/>
      <c r="K30" s="1"/>
      <c r="L30" s="1"/>
      <c r="M30" s="63">
        <f>+-C22</f>
        <v>-62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B31" s="1"/>
      <c r="C31" s="1"/>
      <c r="D31" s="1"/>
      <c r="E31" s="1"/>
      <c r="F31" s="30" t="s">
        <v>38</v>
      </c>
      <c r="G31" s="30"/>
      <c r="H31" s="1"/>
      <c r="I31" s="1"/>
      <c r="J31" s="1"/>
      <c r="K31" s="1"/>
      <c r="L31" s="1"/>
      <c r="M31" s="63">
        <f>+C24</f>
        <v>1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B32" s="1"/>
      <c r="C32" s="1"/>
      <c r="D32" s="1"/>
      <c r="E32" s="1"/>
      <c r="F32" s="30" t="s">
        <v>39</v>
      </c>
      <c r="G32" s="30"/>
      <c r="H32" s="1"/>
      <c r="I32" s="1"/>
      <c r="J32" s="1"/>
      <c r="K32" s="1"/>
      <c r="L32" s="1"/>
      <c r="M32" s="64">
        <f>+-C23</f>
        <v>-6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1"/>
      <c r="C33" s="1"/>
      <c r="D33" s="1"/>
      <c r="E33" s="1"/>
      <c r="F33" s="65" t="s">
        <v>40</v>
      </c>
      <c r="G33" s="65"/>
      <c r="H33" s="55"/>
      <c r="I33" s="55"/>
      <c r="J33" s="55"/>
      <c r="K33" s="55"/>
      <c r="L33" s="55"/>
      <c r="M33" s="66">
        <f>+SUM(M28:M32)</f>
        <v>208.06893884596667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1"/>
      <c r="C34" s="1"/>
      <c r="D34" s="1"/>
      <c r="E34" s="1"/>
      <c r="F34" s="30" t="s">
        <v>41</v>
      </c>
      <c r="G34" s="30"/>
      <c r="H34" s="1"/>
      <c r="I34" s="1"/>
      <c r="J34" s="1"/>
      <c r="K34" s="1"/>
      <c r="L34" s="1"/>
      <c r="M34" s="67">
        <f ca="1">M47/1000</f>
        <v>4.8727363863081719</v>
      </c>
      <c r="N34" s="1"/>
      <c r="O34" s="1"/>
      <c r="P34" s="34" t="s">
        <v>20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1"/>
      <c r="C35" s="1"/>
      <c r="D35" s="1"/>
      <c r="E35" s="1"/>
      <c r="F35" s="60" t="s">
        <v>42</v>
      </c>
      <c r="G35" s="60"/>
      <c r="H35" s="61"/>
      <c r="I35" s="61"/>
      <c r="J35" s="61"/>
      <c r="K35" s="61"/>
      <c r="L35" s="61"/>
      <c r="M35" s="68">
        <f ca="1">IF($C$3=0,$M$46/1000,M33/M34)</f>
        <v>42.700635197630724</v>
      </c>
      <c r="N35" s="1"/>
      <c r="O35" s="1"/>
      <c r="P35" s="40">
        <f ca="1">+ROUND(IF($C$10=0,M36-C11,P35),0.01)</f>
        <v>0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1"/>
      <c r="C36" s="1"/>
      <c r="D36" s="1"/>
      <c r="E36" s="1"/>
      <c r="F36" s="69" t="s">
        <v>43</v>
      </c>
      <c r="G36" s="69"/>
      <c r="H36" s="1"/>
      <c r="I36" s="1"/>
      <c r="J36" s="1"/>
      <c r="K36" s="1"/>
      <c r="L36" s="1"/>
      <c r="M36" s="70">
        <f>+C7-(M15/M21)</f>
        <v>2.4096638655462195E-2</v>
      </c>
      <c r="N36" s="1"/>
      <c r="O36" s="1"/>
      <c r="P36" s="40">
        <f>+ROUND(IF($C$10=1,M37-C8,P36),0.01)</f>
        <v>0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1"/>
      <c r="C37" s="1"/>
      <c r="D37" s="1"/>
      <c r="E37" s="1"/>
      <c r="F37" s="69" t="s">
        <v>44</v>
      </c>
      <c r="G37" s="69"/>
      <c r="H37" s="1"/>
      <c r="I37" s="1"/>
      <c r="J37" s="1"/>
      <c r="K37" s="1"/>
      <c r="L37" s="1"/>
      <c r="M37" s="71">
        <f>+M21/M8</f>
        <v>8.5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1"/>
      <c r="C41" s="1"/>
      <c r="D41" s="1"/>
      <c r="E41" s="1"/>
      <c r="F41" s="72" t="s">
        <v>45</v>
      </c>
      <c r="G41" s="72"/>
      <c r="H41" s="73"/>
      <c r="I41" s="73"/>
      <c r="J41" s="73"/>
      <c r="K41" s="73"/>
      <c r="L41" s="73"/>
      <c r="M41" s="7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1"/>
      <c r="C42" s="1"/>
      <c r="D42" s="1"/>
      <c r="E42" s="1"/>
      <c r="F42" s="55"/>
      <c r="G42" s="55"/>
      <c r="H42" s="55"/>
      <c r="I42" s="55"/>
      <c r="J42" s="55"/>
      <c r="K42" s="74" t="s">
        <v>46</v>
      </c>
      <c r="L42" s="75" t="s">
        <v>47</v>
      </c>
      <c r="M42" s="75" t="s">
        <v>48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1"/>
      <c r="B43" s="1"/>
      <c r="C43" s="1"/>
      <c r="D43" s="1"/>
      <c r="E43" s="1"/>
      <c r="F43" s="76" t="s">
        <v>49</v>
      </c>
      <c r="G43" s="76"/>
      <c r="H43" s="76"/>
      <c r="I43" s="76"/>
      <c r="J43" s="76"/>
      <c r="K43" s="77">
        <v>190</v>
      </c>
      <c r="L43" s="78">
        <v>21.3</v>
      </c>
      <c r="M43" s="79">
        <f t="shared" ref="M43:M44" ca="1" si="10">IF(M$35&gt;L43,K43-K43*L43/M$35,0)</f>
        <v>95.223892308174598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1"/>
      <c r="C44" s="1"/>
      <c r="D44" s="1"/>
      <c r="E44" s="1"/>
      <c r="F44" s="1" t="s">
        <v>50</v>
      </c>
      <c r="G44" s="1"/>
      <c r="H44" s="1"/>
      <c r="I44" s="1"/>
      <c r="J44" s="1"/>
      <c r="K44" s="80">
        <v>44</v>
      </c>
      <c r="L44" s="80">
        <v>0</v>
      </c>
      <c r="M44" s="79">
        <f t="shared" ca="1" si="10"/>
        <v>44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1"/>
      <c r="E45" s="1"/>
      <c r="F45" s="1"/>
      <c r="G45" s="1"/>
      <c r="H45" s="81"/>
      <c r="I45" s="8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 t="s">
        <v>51</v>
      </c>
      <c r="G46" s="1"/>
      <c r="H46" s="81"/>
      <c r="I46" s="82"/>
      <c r="J46" s="1"/>
      <c r="K46" s="1"/>
      <c r="L46" s="1"/>
      <c r="M46" s="80">
        <v>4733.5124939999996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1"/>
      <c r="B47" s="1"/>
      <c r="C47" s="1"/>
      <c r="D47" s="1"/>
      <c r="E47" s="1"/>
      <c r="F47" s="83" t="s">
        <v>52</v>
      </c>
      <c r="G47" s="83"/>
      <c r="H47" s="83"/>
      <c r="I47" s="83"/>
      <c r="J47" s="76"/>
      <c r="K47" s="76"/>
      <c r="L47" s="76"/>
      <c r="M47" s="84">
        <f ca="1">SUM(M43:M46)</f>
        <v>4872.7363863081746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72" t="s">
        <v>53</v>
      </c>
      <c r="G50" s="72"/>
      <c r="H50" s="73"/>
      <c r="I50" s="73"/>
      <c r="J50" s="73"/>
      <c r="K50" s="73"/>
      <c r="L50" s="85"/>
      <c r="M50" s="7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86"/>
      <c r="G51" s="86"/>
      <c r="H51" s="7">
        <f t="shared" ref="H51:L51" si="11">+H$3</f>
        <v>46022</v>
      </c>
      <c r="I51" s="7">
        <f t="shared" si="11"/>
        <v>46387</v>
      </c>
      <c r="J51" s="7">
        <f t="shared" si="11"/>
        <v>46752</v>
      </c>
      <c r="K51" s="7">
        <f t="shared" si="11"/>
        <v>47118</v>
      </c>
      <c r="L51" s="87">
        <f t="shared" si="11"/>
        <v>47483</v>
      </c>
      <c r="M51" s="88" t="s">
        <v>1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 t="s">
        <v>10</v>
      </c>
      <c r="G52" s="1"/>
      <c r="H52" s="89">
        <f t="shared" ref="H52:M52" si="12">+H8</f>
        <v>28</v>
      </c>
      <c r="I52" s="89">
        <f t="shared" si="12"/>
        <v>30</v>
      </c>
      <c r="J52" s="89">
        <f t="shared" si="12"/>
        <v>32</v>
      </c>
      <c r="K52" s="89">
        <f t="shared" si="12"/>
        <v>34</v>
      </c>
      <c r="L52" s="90">
        <f t="shared" si="12"/>
        <v>35</v>
      </c>
      <c r="M52" s="89">
        <f t="shared" si="12"/>
        <v>35.700000000000003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30" t="s">
        <v>15</v>
      </c>
      <c r="G53" s="30"/>
      <c r="H53" s="89">
        <f t="shared" ref="H53:M53" si="13">+H11</f>
        <v>-1</v>
      </c>
      <c r="I53" s="89">
        <f t="shared" si="13"/>
        <v>-1</v>
      </c>
      <c r="J53" s="89">
        <f t="shared" si="13"/>
        <v>-1</v>
      </c>
      <c r="K53" s="89">
        <f t="shared" si="13"/>
        <v>-1</v>
      </c>
      <c r="L53" s="90">
        <f t="shared" si="13"/>
        <v>-1</v>
      </c>
      <c r="M53" s="89">
        <f t="shared" si="13"/>
        <v>-1.0200000000000002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30" t="s">
        <v>54</v>
      </c>
      <c r="G54" s="30"/>
      <c r="H54" s="91">
        <v>-10</v>
      </c>
      <c r="I54" s="91">
        <f t="shared" ref="I54:L54" si="14">+H54-1</f>
        <v>-11</v>
      </c>
      <c r="J54" s="91">
        <f t="shared" si="14"/>
        <v>-12</v>
      </c>
      <c r="K54" s="91">
        <f t="shared" si="14"/>
        <v>-13</v>
      </c>
      <c r="L54" s="92">
        <f t="shared" si="14"/>
        <v>-14</v>
      </c>
      <c r="M54" s="93">
        <f>+L54/L52*M52</f>
        <v>-14.280000000000001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30" t="s">
        <v>55</v>
      </c>
      <c r="G55" s="30"/>
      <c r="H55" s="94">
        <f t="shared" ref="H55:M55" si="15">+H63</f>
        <v>0</v>
      </c>
      <c r="I55" s="94">
        <f t="shared" si="15"/>
        <v>0</v>
      </c>
      <c r="J55" s="94">
        <f t="shared" si="15"/>
        <v>0</v>
      </c>
      <c r="K55" s="94">
        <f t="shared" si="15"/>
        <v>0</v>
      </c>
      <c r="L55" s="95">
        <f t="shared" si="15"/>
        <v>0</v>
      </c>
      <c r="M55" s="94">
        <f t="shared" si="15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55" t="s">
        <v>56</v>
      </c>
      <c r="G56" s="55"/>
      <c r="H56" s="96">
        <f t="shared" ref="H56:M56" si="16">+SUM(H52:H55)</f>
        <v>17</v>
      </c>
      <c r="I56" s="96">
        <f t="shared" si="16"/>
        <v>18</v>
      </c>
      <c r="J56" s="96">
        <f t="shared" si="16"/>
        <v>19</v>
      </c>
      <c r="K56" s="96">
        <f t="shared" si="16"/>
        <v>20</v>
      </c>
      <c r="L56" s="97">
        <f t="shared" si="16"/>
        <v>20</v>
      </c>
      <c r="M56" s="96">
        <f t="shared" si="16"/>
        <v>20.399999999999999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30" t="s">
        <v>6</v>
      </c>
      <c r="G57" s="30"/>
      <c r="H57" s="98">
        <f t="shared" ref="H57:M57" si="17">+$C$6</f>
        <v>0.21</v>
      </c>
      <c r="I57" s="98">
        <f t="shared" si="17"/>
        <v>0.21</v>
      </c>
      <c r="J57" s="98">
        <f t="shared" si="17"/>
        <v>0.21</v>
      </c>
      <c r="K57" s="98">
        <f t="shared" si="17"/>
        <v>0.21</v>
      </c>
      <c r="L57" s="99">
        <f t="shared" si="17"/>
        <v>0.21</v>
      </c>
      <c r="M57" s="98">
        <f t="shared" si="17"/>
        <v>0.21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00" t="s">
        <v>57</v>
      </c>
      <c r="G58" s="100"/>
      <c r="H58" s="101">
        <f t="shared" ref="H58:M58" si="18">+MAX(0,H56*H57)*-1</f>
        <v>-3.57</v>
      </c>
      <c r="I58" s="101">
        <f t="shared" si="18"/>
        <v>-3.78</v>
      </c>
      <c r="J58" s="101">
        <f t="shared" si="18"/>
        <v>-3.9899999999999998</v>
      </c>
      <c r="K58" s="101">
        <f t="shared" si="18"/>
        <v>-4.2</v>
      </c>
      <c r="L58" s="102">
        <f t="shared" si="18"/>
        <v>-4.2</v>
      </c>
      <c r="M58" s="101">
        <f t="shared" si="18"/>
        <v>-4.2839999999999998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72" t="s">
        <v>58</v>
      </c>
      <c r="G60" s="72"/>
      <c r="H60" s="73"/>
      <c r="I60" s="73"/>
      <c r="J60" s="73"/>
      <c r="K60" s="73"/>
      <c r="L60" s="103"/>
      <c r="M60" s="7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42"/>
      <c r="G61" s="104">
        <f>+C15</f>
        <v>45747</v>
      </c>
      <c r="H61" s="7">
        <f t="shared" ref="H61:L61" si="19">+H$3</f>
        <v>46022</v>
      </c>
      <c r="I61" s="7">
        <f t="shared" si="19"/>
        <v>46387</v>
      </c>
      <c r="J61" s="7">
        <f t="shared" si="19"/>
        <v>46752</v>
      </c>
      <c r="K61" s="7">
        <f t="shared" si="19"/>
        <v>47118</v>
      </c>
      <c r="L61" s="87">
        <f t="shared" si="19"/>
        <v>47483</v>
      </c>
      <c r="M61" s="88" t="s">
        <v>1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 t="s">
        <v>59</v>
      </c>
      <c r="G62" s="1"/>
      <c r="H62" s="94">
        <f t="shared" ref="H62:M62" si="20">+G64</f>
        <v>0</v>
      </c>
      <c r="I62" s="94">
        <f t="shared" si="20"/>
        <v>0</v>
      </c>
      <c r="J62" s="94">
        <f t="shared" si="20"/>
        <v>0</v>
      </c>
      <c r="K62" s="94">
        <f t="shared" si="20"/>
        <v>0</v>
      </c>
      <c r="L62" s="95">
        <f t="shared" si="20"/>
        <v>0</v>
      </c>
      <c r="M62" s="94">
        <f t="shared" si="20"/>
        <v>0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30" t="s">
        <v>60</v>
      </c>
      <c r="G63" s="30"/>
      <c r="H63" s="94">
        <f t="shared" ref="H63:M63" si="21">+H67</f>
        <v>0</v>
      </c>
      <c r="I63" s="94">
        <f t="shared" si="21"/>
        <v>0</v>
      </c>
      <c r="J63" s="94">
        <f t="shared" si="21"/>
        <v>0</v>
      </c>
      <c r="K63" s="94">
        <f t="shared" si="21"/>
        <v>0</v>
      </c>
      <c r="L63" s="95">
        <f t="shared" si="21"/>
        <v>0</v>
      </c>
      <c r="M63" s="94">
        <f t="shared" si="21"/>
        <v>0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 t="s">
        <v>61</v>
      </c>
      <c r="G64" s="94">
        <f>+C13</f>
        <v>0</v>
      </c>
      <c r="H64" s="94">
        <f t="shared" ref="H64:M64" si="22">SUM(H62:H63)</f>
        <v>0</v>
      </c>
      <c r="I64" s="94">
        <f t="shared" si="22"/>
        <v>0</v>
      </c>
      <c r="J64" s="94">
        <f t="shared" si="22"/>
        <v>0</v>
      </c>
      <c r="K64" s="94">
        <f t="shared" si="22"/>
        <v>0</v>
      </c>
      <c r="L64" s="95">
        <f t="shared" si="22"/>
        <v>0</v>
      </c>
      <c r="M64" s="94">
        <f t="shared" si="22"/>
        <v>0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05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 t="s">
        <v>62</v>
      </c>
      <c r="G66" s="1"/>
      <c r="H66" s="94">
        <f t="shared" ref="H66:M66" si="23">+SUM(H52:H54)</f>
        <v>17</v>
      </c>
      <c r="I66" s="94">
        <f t="shared" si="23"/>
        <v>18</v>
      </c>
      <c r="J66" s="94">
        <f t="shared" si="23"/>
        <v>19</v>
      </c>
      <c r="K66" s="94">
        <f t="shared" si="23"/>
        <v>20</v>
      </c>
      <c r="L66" s="95">
        <f t="shared" si="23"/>
        <v>20</v>
      </c>
      <c r="M66" s="94">
        <f t="shared" si="23"/>
        <v>20.399999999999999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30" t="s">
        <v>63</v>
      </c>
      <c r="G67" s="30"/>
      <c r="H67" s="94">
        <f t="shared" ref="H67:L67" si="24">+-MIN(H66*0.8,H62)</f>
        <v>0</v>
      </c>
      <c r="I67" s="94">
        <f t="shared" si="24"/>
        <v>0</v>
      </c>
      <c r="J67" s="94">
        <f t="shared" si="24"/>
        <v>0</v>
      </c>
      <c r="K67" s="94">
        <f t="shared" si="24"/>
        <v>0</v>
      </c>
      <c r="L67" s="95">
        <f t="shared" si="24"/>
        <v>0</v>
      </c>
      <c r="M67" s="94">
        <f>+IF(M66&lt;0,-M66,-MIN(M66,M62))</f>
        <v>0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 t="s">
        <v>64</v>
      </c>
      <c r="G68" s="1"/>
      <c r="H68" s="89">
        <f t="shared" ref="H68:M68" si="25">+SUM(H66:H67)</f>
        <v>17</v>
      </c>
      <c r="I68" s="89">
        <f t="shared" si="25"/>
        <v>18</v>
      </c>
      <c r="J68" s="89">
        <f t="shared" si="25"/>
        <v>19</v>
      </c>
      <c r="K68" s="89">
        <f t="shared" si="25"/>
        <v>20</v>
      </c>
      <c r="L68" s="90">
        <f t="shared" si="25"/>
        <v>20</v>
      </c>
      <c r="M68" s="89">
        <f t="shared" si="25"/>
        <v>20.399999999999999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ataValidations disablePrompts="1" count="1">
    <dataValidation type="decimal" allowBlank="1" showErrorMessage="1" sqref="C10" xr:uid="{90BC973F-CC47-4ED2-8D3C-D4FE5BDF2352}">
      <formula1>0</formula1>
      <formula2>1</formula2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Colton Moraine</cp:lastModifiedBy>
  <dcterms:created xsi:type="dcterms:W3CDTF">2025-12-02T05:30:16Z</dcterms:created>
  <dcterms:modified xsi:type="dcterms:W3CDTF">2025-12-16T20:35:23Z</dcterms:modified>
</cp:coreProperties>
</file>