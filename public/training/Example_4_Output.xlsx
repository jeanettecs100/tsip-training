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5A27AD1E-3763-4E03-8887-E821451921F2}" xr6:coauthVersionLast="47" xr6:coauthVersionMax="47" xr10:uidLastSave="{00000000-0000-0000-0000-000000000000}"/>
  <bookViews>
    <workbookView xWindow="7670" yWindow="1020" windowWidth="28800" windowHeight="15370" activeTab="1" xr2:uid="{AC8EE76D-D07E-43C4-A487-D95ED1FA7071}"/>
  </bookViews>
  <sheets>
    <sheet name="Summary Annual Financials" sheetId="5" r:id="rId1"/>
    <sheet name="Operating Model" sheetId="1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43154.990150463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'Operating Model'!$B$2:$O$202</definedName>
    <definedName name="_xlnm.Print_Area" localSheetId="0">'Summary Annual Financials'!$B$2:$N$95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2" i="1" l="1"/>
  <c r="N74" i="5"/>
  <c r="M74" i="5"/>
  <c r="N95" i="5"/>
  <c r="M95" i="5"/>
  <c r="D95" i="5"/>
  <c r="E95" i="5"/>
  <c r="F95" i="5"/>
  <c r="G95" i="5"/>
  <c r="H95" i="5"/>
  <c r="I95" i="5"/>
  <c r="J95" i="5"/>
  <c r="K95" i="5"/>
  <c r="C95" i="5"/>
  <c r="E93" i="5"/>
  <c r="F93" i="5"/>
  <c r="G93" i="5"/>
  <c r="H93" i="5"/>
  <c r="I93" i="5"/>
  <c r="J93" i="5"/>
  <c r="K93" i="5"/>
  <c r="D93" i="5"/>
  <c r="E92" i="5"/>
  <c r="F92" i="5"/>
  <c r="G92" i="5"/>
  <c r="H92" i="5"/>
  <c r="I92" i="5"/>
  <c r="J92" i="5"/>
  <c r="K92" i="5"/>
  <c r="D92" i="5"/>
  <c r="N90" i="5"/>
  <c r="M90" i="5"/>
  <c r="N89" i="5"/>
  <c r="M89" i="5"/>
  <c r="N83" i="5"/>
  <c r="M83" i="5"/>
  <c r="N82" i="5"/>
  <c r="M82" i="5"/>
  <c r="N76" i="5"/>
  <c r="M76" i="5"/>
  <c r="D90" i="5"/>
  <c r="E90" i="5"/>
  <c r="F90" i="5"/>
  <c r="G90" i="5"/>
  <c r="H90" i="5"/>
  <c r="I90" i="5"/>
  <c r="J90" i="5"/>
  <c r="K90" i="5"/>
  <c r="C90" i="5"/>
  <c r="D89" i="5"/>
  <c r="E89" i="5"/>
  <c r="F89" i="5"/>
  <c r="G89" i="5"/>
  <c r="H89" i="5"/>
  <c r="I89" i="5"/>
  <c r="J89" i="5"/>
  <c r="K89" i="5"/>
  <c r="C89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C86" i="5"/>
  <c r="C87" i="5"/>
  <c r="C85" i="5"/>
  <c r="D83" i="5"/>
  <c r="E83" i="5"/>
  <c r="F83" i="5"/>
  <c r="G83" i="5"/>
  <c r="H83" i="5"/>
  <c r="I83" i="5"/>
  <c r="J83" i="5"/>
  <c r="K83" i="5"/>
  <c r="C83" i="5"/>
  <c r="D82" i="5"/>
  <c r="E82" i="5"/>
  <c r="F82" i="5"/>
  <c r="G82" i="5"/>
  <c r="H82" i="5"/>
  <c r="I82" i="5"/>
  <c r="J82" i="5"/>
  <c r="K82" i="5"/>
  <c r="C82" i="5"/>
  <c r="D74" i="5"/>
  <c r="E74" i="5"/>
  <c r="F74" i="5"/>
  <c r="G74" i="5"/>
  <c r="H74" i="5"/>
  <c r="I74" i="5"/>
  <c r="J74" i="5"/>
  <c r="K74" i="5"/>
  <c r="C74" i="5"/>
  <c r="D71" i="5"/>
  <c r="E71" i="5"/>
  <c r="F71" i="5"/>
  <c r="G71" i="5"/>
  <c r="H71" i="5"/>
  <c r="I71" i="5"/>
  <c r="J71" i="5"/>
  <c r="K71" i="5"/>
  <c r="C71" i="5"/>
  <c r="D70" i="5"/>
  <c r="E70" i="5"/>
  <c r="F70" i="5"/>
  <c r="G70" i="5"/>
  <c r="H70" i="5"/>
  <c r="I70" i="5"/>
  <c r="J70" i="5"/>
  <c r="K70" i="5"/>
  <c r="C70" i="5"/>
  <c r="F60" i="5"/>
  <c r="G60" i="5"/>
  <c r="H60" i="5"/>
  <c r="I60" i="5"/>
  <c r="J60" i="5"/>
  <c r="K60" i="5"/>
  <c r="F61" i="5"/>
  <c r="G61" i="5"/>
  <c r="H61" i="5"/>
  <c r="I61" i="5"/>
  <c r="J61" i="5"/>
  <c r="K61" i="5"/>
  <c r="E61" i="5"/>
  <c r="E59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C56" i="5"/>
  <c r="C55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C53" i="5"/>
  <c r="C52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C49" i="5"/>
  <c r="C50" i="5"/>
  <c r="C48" i="5"/>
  <c r="C44" i="5"/>
  <c r="D44" i="5"/>
  <c r="E44" i="5"/>
  <c r="F44" i="5"/>
  <c r="G44" i="5"/>
  <c r="H44" i="5"/>
  <c r="I44" i="5"/>
  <c r="J44" i="5"/>
  <c r="K44" i="5"/>
  <c r="C45" i="5"/>
  <c r="D45" i="5"/>
  <c r="E45" i="5"/>
  <c r="F45" i="5"/>
  <c r="G45" i="5"/>
  <c r="H45" i="5"/>
  <c r="I45" i="5"/>
  <c r="J45" i="5"/>
  <c r="K45" i="5"/>
  <c r="C46" i="5"/>
  <c r="D46" i="5"/>
  <c r="E46" i="5"/>
  <c r="F46" i="5"/>
  <c r="G46" i="5"/>
  <c r="H46" i="5"/>
  <c r="I46" i="5"/>
  <c r="J46" i="5"/>
  <c r="K46" i="5"/>
  <c r="D43" i="5"/>
  <c r="E43" i="5"/>
  <c r="F43" i="5"/>
  <c r="G43" i="5"/>
  <c r="H43" i="5"/>
  <c r="I43" i="5"/>
  <c r="J43" i="5"/>
  <c r="K43" i="5"/>
  <c r="C43" i="5"/>
  <c r="C41" i="5"/>
  <c r="D40" i="5"/>
  <c r="E40" i="5" s="1"/>
  <c r="D33" i="5"/>
  <c r="E33" i="5"/>
  <c r="F33" i="5"/>
  <c r="G33" i="5"/>
  <c r="H33" i="5"/>
  <c r="I33" i="5"/>
  <c r="J33" i="5"/>
  <c r="K33" i="5"/>
  <c r="C33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C31" i="5"/>
  <c r="C30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C25" i="5"/>
  <c r="C26" i="5"/>
  <c r="C24" i="5"/>
  <c r="D21" i="5"/>
  <c r="E21" i="5"/>
  <c r="F21" i="5"/>
  <c r="G21" i="5"/>
  <c r="H21" i="5"/>
  <c r="I21" i="5"/>
  <c r="J21" i="5"/>
  <c r="K21" i="5"/>
  <c r="C21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C17" i="5"/>
  <c r="C18" i="5"/>
  <c r="C16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C11" i="5"/>
  <c r="C12" i="5"/>
  <c r="C10" i="5"/>
  <c r="C68" i="5"/>
  <c r="N67" i="5"/>
  <c r="M67" i="5"/>
  <c r="D67" i="5"/>
  <c r="E67" i="5" s="1"/>
  <c r="C8" i="5"/>
  <c r="N7" i="5"/>
  <c r="M7" i="5"/>
  <c r="D7" i="5"/>
  <c r="D8" i="5" s="1"/>
  <c r="G200" i="1"/>
  <c r="H200" i="1"/>
  <c r="I200" i="1"/>
  <c r="J200" i="1"/>
  <c r="K200" i="1"/>
  <c r="L200" i="1"/>
  <c r="E197" i="1"/>
  <c r="G197" i="1"/>
  <c r="H197" i="1"/>
  <c r="I197" i="1"/>
  <c r="J197" i="1"/>
  <c r="K197" i="1"/>
  <c r="L197" i="1"/>
  <c r="D197" i="1"/>
  <c r="I195" i="1"/>
  <c r="J195" i="1"/>
  <c r="K195" i="1"/>
  <c r="L195" i="1"/>
  <c r="H195" i="1"/>
  <c r="E47" i="1"/>
  <c r="F47" i="1"/>
  <c r="G47" i="1"/>
  <c r="D47" i="1"/>
  <c r="E194" i="1"/>
  <c r="G194" i="1"/>
  <c r="H194" i="1"/>
  <c r="I194" i="1"/>
  <c r="J194" i="1"/>
  <c r="K194" i="1"/>
  <c r="L194" i="1"/>
  <c r="D194" i="1"/>
  <c r="I193" i="1"/>
  <c r="J193" i="1"/>
  <c r="K193" i="1"/>
  <c r="L193" i="1"/>
  <c r="H193" i="1"/>
  <c r="E46" i="1"/>
  <c r="F46" i="1"/>
  <c r="G46" i="1"/>
  <c r="D46" i="1"/>
  <c r="E192" i="1"/>
  <c r="G192" i="1"/>
  <c r="H192" i="1"/>
  <c r="I192" i="1"/>
  <c r="J192" i="1"/>
  <c r="K192" i="1"/>
  <c r="L192" i="1"/>
  <c r="D192" i="1"/>
  <c r="E191" i="1"/>
  <c r="G191" i="1"/>
  <c r="H191" i="1"/>
  <c r="I191" i="1"/>
  <c r="J191" i="1"/>
  <c r="K191" i="1"/>
  <c r="L191" i="1"/>
  <c r="D191" i="1"/>
  <c r="E187" i="1"/>
  <c r="F187" i="1"/>
  <c r="F191" i="1" s="1"/>
  <c r="G187" i="1"/>
  <c r="H187" i="1"/>
  <c r="I187" i="1"/>
  <c r="J187" i="1"/>
  <c r="K187" i="1"/>
  <c r="L187" i="1"/>
  <c r="D187" i="1"/>
  <c r="I184" i="1"/>
  <c r="J184" i="1"/>
  <c r="K184" i="1"/>
  <c r="L184" i="1"/>
  <c r="H184" i="1"/>
  <c r="E45" i="1"/>
  <c r="F45" i="1"/>
  <c r="G45" i="1"/>
  <c r="D45" i="1"/>
  <c r="I43" i="1"/>
  <c r="J43" i="1" s="1"/>
  <c r="K43" i="1" s="1"/>
  <c r="L43" i="1" s="1"/>
  <c r="E183" i="1"/>
  <c r="F183" i="1"/>
  <c r="G183" i="1"/>
  <c r="H183" i="1"/>
  <c r="I183" i="1"/>
  <c r="J183" i="1"/>
  <c r="K183" i="1"/>
  <c r="L183" i="1"/>
  <c r="D183" i="1"/>
  <c r="D181" i="1"/>
  <c r="E180" i="1"/>
  <c r="E181" i="1" s="1"/>
  <c r="G173" i="1"/>
  <c r="E166" i="1"/>
  <c r="F166" i="1"/>
  <c r="G166" i="1"/>
  <c r="E167" i="1"/>
  <c r="F167" i="1"/>
  <c r="G167" i="1"/>
  <c r="E168" i="1"/>
  <c r="F168" i="1"/>
  <c r="G168" i="1"/>
  <c r="H168" i="1"/>
  <c r="I168" i="1"/>
  <c r="J168" i="1"/>
  <c r="K168" i="1"/>
  <c r="L168" i="1"/>
  <c r="D167" i="1"/>
  <c r="D168" i="1"/>
  <c r="D166" i="1"/>
  <c r="E157" i="1"/>
  <c r="F157" i="1"/>
  <c r="F158" i="1" s="1"/>
  <c r="G157" i="1"/>
  <c r="G158" i="1" s="1"/>
  <c r="D157" i="1"/>
  <c r="D158" i="1" s="1"/>
  <c r="E156" i="1"/>
  <c r="F156" i="1"/>
  <c r="G156" i="1"/>
  <c r="D156" i="1"/>
  <c r="E150" i="1"/>
  <c r="E153" i="1" s="1"/>
  <c r="F150" i="1"/>
  <c r="G150" i="1"/>
  <c r="E151" i="1"/>
  <c r="F151" i="1"/>
  <c r="F153" i="1" s="1"/>
  <c r="G151" i="1"/>
  <c r="E152" i="1"/>
  <c r="F152" i="1"/>
  <c r="G152" i="1"/>
  <c r="D151" i="1"/>
  <c r="D152" i="1"/>
  <c r="D150" i="1"/>
  <c r="D148" i="1"/>
  <c r="O147" i="1"/>
  <c r="N147" i="1"/>
  <c r="E147" i="1"/>
  <c r="E148" i="1" s="1"/>
  <c r="D140" i="1"/>
  <c r="D173" i="1" s="1"/>
  <c r="E140" i="1"/>
  <c r="E173" i="1" s="1"/>
  <c r="F140" i="1"/>
  <c r="F173" i="1" s="1"/>
  <c r="G140" i="1"/>
  <c r="E139" i="1"/>
  <c r="E172" i="1" s="1"/>
  <c r="F139" i="1"/>
  <c r="F172" i="1" s="1"/>
  <c r="G139" i="1"/>
  <c r="G172" i="1" s="1"/>
  <c r="D91" i="1"/>
  <c r="D139" i="1"/>
  <c r="D172" i="1" s="1"/>
  <c r="D104" i="1"/>
  <c r="E134" i="1"/>
  <c r="F134" i="1"/>
  <c r="G131" i="1"/>
  <c r="G134" i="1" s="1"/>
  <c r="F131" i="1"/>
  <c r="E131" i="1"/>
  <c r="F132" i="1" s="1"/>
  <c r="D131" i="1"/>
  <c r="D134" i="1" s="1"/>
  <c r="E37" i="1"/>
  <c r="F37" i="1"/>
  <c r="G37" i="1"/>
  <c r="E112" i="1"/>
  <c r="E122" i="1" s="1"/>
  <c r="E123" i="1" s="1"/>
  <c r="F112" i="1"/>
  <c r="F122" i="1" s="1"/>
  <c r="F123" i="1" s="1"/>
  <c r="G112" i="1"/>
  <c r="G122" i="1" s="1"/>
  <c r="G123" i="1" s="1"/>
  <c r="E113" i="1"/>
  <c r="E125" i="1" s="1"/>
  <c r="E126" i="1" s="1"/>
  <c r="F113" i="1"/>
  <c r="F125" i="1" s="1"/>
  <c r="G113" i="1"/>
  <c r="G125" i="1" s="1"/>
  <c r="E114" i="1"/>
  <c r="E162" i="1" s="1"/>
  <c r="F114" i="1"/>
  <c r="F162" i="1" s="1"/>
  <c r="G114" i="1"/>
  <c r="G162" i="1" s="1"/>
  <c r="F36" i="1"/>
  <c r="G36" i="1"/>
  <c r="E36" i="1"/>
  <c r="J72" i="5" l="1"/>
  <c r="K72" i="5"/>
  <c r="F72" i="5"/>
  <c r="E72" i="5"/>
  <c r="I72" i="5"/>
  <c r="G72" i="5"/>
  <c r="H72" i="5"/>
  <c r="D72" i="5"/>
  <c r="C72" i="5"/>
  <c r="F47" i="5"/>
  <c r="F51" i="5" s="1"/>
  <c r="F54" i="5" s="1"/>
  <c r="F57" i="5" s="1"/>
  <c r="E47" i="5"/>
  <c r="E51" i="5" s="1"/>
  <c r="E54" i="5" s="1"/>
  <c r="E57" i="5" s="1"/>
  <c r="D47" i="5"/>
  <c r="D51" i="5" s="1"/>
  <c r="D54" i="5" s="1"/>
  <c r="D57" i="5" s="1"/>
  <c r="J47" i="5"/>
  <c r="J51" i="5" s="1"/>
  <c r="J54" i="5" s="1"/>
  <c r="J57" i="5" s="1"/>
  <c r="C47" i="5"/>
  <c r="C51" i="5" s="1"/>
  <c r="C54" i="5" s="1"/>
  <c r="C57" i="5" s="1"/>
  <c r="K47" i="5"/>
  <c r="K51" i="5" s="1"/>
  <c r="K54" i="5" s="1"/>
  <c r="K57" i="5" s="1"/>
  <c r="I47" i="5"/>
  <c r="I51" i="5" s="1"/>
  <c r="I54" i="5" s="1"/>
  <c r="I57" i="5" s="1"/>
  <c r="H47" i="5"/>
  <c r="H51" i="5" s="1"/>
  <c r="H54" i="5" s="1"/>
  <c r="H57" i="5" s="1"/>
  <c r="G47" i="5"/>
  <c r="G51" i="5" s="1"/>
  <c r="G54" i="5" s="1"/>
  <c r="G57" i="5" s="1"/>
  <c r="F40" i="5"/>
  <c r="E41" i="5"/>
  <c r="D41" i="5"/>
  <c r="C13" i="5"/>
  <c r="C80" i="5" s="1"/>
  <c r="K13" i="5"/>
  <c r="K78" i="5" s="1"/>
  <c r="H19" i="5"/>
  <c r="H27" i="5" s="1"/>
  <c r="F13" i="5"/>
  <c r="F76" i="5" s="1"/>
  <c r="G19" i="5"/>
  <c r="G27" i="5" s="1"/>
  <c r="I13" i="5"/>
  <c r="I76" i="5" s="1"/>
  <c r="E19" i="5"/>
  <c r="E27" i="5" s="1"/>
  <c r="E32" i="5" s="1"/>
  <c r="F19" i="5"/>
  <c r="F27" i="5" s="1"/>
  <c r="F28" i="5" s="1"/>
  <c r="H13" i="5"/>
  <c r="H78" i="5" s="1"/>
  <c r="C19" i="5"/>
  <c r="C27" i="5" s="1"/>
  <c r="I19" i="5"/>
  <c r="I27" i="5" s="1"/>
  <c r="J13" i="5"/>
  <c r="J76" i="5" s="1"/>
  <c r="D19" i="5"/>
  <c r="E13" i="5"/>
  <c r="E76" i="5" s="1"/>
  <c r="G13" i="5"/>
  <c r="G80" i="5" s="1"/>
  <c r="K19" i="5"/>
  <c r="D13" i="5"/>
  <c r="D80" i="5" s="1"/>
  <c r="J19" i="5"/>
  <c r="F67" i="5"/>
  <c r="E68" i="5"/>
  <c r="D68" i="5"/>
  <c r="E7" i="5"/>
  <c r="F7" i="5" s="1"/>
  <c r="F8" i="5" s="1"/>
  <c r="F194" i="1"/>
  <c r="F197" i="1" s="1"/>
  <c r="F200" i="1" s="1"/>
  <c r="D153" i="1"/>
  <c r="E154" i="1" s="1"/>
  <c r="F154" i="1"/>
  <c r="F180" i="1"/>
  <c r="F181" i="1" s="1"/>
  <c r="F161" i="1"/>
  <c r="E161" i="1"/>
  <c r="E158" i="1"/>
  <c r="G180" i="1"/>
  <c r="F147" i="1"/>
  <c r="G147" i="1" s="1"/>
  <c r="H147" i="1" s="1"/>
  <c r="G153" i="1"/>
  <c r="G154" i="1" s="1"/>
  <c r="F160" i="1"/>
  <c r="F163" i="1" s="1"/>
  <c r="G160" i="1"/>
  <c r="G163" i="1" s="1"/>
  <c r="E160" i="1"/>
  <c r="G126" i="1"/>
  <c r="F126" i="1"/>
  <c r="G161" i="1"/>
  <c r="E132" i="1"/>
  <c r="G132" i="1"/>
  <c r="F148" i="1"/>
  <c r="G115" i="1"/>
  <c r="E115" i="1"/>
  <c r="F115" i="1"/>
  <c r="D108" i="1"/>
  <c r="O107" i="1"/>
  <c r="N107" i="1"/>
  <c r="E107" i="1"/>
  <c r="F107" i="1" s="1"/>
  <c r="I34" i="1"/>
  <c r="J34" i="1" s="1"/>
  <c r="K34" i="1" s="1"/>
  <c r="L34" i="1" s="1"/>
  <c r="D103" i="1"/>
  <c r="D90" i="1"/>
  <c r="D98" i="1"/>
  <c r="E99" i="1"/>
  <c r="E100" i="1" s="1"/>
  <c r="D85" i="1"/>
  <c r="D86" i="1"/>
  <c r="D114" i="1" s="1"/>
  <c r="D162" i="1" s="1"/>
  <c r="D84" i="1"/>
  <c r="D112" i="1" s="1"/>
  <c r="D160" i="1" s="1"/>
  <c r="E30" i="1"/>
  <c r="F30" i="1"/>
  <c r="G30" i="1"/>
  <c r="C30" i="1"/>
  <c r="D30" i="1"/>
  <c r="F87" i="1"/>
  <c r="G87" i="1"/>
  <c r="E87" i="1"/>
  <c r="D80" i="1"/>
  <c r="O79" i="1"/>
  <c r="N79" i="1"/>
  <c r="E79" i="1"/>
  <c r="F79" i="1" s="1"/>
  <c r="G79" i="1" s="1"/>
  <c r="D21" i="1"/>
  <c r="E21" i="1" s="1"/>
  <c r="F21" i="1" s="1"/>
  <c r="G21" i="1" s="1"/>
  <c r="G71" i="1"/>
  <c r="F71" i="1"/>
  <c r="E71" i="1"/>
  <c r="I70" i="1"/>
  <c r="I157" i="1" s="1"/>
  <c r="J70" i="1"/>
  <c r="J157" i="1" s="1"/>
  <c r="K70" i="1"/>
  <c r="K157" i="1" s="1"/>
  <c r="L70" i="1"/>
  <c r="L157" i="1" s="1"/>
  <c r="H70" i="1"/>
  <c r="F69" i="1"/>
  <c r="G69" i="1"/>
  <c r="E69" i="1"/>
  <c r="I68" i="1"/>
  <c r="I156" i="1" s="1"/>
  <c r="J68" i="1"/>
  <c r="J156" i="1" s="1"/>
  <c r="K68" i="1"/>
  <c r="K156" i="1" s="1"/>
  <c r="L68" i="1"/>
  <c r="L156" i="1" s="1"/>
  <c r="H68" i="1"/>
  <c r="O54" i="1"/>
  <c r="N54" i="1"/>
  <c r="D14" i="1"/>
  <c r="E14" i="1"/>
  <c r="F14" i="1"/>
  <c r="G14" i="1"/>
  <c r="C14" i="1"/>
  <c r="D6" i="1"/>
  <c r="E6" i="1" s="1"/>
  <c r="F6" i="1" s="1"/>
  <c r="G6" i="1" s="1"/>
  <c r="G62" i="1"/>
  <c r="G76" i="1" s="1"/>
  <c r="F62" i="1"/>
  <c r="F74" i="1" s="1"/>
  <c r="E62" i="1"/>
  <c r="D62" i="1"/>
  <c r="D75" i="1" s="1"/>
  <c r="D55" i="1"/>
  <c r="E54" i="1"/>
  <c r="E55" i="1" s="1"/>
  <c r="E60" i="5" l="1"/>
  <c r="E62" i="5" s="1"/>
  <c r="F59" i="5" s="1"/>
  <c r="F62" i="5" s="1"/>
  <c r="G59" i="5" s="1"/>
  <c r="G62" i="5" s="1"/>
  <c r="H59" i="5" s="1"/>
  <c r="H62" i="5" s="1"/>
  <c r="I59" i="5" s="1"/>
  <c r="I62" i="5" s="1"/>
  <c r="J59" i="5" s="1"/>
  <c r="J62" i="5" s="1"/>
  <c r="K59" i="5" s="1"/>
  <c r="K62" i="5" s="1"/>
  <c r="F202" i="1"/>
  <c r="G199" i="1" s="1"/>
  <c r="G202" i="1" s="1"/>
  <c r="H199" i="1" s="1"/>
  <c r="H202" i="1" s="1"/>
  <c r="I199" i="1" s="1"/>
  <c r="I202" i="1" s="1"/>
  <c r="J199" i="1" s="1"/>
  <c r="J202" i="1" s="1"/>
  <c r="K199" i="1" s="1"/>
  <c r="K202" i="1" s="1"/>
  <c r="L199" i="1" s="1"/>
  <c r="L202" i="1" s="1"/>
  <c r="J79" i="5"/>
  <c r="J80" i="5"/>
  <c r="D78" i="5"/>
  <c r="I79" i="5"/>
  <c r="F78" i="5"/>
  <c r="I78" i="5"/>
  <c r="F80" i="5"/>
  <c r="D76" i="5"/>
  <c r="D79" i="5"/>
  <c r="E80" i="5"/>
  <c r="J78" i="5"/>
  <c r="G76" i="5"/>
  <c r="G79" i="5"/>
  <c r="H76" i="5"/>
  <c r="H79" i="5"/>
  <c r="H80" i="5"/>
  <c r="E79" i="5"/>
  <c r="C76" i="5"/>
  <c r="C79" i="5"/>
  <c r="I80" i="5"/>
  <c r="F79" i="5"/>
  <c r="C78" i="5"/>
  <c r="K76" i="5"/>
  <c r="K80" i="5"/>
  <c r="G78" i="5"/>
  <c r="E78" i="5"/>
  <c r="K79" i="5"/>
  <c r="G40" i="5"/>
  <c r="F41" i="5"/>
  <c r="E28" i="5"/>
  <c r="D14" i="5"/>
  <c r="F20" i="5"/>
  <c r="F14" i="5"/>
  <c r="J14" i="5"/>
  <c r="F32" i="5"/>
  <c r="I14" i="5"/>
  <c r="G20" i="5"/>
  <c r="K14" i="5"/>
  <c r="I20" i="5"/>
  <c r="H20" i="5"/>
  <c r="G14" i="5"/>
  <c r="E14" i="5"/>
  <c r="H32" i="5"/>
  <c r="H28" i="5"/>
  <c r="C32" i="5"/>
  <c r="C28" i="5"/>
  <c r="D20" i="5"/>
  <c r="D27" i="5"/>
  <c r="E20" i="5"/>
  <c r="J20" i="5"/>
  <c r="J27" i="5"/>
  <c r="K20" i="5"/>
  <c r="K27" i="5"/>
  <c r="G28" i="5"/>
  <c r="G32" i="5"/>
  <c r="I32" i="5"/>
  <c r="I28" i="5"/>
  <c r="H14" i="5"/>
  <c r="G67" i="5"/>
  <c r="F68" i="5"/>
  <c r="G7" i="5"/>
  <c r="G8" i="5" s="1"/>
  <c r="E8" i="5"/>
  <c r="M10" i="5"/>
  <c r="M16" i="5"/>
  <c r="M11" i="5"/>
  <c r="M17" i="5"/>
  <c r="M12" i="5"/>
  <c r="M18" i="5"/>
  <c r="M13" i="5"/>
  <c r="M19" i="5"/>
  <c r="E163" i="1"/>
  <c r="F164" i="1" s="1"/>
  <c r="G181" i="1"/>
  <c r="H180" i="1"/>
  <c r="G148" i="1"/>
  <c r="F169" i="1"/>
  <c r="L158" i="1"/>
  <c r="K158" i="1"/>
  <c r="H71" i="1"/>
  <c r="H157" i="1"/>
  <c r="J158" i="1"/>
  <c r="H69" i="1"/>
  <c r="H156" i="1"/>
  <c r="I158" i="1"/>
  <c r="E169" i="1"/>
  <c r="G169" i="1"/>
  <c r="G164" i="1"/>
  <c r="F94" i="1"/>
  <c r="F91" i="1"/>
  <c r="G90" i="1"/>
  <c r="G91" i="1"/>
  <c r="E102" i="1"/>
  <c r="E104" i="1"/>
  <c r="E95" i="1"/>
  <c r="E91" i="1"/>
  <c r="I147" i="1"/>
  <c r="H148" i="1"/>
  <c r="E133" i="1"/>
  <c r="E39" i="1"/>
  <c r="E38" i="1"/>
  <c r="G133" i="1"/>
  <c r="G39" i="1"/>
  <c r="G38" i="1"/>
  <c r="F133" i="1"/>
  <c r="F39" i="1"/>
  <c r="F38" i="1"/>
  <c r="E89" i="1"/>
  <c r="G89" i="1"/>
  <c r="L71" i="1"/>
  <c r="D96" i="1"/>
  <c r="E90" i="1"/>
  <c r="E103" i="1"/>
  <c r="J69" i="1"/>
  <c r="D95" i="1"/>
  <c r="D113" i="1"/>
  <c r="K71" i="1"/>
  <c r="D94" i="1"/>
  <c r="F96" i="1"/>
  <c r="H62" i="1"/>
  <c r="I62" i="1" s="1"/>
  <c r="J62" i="1" s="1"/>
  <c r="K62" i="1" s="1"/>
  <c r="L62" i="1" s="1"/>
  <c r="L59" i="1" s="1"/>
  <c r="G94" i="1"/>
  <c r="E94" i="1"/>
  <c r="F90" i="1"/>
  <c r="G119" i="1"/>
  <c r="G96" i="1"/>
  <c r="E96" i="1"/>
  <c r="G95" i="1"/>
  <c r="F95" i="1"/>
  <c r="F99" i="1"/>
  <c r="F89" i="1"/>
  <c r="G107" i="1"/>
  <c r="F108" i="1"/>
  <c r="E108" i="1"/>
  <c r="D76" i="1"/>
  <c r="E80" i="1"/>
  <c r="I71" i="1"/>
  <c r="L69" i="1"/>
  <c r="I69" i="1"/>
  <c r="E64" i="1"/>
  <c r="D65" i="1"/>
  <c r="F65" i="1"/>
  <c r="D74" i="1"/>
  <c r="J71" i="1"/>
  <c r="K69" i="1"/>
  <c r="E65" i="1"/>
  <c r="G64" i="1"/>
  <c r="F64" i="1"/>
  <c r="E76" i="1"/>
  <c r="E74" i="1"/>
  <c r="G65" i="1"/>
  <c r="G80" i="1"/>
  <c r="H79" i="1"/>
  <c r="F80" i="1"/>
  <c r="F76" i="1"/>
  <c r="G75" i="1"/>
  <c r="F75" i="1"/>
  <c r="E75" i="1"/>
  <c r="G74" i="1"/>
  <c r="F54" i="1"/>
  <c r="M71" i="5" l="1"/>
  <c r="M70" i="5"/>
  <c r="G41" i="5"/>
  <c r="H40" i="5"/>
  <c r="K32" i="5"/>
  <c r="K28" i="5"/>
  <c r="J32" i="5"/>
  <c r="J28" i="5"/>
  <c r="D28" i="5"/>
  <c r="D32" i="5"/>
  <c r="H67" i="5"/>
  <c r="G68" i="5"/>
  <c r="H7" i="5"/>
  <c r="H8" i="5" s="1"/>
  <c r="M27" i="5"/>
  <c r="H158" i="1"/>
  <c r="H181" i="1"/>
  <c r="I180" i="1"/>
  <c r="N160" i="1"/>
  <c r="N150" i="1"/>
  <c r="N157" i="1"/>
  <c r="N156" i="1"/>
  <c r="N153" i="1"/>
  <c r="N162" i="1"/>
  <c r="N151" i="1"/>
  <c r="N152" i="1"/>
  <c r="G174" i="1"/>
  <c r="G175" i="1" s="1"/>
  <c r="G170" i="1"/>
  <c r="E170" i="1"/>
  <c r="E174" i="1"/>
  <c r="E175" i="1" s="1"/>
  <c r="D115" i="1"/>
  <c r="D161" i="1"/>
  <c r="D163" i="1" s="1"/>
  <c r="N163" i="1" s="1"/>
  <c r="F170" i="1"/>
  <c r="F174" i="1"/>
  <c r="F175" i="1" s="1"/>
  <c r="L74" i="1"/>
  <c r="L150" i="1"/>
  <c r="N84" i="1"/>
  <c r="I148" i="1"/>
  <c r="J147" i="1"/>
  <c r="G120" i="1"/>
  <c r="G138" i="1"/>
  <c r="G141" i="1" s="1"/>
  <c r="G142" i="1" s="1"/>
  <c r="D119" i="1"/>
  <c r="D39" i="1"/>
  <c r="D38" i="1"/>
  <c r="D133" i="1"/>
  <c r="J64" i="1"/>
  <c r="K60" i="1"/>
  <c r="J61" i="1"/>
  <c r="I60" i="1"/>
  <c r="L61" i="1"/>
  <c r="K59" i="1"/>
  <c r="I87" i="1"/>
  <c r="I86" i="1" s="1"/>
  <c r="I59" i="1"/>
  <c r="L65" i="1"/>
  <c r="J87" i="1"/>
  <c r="L60" i="1"/>
  <c r="H59" i="1"/>
  <c r="I61" i="1"/>
  <c r="K61" i="1"/>
  <c r="H61" i="1"/>
  <c r="H64" i="1"/>
  <c r="I64" i="1"/>
  <c r="K87" i="1"/>
  <c r="L64" i="1"/>
  <c r="H87" i="1"/>
  <c r="H65" i="1"/>
  <c r="J60" i="1"/>
  <c r="L87" i="1"/>
  <c r="I65" i="1"/>
  <c r="K65" i="1"/>
  <c r="J65" i="1"/>
  <c r="J59" i="1"/>
  <c r="K64" i="1"/>
  <c r="H60" i="1"/>
  <c r="F100" i="1"/>
  <c r="F104" i="1" s="1"/>
  <c r="G99" i="1"/>
  <c r="N98" i="1"/>
  <c r="N87" i="1"/>
  <c r="N86" i="1"/>
  <c r="N85" i="1"/>
  <c r="E119" i="1"/>
  <c r="F119" i="1"/>
  <c r="H107" i="1"/>
  <c r="G108" i="1"/>
  <c r="H80" i="1"/>
  <c r="I79" i="1"/>
  <c r="F55" i="1"/>
  <c r="G54" i="1"/>
  <c r="I40" i="5" l="1"/>
  <c r="H41" i="5"/>
  <c r="I67" i="5"/>
  <c r="H68" i="5"/>
  <c r="I7" i="5"/>
  <c r="I8" i="5" s="1"/>
  <c r="J180" i="1"/>
  <c r="I181" i="1"/>
  <c r="D169" i="1"/>
  <c r="E164" i="1"/>
  <c r="N161" i="1"/>
  <c r="K76" i="1"/>
  <c r="K152" i="1"/>
  <c r="I76" i="1"/>
  <c r="I152" i="1"/>
  <c r="J85" i="1"/>
  <c r="J95" i="1" s="1"/>
  <c r="J91" i="1"/>
  <c r="H85" i="1"/>
  <c r="H95" i="1" s="1"/>
  <c r="H91" i="1"/>
  <c r="I74" i="1"/>
  <c r="I150" i="1"/>
  <c r="I153" i="1" s="1"/>
  <c r="H74" i="1"/>
  <c r="H150" i="1"/>
  <c r="L86" i="1"/>
  <c r="L96" i="1" s="1"/>
  <c r="L91" i="1"/>
  <c r="L75" i="1"/>
  <c r="L151" i="1"/>
  <c r="L153" i="1" s="1"/>
  <c r="J75" i="1"/>
  <c r="J151" i="1"/>
  <c r="I90" i="1"/>
  <c r="I91" i="1"/>
  <c r="K75" i="1"/>
  <c r="K151" i="1"/>
  <c r="K90" i="1"/>
  <c r="K91" i="1"/>
  <c r="K74" i="1"/>
  <c r="K150" i="1"/>
  <c r="H75" i="1"/>
  <c r="H151" i="1"/>
  <c r="L76" i="1"/>
  <c r="L152" i="1"/>
  <c r="N130" i="1"/>
  <c r="N136" i="1"/>
  <c r="N129" i="1"/>
  <c r="N131" i="1"/>
  <c r="I75" i="1"/>
  <c r="I151" i="1"/>
  <c r="J74" i="1"/>
  <c r="J150" i="1"/>
  <c r="H76" i="1"/>
  <c r="H152" i="1"/>
  <c r="J76" i="1"/>
  <c r="J152" i="1"/>
  <c r="J148" i="1"/>
  <c r="K147" i="1"/>
  <c r="D120" i="1"/>
  <c r="D138" i="1"/>
  <c r="D141" i="1" s="1"/>
  <c r="D142" i="1" s="1"/>
  <c r="F120" i="1"/>
  <c r="F138" i="1"/>
  <c r="F141" i="1" s="1"/>
  <c r="F142" i="1" s="1"/>
  <c r="E120" i="1"/>
  <c r="E138" i="1"/>
  <c r="E141" i="1" s="1"/>
  <c r="E142" i="1" s="1"/>
  <c r="I84" i="1"/>
  <c r="I94" i="1" s="1"/>
  <c r="I85" i="1"/>
  <c r="I95" i="1" s="1"/>
  <c r="J89" i="1"/>
  <c r="L85" i="1"/>
  <c r="L95" i="1" s="1"/>
  <c r="J86" i="1"/>
  <c r="J114" i="1" s="1"/>
  <c r="J162" i="1" s="1"/>
  <c r="J84" i="1"/>
  <c r="J94" i="1" s="1"/>
  <c r="J90" i="1"/>
  <c r="H89" i="1"/>
  <c r="K85" i="1"/>
  <c r="K95" i="1" s="1"/>
  <c r="K84" i="1"/>
  <c r="K112" i="1" s="1"/>
  <c r="K160" i="1" s="1"/>
  <c r="H90" i="1"/>
  <c r="K89" i="1"/>
  <c r="H84" i="1"/>
  <c r="H94" i="1" s="1"/>
  <c r="K86" i="1"/>
  <c r="K96" i="1" s="1"/>
  <c r="H86" i="1"/>
  <c r="H96" i="1" s="1"/>
  <c r="I89" i="1"/>
  <c r="L114" i="1"/>
  <c r="L162" i="1" s="1"/>
  <c r="J113" i="1"/>
  <c r="J161" i="1" s="1"/>
  <c r="L90" i="1"/>
  <c r="L89" i="1"/>
  <c r="L84" i="1"/>
  <c r="N115" i="1"/>
  <c r="N112" i="1"/>
  <c r="N119" i="1"/>
  <c r="N113" i="1"/>
  <c r="N114" i="1"/>
  <c r="N125" i="1"/>
  <c r="N122" i="1"/>
  <c r="I96" i="1"/>
  <c r="I114" i="1"/>
  <c r="I162" i="1" s="1"/>
  <c r="F102" i="1"/>
  <c r="F103" i="1"/>
  <c r="G100" i="1"/>
  <c r="G104" i="1" s="1"/>
  <c r="N104" i="1" s="1"/>
  <c r="H99" i="1"/>
  <c r="I107" i="1"/>
  <c r="H108" i="1"/>
  <c r="J79" i="1"/>
  <c r="I80" i="1"/>
  <c r="G55" i="1"/>
  <c r="N91" i="1" s="1"/>
  <c r="H54" i="1"/>
  <c r="J40" i="5" l="1"/>
  <c r="I41" i="5"/>
  <c r="J67" i="5"/>
  <c r="I68" i="5"/>
  <c r="J7" i="5"/>
  <c r="K7" i="5" s="1"/>
  <c r="K8" i="5" s="1"/>
  <c r="J153" i="1"/>
  <c r="H113" i="1"/>
  <c r="H161" i="1" s="1"/>
  <c r="K180" i="1"/>
  <c r="J181" i="1"/>
  <c r="D174" i="1"/>
  <c r="D170" i="1"/>
  <c r="N169" i="1"/>
  <c r="J154" i="1"/>
  <c r="H153" i="1"/>
  <c r="H154" i="1" s="1"/>
  <c r="K153" i="1"/>
  <c r="K154" i="1" s="1"/>
  <c r="K148" i="1"/>
  <c r="L147" i="1"/>
  <c r="L148" i="1" s="1"/>
  <c r="I112" i="1"/>
  <c r="I113" i="1"/>
  <c r="H114" i="1"/>
  <c r="H162" i="1" s="1"/>
  <c r="J96" i="1"/>
  <c r="K114" i="1"/>
  <c r="K162" i="1" s="1"/>
  <c r="K113" i="1"/>
  <c r="K161" i="1" s="1"/>
  <c r="K163" i="1" s="1"/>
  <c r="J112" i="1"/>
  <c r="L113" i="1"/>
  <c r="H112" i="1"/>
  <c r="K94" i="1"/>
  <c r="K116" i="1"/>
  <c r="L94" i="1"/>
  <c r="L112" i="1"/>
  <c r="L160" i="1" s="1"/>
  <c r="H117" i="1"/>
  <c r="J117" i="1"/>
  <c r="N65" i="1"/>
  <c r="N90" i="1"/>
  <c r="G102" i="1"/>
  <c r="G103" i="1"/>
  <c r="N103" i="1" s="1"/>
  <c r="N100" i="1"/>
  <c r="H100" i="1"/>
  <c r="H104" i="1" s="1"/>
  <c r="I99" i="1"/>
  <c r="I108" i="1"/>
  <c r="J107" i="1"/>
  <c r="N68" i="1"/>
  <c r="N62" i="1"/>
  <c r="N60" i="1"/>
  <c r="N59" i="1"/>
  <c r="N70" i="1"/>
  <c r="N61" i="1"/>
  <c r="I54" i="1"/>
  <c r="H55" i="1"/>
  <c r="K79" i="1"/>
  <c r="J80" i="1"/>
  <c r="K40" i="5" l="1"/>
  <c r="K41" i="5" s="1"/>
  <c r="J41" i="5"/>
  <c r="K67" i="5"/>
  <c r="K68" i="5" s="1"/>
  <c r="J68" i="5"/>
  <c r="J8" i="5"/>
  <c r="N10" i="5"/>
  <c r="N11" i="5"/>
  <c r="N12" i="5"/>
  <c r="N13" i="5"/>
  <c r="I154" i="1"/>
  <c r="L154" i="1"/>
  <c r="L180" i="1"/>
  <c r="L181" i="1" s="1"/>
  <c r="K181" i="1"/>
  <c r="D175" i="1"/>
  <c r="O157" i="1"/>
  <c r="O156" i="1"/>
  <c r="O153" i="1"/>
  <c r="O152" i="1"/>
  <c r="O160" i="1"/>
  <c r="O162" i="1"/>
  <c r="O151" i="1"/>
  <c r="O150" i="1"/>
  <c r="K122" i="1"/>
  <c r="K123" i="1" s="1"/>
  <c r="K166" i="1"/>
  <c r="I117" i="1"/>
  <c r="I161" i="1"/>
  <c r="I116" i="1"/>
  <c r="I160" i="1"/>
  <c r="L117" i="1"/>
  <c r="L161" i="1"/>
  <c r="L163" i="1" s="1"/>
  <c r="J125" i="1"/>
  <c r="J126" i="1" s="1"/>
  <c r="J167" i="1"/>
  <c r="H116" i="1"/>
  <c r="H160" i="1"/>
  <c r="H163" i="1" s="1"/>
  <c r="J115" i="1"/>
  <c r="J160" i="1"/>
  <c r="J163" i="1" s="1"/>
  <c r="K164" i="1" s="1"/>
  <c r="H125" i="1"/>
  <c r="H167" i="1"/>
  <c r="H126" i="1"/>
  <c r="J129" i="1"/>
  <c r="J130" i="1"/>
  <c r="J140" i="1" s="1"/>
  <c r="J173" i="1" s="1"/>
  <c r="I115" i="1"/>
  <c r="I119" i="1" s="1"/>
  <c r="J116" i="1"/>
  <c r="K115" i="1"/>
  <c r="K117" i="1"/>
  <c r="H115" i="1"/>
  <c r="L115" i="1"/>
  <c r="L116" i="1"/>
  <c r="J99" i="1"/>
  <c r="I100" i="1"/>
  <c r="I104" i="1" s="1"/>
  <c r="H103" i="1"/>
  <c r="H102" i="1"/>
  <c r="J108" i="1"/>
  <c r="K107" i="1"/>
  <c r="J54" i="1"/>
  <c r="I55" i="1"/>
  <c r="L79" i="1"/>
  <c r="L80" i="1" s="1"/>
  <c r="K80" i="1"/>
  <c r="N70" i="5" l="1"/>
  <c r="N71" i="5"/>
  <c r="N17" i="5"/>
  <c r="N18" i="5"/>
  <c r="L164" i="1"/>
  <c r="O163" i="1"/>
  <c r="J122" i="1"/>
  <c r="J123" i="1" s="1"/>
  <c r="J166" i="1"/>
  <c r="H122" i="1"/>
  <c r="H123" i="1" s="1"/>
  <c r="H166" i="1"/>
  <c r="L125" i="1"/>
  <c r="L126" i="1" s="1"/>
  <c r="L167" i="1"/>
  <c r="I163" i="1"/>
  <c r="I122" i="1"/>
  <c r="I123" i="1" s="1"/>
  <c r="I166" i="1"/>
  <c r="L122" i="1"/>
  <c r="L123" i="1" s="1"/>
  <c r="L166" i="1"/>
  <c r="L169" i="1" s="1"/>
  <c r="I125" i="1"/>
  <c r="I126" i="1" s="1"/>
  <c r="I167" i="1"/>
  <c r="J169" i="1"/>
  <c r="O161" i="1"/>
  <c r="K125" i="1"/>
  <c r="K126" i="1" s="1"/>
  <c r="K167" i="1"/>
  <c r="K169" i="1" s="1"/>
  <c r="H169" i="1"/>
  <c r="H164" i="1"/>
  <c r="O91" i="1"/>
  <c r="J131" i="1"/>
  <c r="J134" i="1" s="1"/>
  <c r="J139" i="1"/>
  <c r="J172" i="1" s="1"/>
  <c r="I120" i="1"/>
  <c r="I138" i="1"/>
  <c r="L130" i="1"/>
  <c r="L140" i="1" s="1"/>
  <c r="L173" i="1" s="1"/>
  <c r="L129" i="1"/>
  <c r="H119" i="1"/>
  <c r="H130" i="1"/>
  <c r="H140" i="1" s="1"/>
  <c r="H173" i="1" s="1"/>
  <c r="H129" i="1"/>
  <c r="K130" i="1"/>
  <c r="K140" i="1" s="1"/>
  <c r="K173" i="1" s="1"/>
  <c r="K129" i="1"/>
  <c r="I129" i="1"/>
  <c r="I130" i="1"/>
  <c r="I140" i="1" s="1"/>
  <c r="I173" i="1" s="1"/>
  <c r="K119" i="1"/>
  <c r="J119" i="1"/>
  <c r="L119" i="1"/>
  <c r="O98" i="1"/>
  <c r="O90" i="1"/>
  <c r="O87" i="1"/>
  <c r="O85" i="1"/>
  <c r="O86" i="1"/>
  <c r="O84" i="1"/>
  <c r="I103" i="1"/>
  <c r="I102" i="1"/>
  <c r="K99" i="1"/>
  <c r="J100" i="1"/>
  <c r="J104" i="1" s="1"/>
  <c r="K108" i="1"/>
  <c r="L107" i="1"/>
  <c r="L108" i="1" s="1"/>
  <c r="K54" i="1"/>
  <c r="J55" i="1"/>
  <c r="N16" i="5" l="1"/>
  <c r="L170" i="1"/>
  <c r="H170" i="1"/>
  <c r="O169" i="1"/>
  <c r="I164" i="1"/>
  <c r="I169" i="1"/>
  <c r="K170" i="1"/>
  <c r="J174" i="1"/>
  <c r="J175" i="1" s="1"/>
  <c r="J170" i="1"/>
  <c r="J133" i="1"/>
  <c r="J164" i="1"/>
  <c r="L131" i="1"/>
  <c r="L139" i="1"/>
  <c r="L172" i="1" s="1"/>
  <c r="L174" i="1" s="1"/>
  <c r="L175" i="1" s="1"/>
  <c r="O136" i="1"/>
  <c r="O129" i="1"/>
  <c r="O130" i="1"/>
  <c r="H131" i="1"/>
  <c r="H133" i="1" s="1"/>
  <c r="H139" i="1"/>
  <c r="H172" i="1" s="1"/>
  <c r="H174" i="1" s="1"/>
  <c r="I131" i="1"/>
  <c r="J132" i="1" s="1"/>
  <c r="I139" i="1"/>
  <c r="K131" i="1"/>
  <c r="K132" i="1" s="1"/>
  <c r="K139" i="1"/>
  <c r="K172" i="1" s="1"/>
  <c r="K174" i="1" s="1"/>
  <c r="K175" i="1" s="1"/>
  <c r="H120" i="1"/>
  <c r="H138" i="1"/>
  <c r="H141" i="1" s="1"/>
  <c r="H142" i="1" s="1"/>
  <c r="K120" i="1"/>
  <c r="K138" i="1"/>
  <c r="L120" i="1"/>
  <c r="L138" i="1"/>
  <c r="L141" i="1" s="1"/>
  <c r="L142" i="1" s="1"/>
  <c r="J120" i="1"/>
  <c r="J138" i="1"/>
  <c r="J141" i="1" s="1"/>
  <c r="J142" i="1" s="1"/>
  <c r="O115" i="1"/>
  <c r="O112" i="1"/>
  <c r="O125" i="1"/>
  <c r="O122" i="1"/>
  <c r="O119" i="1"/>
  <c r="O113" i="1"/>
  <c r="O114" i="1"/>
  <c r="L99" i="1"/>
  <c r="L100" i="1" s="1"/>
  <c r="L104" i="1" s="1"/>
  <c r="O104" i="1" s="1"/>
  <c r="K100" i="1"/>
  <c r="K104" i="1" s="1"/>
  <c r="J103" i="1"/>
  <c r="J102" i="1"/>
  <c r="L54" i="1"/>
  <c r="L55" i="1" s="1"/>
  <c r="O65" i="1" s="1"/>
  <c r="K55" i="1"/>
  <c r="N19" i="5" l="1"/>
  <c r="H175" i="1"/>
  <c r="I141" i="1"/>
  <c r="I142" i="1" s="1"/>
  <c r="I172" i="1"/>
  <c r="I174" i="1" s="1"/>
  <c r="I175" i="1" s="1"/>
  <c r="I170" i="1"/>
  <c r="H134" i="1"/>
  <c r="O131" i="1"/>
  <c r="H132" i="1"/>
  <c r="I133" i="1"/>
  <c r="I132" i="1"/>
  <c r="I134" i="1"/>
  <c r="L133" i="1"/>
  <c r="L134" i="1"/>
  <c r="K134" i="1"/>
  <c r="L132" i="1"/>
  <c r="K133" i="1"/>
  <c r="K141" i="1"/>
  <c r="K142" i="1" s="1"/>
  <c r="L102" i="1"/>
  <c r="L103" i="1"/>
  <c r="O103" i="1" s="1"/>
  <c r="O100" i="1"/>
  <c r="K103" i="1"/>
  <c r="K102" i="1"/>
  <c r="O68" i="1"/>
  <c r="O62" i="1"/>
  <c r="O60" i="1"/>
  <c r="O70" i="1"/>
  <c r="O59" i="1"/>
  <c r="O61" i="1"/>
  <c r="N27" i="5" l="1"/>
</calcChain>
</file>

<file path=xl/sharedStrings.xml><?xml version="1.0" encoding="utf-8"?>
<sst xmlns="http://schemas.openxmlformats.org/spreadsheetml/2006/main" count="235" uniqueCount="114">
  <si>
    <t>Subscription</t>
  </si>
  <si>
    <t>Professional Services</t>
  </si>
  <si>
    <t>Revenue</t>
  </si>
  <si>
    <t>Total Revenue</t>
  </si>
  <si>
    <t>Net Cash Burn</t>
  </si>
  <si>
    <t>Assumptions</t>
  </si>
  <si>
    <t>Other</t>
  </si>
  <si>
    <t>Historical FYE</t>
  </si>
  <si>
    <t>Subscription (recurring fees for 'access')</t>
  </si>
  <si>
    <t>ACV (Bookings)</t>
  </si>
  <si>
    <t>Total ACV (Bookings)</t>
  </si>
  <si>
    <t>Y-O-Y Growth %</t>
  </si>
  <si>
    <t>ACV (Bookings) Composition Mix</t>
  </si>
  <si>
    <t>Detailed Operating Model Build-Up</t>
  </si>
  <si>
    <t>Projected FYE</t>
  </si>
  <si>
    <t>Operating Model Build-Up</t>
  </si>
  <si>
    <t>ACV Annual Growth Escalator</t>
  </si>
  <si>
    <t>ACV Composition Mix Profile</t>
  </si>
  <si>
    <t>Subscription (% of Total)</t>
  </si>
  <si>
    <t>Professional Services (% of Total)</t>
  </si>
  <si>
    <t>Other (% of Total)</t>
  </si>
  <si>
    <t>Total</t>
  </si>
  <si>
    <t>Client Count</t>
  </si>
  <si>
    <t>Total Clients</t>
  </si>
  <si>
    <t>ACV Per Client</t>
  </si>
  <si>
    <t>CAGR</t>
  </si>
  <si>
    <t>Number of Total Clients</t>
  </si>
  <si>
    <t>Number of Subscription ACV Clients</t>
  </si>
  <si>
    <t>Revenue (ACV In-Year Realization Factor %)</t>
  </si>
  <si>
    <t>Revenue (ACV Prior-Year Realization Factor %)</t>
  </si>
  <si>
    <t>Revenue Per Client</t>
  </si>
  <si>
    <t>Revenue Composition Mix Profile</t>
  </si>
  <si>
    <t>Revenue Composition Mix</t>
  </si>
  <si>
    <t>x</t>
  </si>
  <si>
    <t>Average Rolling 3-Month MRR</t>
  </si>
  <si>
    <t>(x) Annualization Factor</t>
  </si>
  <si>
    <t>ARR</t>
  </si>
  <si>
    <t>ARR Per Client</t>
  </si>
  <si>
    <t>ARR (Subscription ACV) Clients</t>
  </si>
  <si>
    <t>Cost-Related Assumptions</t>
  </si>
  <si>
    <t>Revenue-Related Assumptions</t>
  </si>
  <si>
    <t>ACV-Related Assumptions</t>
  </si>
  <si>
    <t>Gross Margin %</t>
  </si>
  <si>
    <t>(+/–) Other Adjustments</t>
  </si>
  <si>
    <t>(–) Cost of Goods Sold (Subscription)</t>
  </si>
  <si>
    <t>(–) Cost of Goods Sold (Professional Services)</t>
  </si>
  <si>
    <t>Subscription Revenue</t>
  </si>
  <si>
    <t>Subscription Gross Profit</t>
  </si>
  <si>
    <t>Total Gross Profit</t>
  </si>
  <si>
    <t>Subscription Gross Margin %</t>
  </si>
  <si>
    <t>Professional Services Gross Profit</t>
  </si>
  <si>
    <t>Professional Services Gross Margin %</t>
  </si>
  <si>
    <t>Operating Expenses</t>
  </si>
  <si>
    <t>Total Operating Expenses</t>
  </si>
  <si>
    <t>Total Personnel Expenses</t>
  </si>
  <si>
    <t>FTEs</t>
  </si>
  <si>
    <t>% of Total Revenue</t>
  </si>
  <si>
    <t>Full Time Employees (FTEs)</t>
  </si>
  <si>
    <t>OpEx per FTE</t>
  </si>
  <si>
    <t>ARR Per FTE</t>
  </si>
  <si>
    <t>Gross Profit, Operating Expenses, &amp; EBITDA</t>
  </si>
  <si>
    <t>(–) OpEx: Personnel Expenses</t>
  </si>
  <si>
    <t>(–) OpEx: Non-Staff Expenses</t>
  </si>
  <si>
    <t>(+) Non-Staff Expenses</t>
  </si>
  <si>
    <t>Revenue Per FTE</t>
  </si>
  <si>
    <t>Adjusted EBITDA</t>
  </si>
  <si>
    <t>EBITDA Margin %</t>
  </si>
  <si>
    <t>Summary Operating Model Build-Up</t>
  </si>
  <si>
    <t>Subscription ACV</t>
  </si>
  <si>
    <t>Cash Flow Schedule</t>
  </si>
  <si>
    <t>Subscription Cost of Goods Sold (as % of Subscription Revenue)</t>
  </si>
  <si>
    <t>Professional Services Cost of Goods Sold (as % of Professional Services Revenue)</t>
  </si>
  <si>
    <t>OpEx: Personnel Expenses (as % of Total Revenue)</t>
  </si>
  <si>
    <t>OpEx: Non-Staff Expenses (as % of Total Revenue)</t>
  </si>
  <si>
    <t>(+) Professional Services Revenue</t>
  </si>
  <si>
    <t>(+) Other Revenue</t>
  </si>
  <si>
    <t>(+) Professional Services (contingent upon 'completion')</t>
  </si>
  <si>
    <t xml:space="preserve">(+) Other (non-recurring engineering or setup fees) </t>
  </si>
  <si>
    <t>(+) Professional Services ACV</t>
  </si>
  <si>
    <t>(+) Other ACV</t>
  </si>
  <si>
    <t>Total ARR Clients</t>
  </si>
  <si>
    <t>Recurring Clients as % of Total</t>
  </si>
  <si>
    <t>(–) Depreciation &amp; Amortization</t>
  </si>
  <si>
    <t>Cash Flow Schedule-Related Assumptions</t>
  </si>
  <si>
    <t>D&amp;A (as % of Total Revenue)</t>
  </si>
  <si>
    <t>(–) Employee Non-Cash Equity Expense</t>
  </si>
  <si>
    <t>(+/–) Other Non-Cash OpEx Adjustments, Net</t>
  </si>
  <si>
    <t>Operating Income (EBIT)</t>
  </si>
  <si>
    <t>(–) Other Expense, Net</t>
  </si>
  <si>
    <t>Net Income</t>
  </si>
  <si>
    <t>(+/–) Interest Income (Expense), Net</t>
  </si>
  <si>
    <t>(+/–) Income Taxes</t>
  </si>
  <si>
    <t>(+) Depreciation &amp; Amortization</t>
  </si>
  <si>
    <t>(+/–) Changes in Net Working Capital</t>
  </si>
  <si>
    <t>Cash Flow from Operating Activities</t>
  </si>
  <si>
    <t>(–) Capex</t>
  </si>
  <si>
    <t>(+/–) FX effect on Cash</t>
  </si>
  <si>
    <t>Changes in Net Working Capital (as % of Total Revenue)</t>
  </si>
  <si>
    <t>Capex (as % of Total Revenue)</t>
  </si>
  <si>
    <t>Beginning Cash Balance</t>
  </si>
  <si>
    <t>(+/–) Net Cash Burn</t>
  </si>
  <si>
    <t>(+) Cash Infusion from Financing Activities (Debt &amp; Equity)</t>
  </si>
  <si>
    <t>Ending Cash Balance</t>
  </si>
  <si>
    <t>Historical &amp; Projected Annual Financial Summary</t>
  </si>
  <si>
    <t>Key Financial &amp; Operational Metrics</t>
  </si>
  <si>
    <t>ARR *</t>
  </si>
  <si>
    <r>
      <t xml:space="preserve">Note:  </t>
    </r>
    <r>
      <rPr>
        <i/>
        <sz val="13"/>
        <color theme="1"/>
        <rFont val="Century Gothic"/>
        <family val="2"/>
      </rPr>
      <t>* ARR expressed as average quarterly MRR annualized</t>
    </r>
  </si>
  <si>
    <t>Annual Historical &amp; Forecasted P&amp;L</t>
  </si>
  <si>
    <t>Annual Cash Flow Schedule</t>
  </si>
  <si>
    <t>Total ARR (Subscription ACV) Clients</t>
  </si>
  <si>
    <t>ARR Per Client (Subscription ACV Client)</t>
  </si>
  <si>
    <t>Subscription Gross Margin</t>
  </si>
  <si>
    <t>Professional Services Gross Margin</t>
  </si>
  <si>
    <t>OpEx Per 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</si>
</sst>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7" formatCode="&quot;$&quot;#,##0.00_);\(&quot;$&quot;#,##0.00\)"/>
    <numFmt numFmtId="164" formatCode="0000&quot;A&quot;"/>
    <numFmt numFmtId="165" formatCode="#,##0.0_);\(#,##0.0\)"/>
    <numFmt numFmtId="166" formatCode="#0.0%_);\(#0.0%\)"/>
    <numFmt numFmtId="167" formatCode="#0%_);\(#0%\)"/>
    <numFmt numFmtId="168" formatCode="0000&quot;E&quot;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3"/>
      <color theme="1"/>
      <name val="Century Gothic"/>
      <family val="2"/>
    </font>
    <font>
      <sz val="13"/>
      <color theme="0"/>
      <name val="Century Gothic"/>
      <family val="2"/>
    </font>
    <font>
      <b/>
      <sz val="13"/>
      <color theme="1"/>
      <name val="Century Gothic"/>
      <family val="2"/>
    </font>
    <font>
      <sz val="13"/>
      <color rgb="FF0000FF"/>
      <name val="Century Gothic"/>
      <family val="2"/>
    </font>
    <font>
      <i/>
      <sz val="13"/>
      <color theme="1"/>
      <name val="Century Gothic"/>
      <family val="2"/>
    </font>
    <font>
      <sz val="13"/>
      <name val="Century Gothic"/>
      <family val="2"/>
    </font>
    <font>
      <i/>
      <sz val="13"/>
      <name val="Century Gothic"/>
      <family val="2"/>
    </font>
    <font>
      <b/>
      <i/>
      <sz val="13"/>
      <name val="Century Gothic"/>
      <family val="2"/>
    </font>
    <font>
      <b/>
      <sz val="13"/>
      <color rgb="FF0000FF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0B3D51"/>
        <bgColor indexed="64"/>
      </patternFill>
    </fill>
    <fill>
      <patternFill patternType="solid">
        <fgColor rgb="FFD6E0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8EAD8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tted">
        <color theme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dotted">
        <color theme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theme="1"/>
      </right>
      <top style="dotted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 style="thin">
        <color indexed="64"/>
      </top>
      <bottom/>
      <diagonal/>
    </border>
    <border>
      <left/>
      <right style="mediumDashed">
        <color auto="1"/>
      </right>
      <top style="thin">
        <color indexed="64"/>
      </top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4" fontId="2" fillId="0" borderId="5" xfId="0" applyNumberFormat="1" applyFont="1" applyBorder="1" applyAlignment="1">
      <alignment vertical="center"/>
    </xf>
    <xf numFmtId="164" fontId="2" fillId="0" borderId="7" xfId="0" applyNumberFormat="1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37" fontId="2" fillId="0" borderId="0" xfId="0" applyNumberFormat="1" applyFont="1" applyAlignment="1">
      <alignment vertical="center"/>
    </xf>
    <xf numFmtId="37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6" fontId="2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indent="1"/>
    </xf>
    <xf numFmtId="37" fontId="4" fillId="0" borderId="0" xfId="0" applyNumberFormat="1" applyFont="1" applyAlignment="1">
      <alignment vertical="center"/>
    </xf>
    <xf numFmtId="168" fontId="2" fillId="0" borderId="7" xfId="0" applyNumberFormat="1" applyFont="1" applyBorder="1" applyAlignment="1">
      <alignment vertical="center"/>
    </xf>
    <xf numFmtId="14" fontId="2" fillId="0" borderId="10" xfId="0" applyNumberFormat="1" applyFont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168" fontId="2" fillId="0" borderId="0" xfId="0" applyNumberFormat="1" applyFont="1" applyAlignment="1">
      <alignment vertical="center"/>
    </xf>
    <xf numFmtId="166" fontId="5" fillId="5" borderId="11" xfId="0" applyNumberFormat="1" applyFont="1" applyFill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168" fontId="2" fillId="0" borderId="3" xfId="0" applyNumberFormat="1" applyFont="1" applyBorder="1" applyAlignment="1">
      <alignment vertical="center"/>
    </xf>
    <xf numFmtId="37" fontId="7" fillId="0" borderId="0" xfId="0" applyNumberFormat="1" applyFont="1" applyAlignment="1">
      <alignment vertical="center"/>
    </xf>
    <xf numFmtId="166" fontId="5" fillId="5" borderId="12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 indent="1"/>
    </xf>
    <xf numFmtId="166" fontId="2" fillId="0" borderId="1" xfId="0" applyNumberFormat="1" applyFont="1" applyBorder="1" applyAlignment="1">
      <alignment vertical="center"/>
    </xf>
    <xf numFmtId="5" fontId="6" fillId="0" borderId="0" xfId="0" applyNumberFormat="1" applyFont="1" applyAlignment="1">
      <alignment vertical="center"/>
    </xf>
    <xf numFmtId="0" fontId="2" fillId="4" borderId="0" xfId="0" applyFont="1" applyFill="1" applyAlignment="1">
      <alignment vertical="center"/>
    </xf>
    <xf numFmtId="14" fontId="6" fillId="0" borderId="0" xfId="0" quotePrefix="1" applyNumberFormat="1" applyFont="1" applyAlignment="1">
      <alignment horizontal="center" vertical="center"/>
    </xf>
    <xf numFmtId="168" fontId="6" fillId="0" borderId="7" xfId="0" applyNumberFormat="1" applyFont="1" applyBorder="1" applyAlignment="1">
      <alignment horizontal="center" vertical="center"/>
    </xf>
    <xf numFmtId="37" fontId="5" fillId="5" borderId="1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 indent="1"/>
    </xf>
    <xf numFmtId="5" fontId="4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indent="2"/>
    </xf>
    <xf numFmtId="0" fontId="2" fillId="0" borderId="13" xfId="0" applyFont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37" fontId="5" fillId="0" borderId="6" xfId="0" applyNumberFormat="1" applyFont="1" applyBorder="1" applyAlignment="1">
      <alignment vertical="center"/>
    </xf>
    <xf numFmtId="37" fontId="4" fillId="0" borderId="6" xfId="0" applyNumberFormat="1" applyFont="1" applyBorder="1" applyAlignment="1">
      <alignment vertical="center"/>
    </xf>
    <xf numFmtId="167" fontId="6" fillId="0" borderId="6" xfId="0" applyNumberFormat="1" applyFont="1" applyBorder="1" applyAlignment="1">
      <alignment vertical="center"/>
    </xf>
    <xf numFmtId="5" fontId="4" fillId="0" borderId="6" xfId="0" applyNumberFormat="1" applyFont="1" applyBorder="1" applyAlignment="1">
      <alignment vertical="center"/>
    </xf>
    <xf numFmtId="167" fontId="2" fillId="0" borderId="6" xfId="0" applyNumberFormat="1" applyFont="1" applyBorder="1" applyAlignment="1">
      <alignment vertical="center"/>
    </xf>
    <xf numFmtId="165" fontId="5" fillId="0" borderId="0" xfId="0" applyNumberFormat="1" applyFont="1" applyAlignment="1">
      <alignment vertical="center"/>
    </xf>
    <xf numFmtId="5" fontId="5" fillId="0" borderId="0" xfId="0" applyNumberFormat="1" applyFont="1" applyAlignment="1">
      <alignment vertical="center"/>
    </xf>
    <xf numFmtId="5" fontId="5" fillId="0" borderId="6" xfId="0" applyNumberFormat="1" applyFont="1" applyBorder="1" applyAlignment="1">
      <alignment vertical="center"/>
    </xf>
    <xf numFmtId="5" fontId="7" fillId="0" borderId="0" xfId="0" applyNumberFormat="1" applyFont="1" applyAlignment="1">
      <alignment vertical="center"/>
    </xf>
    <xf numFmtId="5" fontId="4" fillId="0" borderId="1" xfId="0" applyNumberFormat="1" applyFont="1" applyBorder="1" applyAlignment="1">
      <alignment vertical="center"/>
    </xf>
    <xf numFmtId="5" fontId="4" fillId="0" borderId="15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7" fontId="2" fillId="0" borderId="0" xfId="0" applyNumberFormat="1" applyFont="1" applyAlignment="1">
      <alignment vertical="center"/>
    </xf>
    <xf numFmtId="5" fontId="2" fillId="0" borderId="0" xfId="0" applyNumberFormat="1" applyFont="1" applyAlignment="1">
      <alignment vertical="center"/>
    </xf>
    <xf numFmtId="0" fontId="2" fillId="0" borderId="16" xfId="0" applyFont="1" applyBorder="1" applyAlignment="1">
      <alignment vertical="center"/>
    </xf>
    <xf numFmtId="5" fontId="5" fillId="0" borderId="17" xfId="0" applyNumberFormat="1" applyFont="1" applyBorder="1" applyAlignment="1">
      <alignment vertical="center"/>
    </xf>
    <xf numFmtId="37" fontId="5" fillId="0" borderId="17" xfId="0" applyNumberFormat="1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167" fontId="6" fillId="0" borderId="17" xfId="0" applyNumberFormat="1" applyFont="1" applyBorder="1" applyAlignment="1">
      <alignment vertical="center"/>
    </xf>
    <xf numFmtId="165" fontId="2" fillId="0" borderId="6" xfId="0" applyNumberFormat="1" applyFont="1" applyBorder="1" applyAlignment="1">
      <alignment vertical="center"/>
    </xf>
    <xf numFmtId="5" fontId="2" fillId="0" borderId="6" xfId="0" applyNumberFormat="1" applyFont="1" applyBorder="1" applyAlignment="1">
      <alignment vertical="center"/>
    </xf>
    <xf numFmtId="37" fontId="2" fillId="0" borderId="6" xfId="0" applyNumberFormat="1" applyFont="1" applyBorder="1" applyAlignment="1">
      <alignment vertical="center"/>
    </xf>
    <xf numFmtId="166" fontId="6" fillId="0" borderId="6" xfId="0" applyNumberFormat="1" applyFont="1" applyBorder="1" applyAlignment="1">
      <alignment vertical="center"/>
    </xf>
    <xf numFmtId="167" fontId="8" fillId="6" borderId="19" xfId="0" applyNumberFormat="1" applyFont="1" applyFill="1" applyBorder="1" applyAlignment="1">
      <alignment horizontal="center" vertical="center"/>
    </xf>
    <xf numFmtId="167" fontId="8" fillId="6" borderId="20" xfId="0" applyNumberFormat="1" applyFont="1" applyFill="1" applyBorder="1" applyAlignment="1">
      <alignment horizontal="center" vertical="center"/>
    </xf>
    <xf numFmtId="167" fontId="8" fillId="6" borderId="21" xfId="0" applyNumberFormat="1" applyFont="1" applyFill="1" applyBorder="1" applyAlignment="1">
      <alignment horizontal="center" vertical="center"/>
    </xf>
    <xf numFmtId="167" fontId="8" fillId="6" borderId="22" xfId="0" applyNumberFormat="1" applyFont="1" applyFill="1" applyBorder="1" applyAlignment="1">
      <alignment horizontal="center" vertical="center"/>
    </xf>
    <xf numFmtId="167" fontId="9" fillId="6" borderId="23" xfId="0" applyNumberFormat="1" applyFont="1" applyFill="1" applyBorder="1" applyAlignment="1">
      <alignment horizontal="center" vertical="center"/>
    </xf>
    <xf numFmtId="167" fontId="9" fillId="6" borderId="24" xfId="0" applyNumberFormat="1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vertical="center"/>
    </xf>
    <xf numFmtId="0" fontId="2" fillId="6" borderId="22" xfId="0" applyFont="1" applyFill="1" applyBorder="1" applyAlignment="1">
      <alignment vertical="center"/>
    </xf>
    <xf numFmtId="167" fontId="8" fillId="6" borderId="25" xfId="0" applyNumberFormat="1" applyFont="1" applyFill="1" applyBorder="1" applyAlignment="1">
      <alignment horizontal="center" vertical="center"/>
    </xf>
    <xf numFmtId="167" fontId="8" fillId="6" borderId="26" xfId="0" applyNumberFormat="1" applyFont="1" applyFill="1" applyBorder="1" applyAlignment="1">
      <alignment horizontal="center" vertical="center"/>
    </xf>
    <xf numFmtId="167" fontId="9" fillId="6" borderId="21" xfId="0" applyNumberFormat="1" applyFont="1" applyFill="1" applyBorder="1" applyAlignment="1">
      <alignment horizontal="center" vertical="center"/>
    </xf>
    <xf numFmtId="167" fontId="9" fillId="6" borderId="22" xfId="0" applyNumberFormat="1" applyFont="1" applyFill="1" applyBorder="1" applyAlignment="1">
      <alignment horizontal="center" vertical="center"/>
    </xf>
    <xf numFmtId="167" fontId="6" fillId="6" borderId="21" xfId="0" applyNumberFormat="1" applyFont="1" applyFill="1" applyBorder="1" applyAlignment="1">
      <alignment vertical="center"/>
    </xf>
    <xf numFmtId="167" fontId="6" fillId="6" borderId="22" xfId="0" applyNumberFormat="1" applyFont="1" applyFill="1" applyBorder="1" applyAlignment="1">
      <alignment vertical="center"/>
    </xf>
    <xf numFmtId="167" fontId="6" fillId="6" borderId="25" xfId="0" applyNumberFormat="1" applyFont="1" applyFill="1" applyBorder="1" applyAlignment="1">
      <alignment vertical="center"/>
    </xf>
    <xf numFmtId="167" fontId="6" fillId="6" borderId="26" xfId="0" applyNumberFormat="1" applyFont="1" applyFill="1" applyBorder="1" applyAlignment="1">
      <alignment vertical="center"/>
    </xf>
    <xf numFmtId="167" fontId="6" fillId="0" borderId="0" xfId="0" applyNumberFormat="1" applyFont="1" applyAlignment="1">
      <alignment horizontal="right" vertical="center"/>
    </xf>
    <xf numFmtId="5" fontId="6" fillId="0" borderId="6" xfId="0" applyNumberFormat="1" applyFont="1" applyBorder="1" applyAlignment="1">
      <alignment vertical="center"/>
    </xf>
    <xf numFmtId="167" fontId="6" fillId="0" borderId="6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4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5" fontId="4" fillId="7" borderId="1" xfId="0" applyNumberFormat="1" applyFont="1" applyFill="1" applyBorder="1" applyAlignment="1">
      <alignment vertical="center"/>
    </xf>
    <xf numFmtId="5" fontId="4" fillId="7" borderId="15" xfId="0" applyNumberFormat="1" applyFont="1" applyFill="1" applyBorder="1" applyAlignment="1">
      <alignment vertical="center"/>
    </xf>
    <xf numFmtId="5" fontId="10" fillId="7" borderId="1" xfId="0" applyNumberFormat="1" applyFont="1" applyFill="1" applyBorder="1" applyAlignment="1">
      <alignment vertical="center"/>
    </xf>
    <xf numFmtId="5" fontId="4" fillId="7" borderId="18" xfId="0" applyNumberFormat="1" applyFont="1" applyFill="1" applyBorder="1" applyAlignment="1">
      <alignment vertical="center"/>
    </xf>
    <xf numFmtId="37" fontId="4" fillId="7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 indent="1"/>
    </xf>
    <xf numFmtId="0" fontId="2" fillId="6" borderId="25" xfId="0" applyFont="1" applyFill="1" applyBorder="1" applyAlignment="1">
      <alignment vertical="center"/>
    </xf>
    <xf numFmtId="0" fontId="2" fillId="6" borderId="26" xfId="0" applyFont="1" applyFill="1" applyBorder="1" applyAlignment="1">
      <alignment vertical="center"/>
    </xf>
    <xf numFmtId="37" fontId="2" fillId="0" borderId="27" xfId="0" applyNumberFormat="1" applyFont="1" applyBorder="1" applyAlignment="1">
      <alignment vertical="center"/>
    </xf>
    <xf numFmtId="0" fontId="2" fillId="4" borderId="28" xfId="0" applyFont="1" applyFill="1" applyBorder="1" applyAlignment="1">
      <alignment vertical="center"/>
    </xf>
    <xf numFmtId="37" fontId="2" fillId="4" borderId="29" xfId="0" applyNumberFormat="1" applyFont="1" applyFill="1" applyBorder="1" applyAlignment="1">
      <alignment vertical="center"/>
    </xf>
    <xf numFmtId="37" fontId="2" fillId="4" borderId="30" xfId="0" applyNumberFormat="1" applyFont="1" applyFill="1" applyBorder="1" applyAlignment="1">
      <alignment vertical="center"/>
    </xf>
    <xf numFmtId="37" fontId="2" fillId="4" borderId="31" xfId="0" applyNumberFormat="1" applyFont="1" applyFill="1" applyBorder="1" applyAlignment="1">
      <alignment vertical="center"/>
    </xf>
    <xf numFmtId="0" fontId="2" fillId="4" borderId="32" xfId="0" applyFont="1" applyFill="1" applyBorder="1" applyAlignment="1">
      <alignment vertical="center"/>
    </xf>
    <xf numFmtId="37" fontId="2" fillId="4" borderId="0" xfId="0" applyNumberFormat="1" applyFont="1" applyFill="1" applyAlignment="1">
      <alignment vertical="center"/>
    </xf>
    <xf numFmtId="37" fontId="2" fillId="4" borderId="6" xfId="0" applyNumberFormat="1" applyFont="1" applyFill="1" applyBorder="1" applyAlignment="1">
      <alignment vertical="center"/>
    </xf>
    <xf numFmtId="37" fontId="2" fillId="4" borderId="33" xfId="0" applyNumberFormat="1" applyFont="1" applyFill="1" applyBorder="1" applyAlignment="1">
      <alignment vertical="center"/>
    </xf>
    <xf numFmtId="0" fontId="6" fillId="4" borderId="32" xfId="0" applyFont="1" applyFill="1" applyBorder="1" applyAlignment="1">
      <alignment horizontal="left" vertical="center" indent="1"/>
    </xf>
    <xf numFmtId="167" fontId="6" fillId="4" borderId="0" xfId="0" applyNumberFormat="1" applyFont="1" applyFill="1" applyAlignment="1">
      <alignment vertical="center"/>
    </xf>
    <xf numFmtId="167" fontId="6" fillId="4" borderId="6" xfId="0" applyNumberFormat="1" applyFont="1" applyFill="1" applyBorder="1" applyAlignment="1">
      <alignment vertical="center"/>
    </xf>
    <xf numFmtId="167" fontId="6" fillId="4" borderId="33" xfId="0" applyNumberFormat="1" applyFont="1" applyFill="1" applyBorder="1" applyAlignment="1">
      <alignment vertical="center"/>
    </xf>
    <xf numFmtId="0" fontId="2" fillId="4" borderId="34" xfId="0" applyFont="1" applyFill="1" applyBorder="1" applyAlignment="1">
      <alignment vertical="center"/>
    </xf>
    <xf numFmtId="37" fontId="2" fillId="4" borderId="35" xfId="0" applyNumberFormat="1" applyFont="1" applyFill="1" applyBorder="1" applyAlignment="1">
      <alignment vertical="center"/>
    </xf>
    <xf numFmtId="37" fontId="2" fillId="4" borderId="36" xfId="0" applyNumberFormat="1" applyFont="1" applyFill="1" applyBorder="1" applyAlignment="1">
      <alignment vertical="center"/>
    </xf>
    <xf numFmtId="37" fontId="2" fillId="4" borderId="37" xfId="0" applyNumberFormat="1" applyFont="1" applyFill="1" applyBorder="1" applyAlignment="1">
      <alignment vertical="center"/>
    </xf>
    <xf numFmtId="5" fontId="2" fillId="4" borderId="29" xfId="0" applyNumberFormat="1" applyFont="1" applyFill="1" applyBorder="1" applyAlignment="1">
      <alignment vertical="center"/>
    </xf>
    <xf numFmtId="5" fontId="2" fillId="4" borderId="30" xfId="0" applyNumberFormat="1" applyFont="1" applyFill="1" applyBorder="1" applyAlignment="1">
      <alignment vertical="center"/>
    </xf>
    <xf numFmtId="5" fontId="2" fillId="4" borderId="31" xfId="0" applyNumberFormat="1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33" xfId="0" applyFont="1" applyFill="1" applyBorder="1" applyAlignment="1">
      <alignment vertical="center"/>
    </xf>
    <xf numFmtId="0" fontId="2" fillId="4" borderId="32" xfId="0" applyFont="1" applyFill="1" applyBorder="1" applyAlignment="1">
      <alignment horizontal="left" vertical="center" indent="1"/>
    </xf>
    <xf numFmtId="167" fontId="2" fillId="4" borderId="0" xfId="0" applyNumberFormat="1" applyFont="1" applyFill="1" applyAlignment="1">
      <alignment vertical="center"/>
    </xf>
    <xf numFmtId="167" fontId="2" fillId="4" borderId="6" xfId="0" applyNumberFormat="1" applyFont="1" applyFill="1" applyBorder="1" applyAlignment="1">
      <alignment vertical="center"/>
    </xf>
    <xf numFmtId="167" fontId="2" fillId="4" borderId="33" xfId="0" applyNumberFormat="1" applyFont="1" applyFill="1" applyBorder="1" applyAlignment="1">
      <alignment vertical="center"/>
    </xf>
    <xf numFmtId="0" fontId="2" fillId="4" borderId="34" xfId="0" applyFont="1" applyFill="1" applyBorder="1" applyAlignment="1">
      <alignment horizontal="left" vertical="center" indent="1"/>
    </xf>
    <xf numFmtId="167" fontId="2" fillId="4" borderId="35" xfId="0" applyNumberFormat="1" applyFont="1" applyFill="1" applyBorder="1" applyAlignment="1">
      <alignment vertical="center"/>
    </xf>
    <xf numFmtId="167" fontId="2" fillId="4" borderId="36" xfId="0" applyNumberFormat="1" applyFont="1" applyFill="1" applyBorder="1" applyAlignment="1">
      <alignment vertical="center"/>
    </xf>
    <xf numFmtId="167" fontId="2" fillId="4" borderId="37" xfId="0" applyNumberFormat="1" applyFont="1" applyFill="1" applyBorder="1" applyAlignment="1">
      <alignment vertical="center"/>
    </xf>
    <xf numFmtId="5" fontId="2" fillId="4" borderId="0" xfId="0" applyNumberFormat="1" applyFont="1" applyFill="1" applyAlignment="1">
      <alignment vertical="center"/>
    </xf>
    <xf numFmtId="5" fontId="2" fillId="4" borderId="6" xfId="0" applyNumberFormat="1" applyFont="1" applyFill="1" applyBorder="1" applyAlignment="1">
      <alignment vertical="center"/>
    </xf>
    <xf numFmtId="5" fontId="2" fillId="4" borderId="33" xfId="0" applyNumberFormat="1" applyFont="1" applyFill="1" applyBorder="1" applyAlignment="1">
      <alignment vertical="center"/>
    </xf>
    <xf numFmtId="5" fontId="2" fillId="4" borderId="35" xfId="0" applyNumberFormat="1" applyFont="1" applyFill="1" applyBorder="1" applyAlignment="1">
      <alignment vertical="center"/>
    </xf>
    <xf numFmtId="5" fontId="2" fillId="4" borderId="36" xfId="0" applyNumberFormat="1" applyFont="1" applyFill="1" applyBorder="1" applyAlignment="1">
      <alignment vertical="center"/>
    </xf>
    <xf numFmtId="5" fontId="2" fillId="4" borderId="37" xfId="0" applyNumberFormat="1" applyFont="1" applyFill="1" applyBorder="1" applyAlignment="1">
      <alignment vertical="center"/>
    </xf>
    <xf numFmtId="0" fontId="2" fillId="4" borderId="29" xfId="0" applyFont="1" applyFill="1" applyBorder="1" applyAlignment="1">
      <alignment vertical="center"/>
    </xf>
    <xf numFmtId="167" fontId="2" fillId="4" borderId="29" xfId="0" applyNumberFormat="1" applyFont="1" applyFill="1" applyBorder="1" applyAlignment="1">
      <alignment vertical="center"/>
    </xf>
    <xf numFmtId="167" fontId="2" fillId="4" borderId="30" xfId="0" applyNumberFormat="1" applyFont="1" applyFill="1" applyBorder="1" applyAlignment="1">
      <alignment vertical="center"/>
    </xf>
    <xf numFmtId="167" fontId="2" fillId="4" borderId="31" xfId="0" applyNumberFormat="1" applyFont="1" applyFill="1" applyBorder="1" applyAlignment="1">
      <alignment vertical="center"/>
    </xf>
    <xf numFmtId="0" fontId="2" fillId="4" borderId="35" xfId="0" applyFont="1" applyFill="1" applyBorder="1" applyAlignment="1">
      <alignment vertical="center"/>
    </xf>
    <xf numFmtId="167" fontId="2" fillId="4" borderId="35" xfId="0" applyNumberFormat="1" applyFont="1" applyFill="1" applyBorder="1" applyAlignment="1">
      <alignment horizontal="right" vertical="center"/>
    </xf>
    <xf numFmtId="0" fontId="2" fillId="4" borderId="38" xfId="0" applyFont="1" applyFill="1" applyBorder="1" applyAlignment="1">
      <alignment vertical="center"/>
    </xf>
    <xf numFmtId="5" fontId="2" fillId="4" borderId="39" xfId="0" applyNumberFormat="1" applyFont="1" applyFill="1" applyBorder="1" applyAlignment="1">
      <alignment vertical="center"/>
    </xf>
    <xf numFmtId="5" fontId="2" fillId="4" borderId="40" xfId="0" applyNumberFormat="1" applyFont="1" applyFill="1" applyBorder="1" applyAlignment="1">
      <alignment vertical="center"/>
    </xf>
    <xf numFmtId="5" fontId="2" fillId="4" borderId="41" xfId="0" applyNumberFormat="1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3">
    <cellStyle name="Normal" xfId="0" builtinId="0"/>
    <cellStyle name="Normal 2" xfId="1" xr:uid="{AACF442A-FD52-4019-9E71-C55248E9F20C}"/>
    <cellStyle name="Percent 2" xfId="2" xr:uid="{96CC7B2E-565F-4C68-8023-9AD8FEBF4153}"/>
  </cellStyles>
  <dxfs count="0"/>
  <tableStyles count="0" defaultTableStyle="TableStyleMedium2" defaultPivotStyle="PivotStyleLight16"/>
  <colors>
    <mruColors>
      <color rgb="FFD8EAD8"/>
      <color rgb="FF0000FF"/>
      <color rgb="FFD6E0EC"/>
      <color rgb="FF0B3D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D7DF-2DE4-4E76-BCFB-014A89367624}">
  <sheetPr>
    <tabColor rgb="FFC00000"/>
    <pageSetUpPr fitToPage="1"/>
  </sheetPr>
  <dimension ref="A2:O95"/>
  <sheetViews>
    <sheetView showGridLines="0" view="pageBreakPreview" zoomScale="70" zoomScaleNormal="75" zoomScaleSheetLayoutView="70" workbookViewId="0">
      <selection activeCell="B8" sqref="B8"/>
    </sheetView>
  </sheetViews>
  <sheetFormatPr defaultColWidth="20.7265625" defaultRowHeight="24" customHeight="1" x14ac:dyDescent="0.35"/>
  <cols>
    <col min="1" max="1" width="6.7265625" style="1" customWidth="1"/>
    <col min="2" max="2" width="72.7265625" style="1" customWidth="1"/>
    <col min="3" max="11" width="20.7265625" style="1"/>
    <col min="12" max="12" width="6.7265625" style="1" customWidth="1"/>
    <col min="13" max="16384" width="20.7265625" style="1"/>
  </cols>
  <sheetData>
    <row r="2" spans="1:15" ht="24" customHeight="1" x14ac:dyDescent="0.35">
      <c r="A2" s="9" t="s">
        <v>33</v>
      </c>
      <c r="B2" s="3" t="s">
        <v>103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9" t="s">
        <v>33</v>
      </c>
    </row>
    <row r="3" spans="1:15" ht="6" customHeight="1" x14ac:dyDescent="0.35"/>
    <row r="4" spans="1:15" ht="24" customHeight="1" x14ac:dyDescent="0.35">
      <c r="B4" s="4" t="s">
        <v>107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5" ht="6" customHeight="1" x14ac:dyDescent="0.35"/>
    <row r="6" spans="1:15" ht="24" customHeight="1" x14ac:dyDescent="0.35">
      <c r="C6" s="147" t="s">
        <v>7</v>
      </c>
      <c r="D6" s="147"/>
      <c r="E6" s="147"/>
      <c r="F6" s="148"/>
      <c r="G6" s="147" t="s">
        <v>14</v>
      </c>
      <c r="H6" s="147"/>
      <c r="I6" s="147"/>
      <c r="J6" s="147"/>
      <c r="K6" s="147"/>
      <c r="L6" s="9"/>
      <c r="M6" s="9"/>
      <c r="N6" s="9"/>
    </row>
    <row r="7" spans="1:15" ht="24" customHeight="1" x14ac:dyDescent="0.35">
      <c r="C7" s="10">
        <v>42735</v>
      </c>
      <c r="D7" s="6">
        <f>EOMONTH(C7,12)</f>
        <v>43100</v>
      </c>
      <c r="E7" s="6">
        <f>EOMONTH(D7,12)</f>
        <v>43465</v>
      </c>
      <c r="F7" s="25">
        <f>EOMONTH(E7,12)</f>
        <v>43830</v>
      </c>
      <c r="G7" s="6">
        <f>EOMONTH(F7,12)</f>
        <v>44196</v>
      </c>
      <c r="H7" s="6">
        <f t="shared" ref="H7:K7" si="0">EOMONTH(G7,12)</f>
        <v>44561</v>
      </c>
      <c r="I7" s="6">
        <f t="shared" si="0"/>
        <v>44926</v>
      </c>
      <c r="J7" s="6">
        <f t="shared" si="0"/>
        <v>45291</v>
      </c>
      <c r="K7" s="6">
        <f t="shared" si="0"/>
        <v>45657</v>
      </c>
      <c r="L7" s="10"/>
      <c r="M7" s="38" t="str">
        <f>"'16A - '19A"</f>
        <v>'16A - '19A</v>
      </c>
      <c r="N7" s="38" t="str">
        <f>"'20E - '24E"</f>
        <v>'20E - '24E</v>
      </c>
    </row>
    <row r="8" spans="1:15" ht="24" customHeight="1" thickBot="1" x14ac:dyDescent="0.4">
      <c r="B8" s="7"/>
      <c r="C8" s="7">
        <f>YEAR(C7)</f>
        <v>2016</v>
      </c>
      <c r="D8" s="7">
        <f>YEAR(D7)</f>
        <v>2017</v>
      </c>
      <c r="E8" s="7">
        <f>YEAR(E7)</f>
        <v>2018</v>
      </c>
      <c r="F8" s="8">
        <f>YEAR(F7)</f>
        <v>2019</v>
      </c>
      <c r="G8" s="24">
        <f>YEAR(G7)</f>
        <v>2020</v>
      </c>
      <c r="H8" s="24">
        <f t="shared" ref="H8:K8" si="1">YEAR(H7)</f>
        <v>2021</v>
      </c>
      <c r="I8" s="24">
        <f t="shared" si="1"/>
        <v>2022</v>
      </c>
      <c r="J8" s="24">
        <f t="shared" si="1"/>
        <v>2023</v>
      </c>
      <c r="K8" s="24">
        <f t="shared" si="1"/>
        <v>2024</v>
      </c>
      <c r="L8" s="24"/>
      <c r="M8" s="39" t="s">
        <v>25</v>
      </c>
      <c r="N8" s="39" t="s">
        <v>25</v>
      </c>
    </row>
    <row r="9" spans="1:15" ht="6" customHeight="1" thickTop="1" thickBot="1" x14ac:dyDescent="0.4">
      <c r="F9" s="45"/>
    </row>
    <row r="10" spans="1:15" ht="24" customHeight="1" x14ac:dyDescent="0.35">
      <c r="B10" s="1" t="s">
        <v>68</v>
      </c>
      <c r="C10" s="61">
        <f>'Operating Model'!D150</f>
        <v>10583</v>
      </c>
      <c r="D10" s="61">
        <f>'Operating Model'!E150</f>
        <v>13462</v>
      </c>
      <c r="E10" s="61">
        <f>'Operating Model'!F150</f>
        <v>13698</v>
      </c>
      <c r="F10" s="68">
        <f>'Operating Model'!G150</f>
        <v>14334.922500000001</v>
      </c>
      <c r="G10" s="61">
        <f>'Operating Model'!H150</f>
        <v>25086.356000000003</v>
      </c>
      <c r="H10" s="61">
        <f>'Operating Model'!I150</f>
        <v>44780.93499999999</v>
      </c>
      <c r="I10" s="61">
        <f>'Operating Model'!J150</f>
        <v>66322.846409999998</v>
      </c>
      <c r="J10" s="61">
        <f>'Operating Model'!K150</f>
        <v>98798.763493999999</v>
      </c>
      <c r="K10" s="61">
        <f>'Operating Model'!L150</f>
        <v>137301.22279699999</v>
      </c>
      <c r="M10" s="71">
        <f>IFERROR(RATE($F$8-$C$8,0,-$C10,$F10),"N/A")</f>
        <v>0.10644250455756603</v>
      </c>
      <c r="N10" s="72">
        <f>IFERROR(RATE($K$8-$G$8,0,-$G10,$K10),"N/A")</f>
        <v>0.52953424880909039</v>
      </c>
    </row>
    <row r="11" spans="1:15" ht="24" customHeight="1" x14ac:dyDescent="0.35">
      <c r="B11" s="1" t="s">
        <v>78</v>
      </c>
      <c r="C11" s="13">
        <f>'Operating Model'!D151</f>
        <v>304</v>
      </c>
      <c r="D11" s="13">
        <f>'Operating Model'!E151</f>
        <v>1197</v>
      </c>
      <c r="E11" s="13">
        <f>'Operating Model'!F151</f>
        <v>2481</v>
      </c>
      <c r="F11" s="69">
        <f>'Operating Model'!G151</f>
        <v>10615.65</v>
      </c>
      <c r="G11" s="13">
        <f>'Operating Model'!H151</f>
        <v>16931.044000000002</v>
      </c>
      <c r="H11" s="13">
        <f>'Operating Model'!I151</f>
        <v>26725</v>
      </c>
      <c r="I11" s="13">
        <f>'Operating Model'!J151</f>
        <v>35636.661840000001</v>
      </c>
      <c r="J11" s="13">
        <f>'Operating Model'!K151</f>
        <v>46493.535762</v>
      </c>
      <c r="K11" s="13">
        <f>'Operating Model'!L151</f>
        <v>58843.381199000003</v>
      </c>
      <c r="M11" s="73">
        <f t="shared" ref="M11:M13" si="2">IFERROR(RATE($F$8-$C$8,0,-$C11,$F11),"N/A")</f>
        <v>2.2685690889163967</v>
      </c>
      <c r="N11" s="74">
        <f t="shared" ref="N11:N13" si="3">IFERROR(RATE($K$8-$G$8,0,-$G11,$K11),"N/A")</f>
        <v>0.36537979033201484</v>
      </c>
    </row>
    <row r="12" spans="1:15" ht="24" customHeight="1" x14ac:dyDescent="0.35">
      <c r="B12" s="1" t="s">
        <v>79</v>
      </c>
      <c r="C12" s="13">
        <f>'Operating Model'!D152</f>
        <v>0</v>
      </c>
      <c r="D12" s="13">
        <f>'Operating Model'!E152</f>
        <v>147.86499999999967</v>
      </c>
      <c r="E12" s="13">
        <f>'Operating Model'!F152</f>
        <v>337.70000000000039</v>
      </c>
      <c r="F12" s="101">
        <f>'Operating Model'!G152</f>
        <v>0.5</v>
      </c>
      <c r="G12" s="13">
        <f>'Operating Model'!H152</f>
        <v>0</v>
      </c>
      <c r="H12" s="13">
        <f>'Operating Model'!I152</f>
        <v>0</v>
      </c>
      <c r="I12" s="13">
        <f>'Operating Model'!J152</f>
        <v>0</v>
      </c>
      <c r="J12" s="13">
        <f>'Operating Model'!K152</f>
        <v>0</v>
      </c>
      <c r="K12" s="13">
        <f>'Operating Model'!L152</f>
        <v>0</v>
      </c>
      <c r="M12" s="73" t="str">
        <f t="shared" si="2"/>
        <v>N/A</v>
      </c>
      <c r="N12" s="74" t="str">
        <f t="shared" si="3"/>
        <v>N/A</v>
      </c>
    </row>
    <row r="13" spans="1:15" ht="24" customHeight="1" x14ac:dyDescent="0.35">
      <c r="B13" s="91" t="s">
        <v>10</v>
      </c>
      <c r="C13" s="93">
        <f>SUM(C10:C12)</f>
        <v>10887</v>
      </c>
      <c r="D13" s="93">
        <f t="shared" ref="D13:K13" si="4">SUM(D10:D12)</f>
        <v>14806.865</v>
      </c>
      <c r="E13" s="93">
        <f t="shared" si="4"/>
        <v>16516.7</v>
      </c>
      <c r="F13" s="94">
        <f t="shared" si="4"/>
        <v>24951.072500000002</v>
      </c>
      <c r="G13" s="93">
        <f t="shared" si="4"/>
        <v>42017.400000000009</v>
      </c>
      <c r="H13" s="93">
        <f t="shared" si="4"/>
        <v>71505.934999999998</v>
      </c>
      <c r="I13" s="93">
        <f t="shared" si="4"/>
        <v>101959.50825</v>
      </c>
      <c r="J13" s="93">
        <f t="shared" si="4"/>
        <v>145292.299256</v>
      </c>
      <c r="K13" s="93">
        <f t="shared" si="4"/>
        <v>196144.60399599999</v>
      </c>
      <c r="M13" s="75">
        <f t="shared" si="2"/>
        <v>0.31843988212733754</v>
      </c>
      <c r="N13" s="76">
        <f t="shared" si="3"/>
        <v>0.46989664107270096</v>
      </c>
    </row>
    <row r="14" spans="1:15" ht="24" customHeight="1" x14ac:dyDescent="0.35">
      <c r="B14" s="16" t="s">
        <v>11</v>
      </c>
      <c r="D14" s="20">
        <f>D13/C13-1</f>
        <v>0.36005005970423443</v>
      </c>
      <c r="E14" s="20">
        <f t="shared" ref="E14:K14" si="5">E13/D13-1</f>
        <v>0.11547582827289915</v>
      </c>
      <c r="F14" s="70">
        <f t="shared" si="5"/>
        <v>0.51065724388043621</v>
      </c>
      <c r="G14" s="20">
        <f t="shared" si="5"/>
        <v>0.68399174023481368</v>
      </c>
      <c r="H14" s="20">
        <f t="shared" si="5"/>
        <v>0.70181722334080598</v>
      </c>
      <c r="I14" s="20">
        <f t="shared" si="5"/>
        <v>0.42588874965413703</v>
      </c>
      <c r="J14" s="20">
        <f t="shared" si="5"/>
        <v>0.42499999999754801</v>
      </c>
      <c r="K14" s="20">
        <f t="shared" si="5"/>
        <v>0.350000000002753</v>
      </c>
      <c r="M14" s="77"/>
      <c r="N14" s="78"/>
    </row>
    <row r="15" spans="1:15" ht="24" customHeight="1" x14ac:dyDescent="0.35">
      <c r="B15" s="16"/>
      <c r="F15" s="47"/>
      <c r="M15" s="77"/>
      <c r="N15" s="78"/>
    </row>
    <row r="16" spans="1:15" ht="24" customHeight="1" x14ac:dyDescent="0.35">
      <c r="B16" s="1" t="s">
        <v>46</v>
      </c>
      <c r="C16" s="61">
        <f>'Operating Model'!D160</f>
        <v>6452.9480454500917</v>
      </c>
      <c r="D16" s="61">
        <f>'Operating Model'!E160</f>
        <v>9384.0249999999996</v>
      </c>
      <c r="E16" s="61">
        <f>'Operating Model'!F160</f>
        <v>11241.66</v>
      </c>
      <c r="F16" s="68">
        <f>'Operating Model'!G160</f>
        <v>11937.493619999997</v>
      </c>
      <c r="G16" s="61">
        <f>'Operating Model'!H160</f>
        <v>16914.655303333333</v>
      </c>
      <c r="H16" s="61">
        <f>'Operating Model'!I160</f>
        <v>24733</v>
      </c>
      <c r="I16" s="61">
        <f>'Operating Model'!J160</f>
        <v>48670.188209899999</v>
      </c>
      <c r="J16" s="61">
        <f>'Operating Model'!K160</f>
        <v>72718.101798799995</v>
      </c>
      <c r="K16" s="61">
        <f>'Operating Model'!L160</f>
        <v>104964.8446343</v>
      </c>
      <c r="M16" s="73">
        <f t="shared" ref="M16:M19" si="6">IFERROR(RATE($F$8-$C$8,0,-$C16,$F16),"N/A")</f>
        <v>0.22758524939749555</v>
      </c>
      <c r="N16" s="74">
        <f t="shared" ref="N16:N19" si="7">IFERROR(RATE($K$8-$G$8,0,-$G16,$K16),"N/A")</f>
        <v>0.57832043262164745</v>
      </c>
    </row>
    <row r="17" spans="2:14" ht="24" customHeight="1" x14ac:dyDescent="0.35">
      <c r="B17" s="1" t="s">
        <v>74</v>
      </c>
      <c r="C17" s="13">
        <f>'Operating Model'!D161</f>
        <v>3852.4599545499077</v>
      </c>
      <c r="D17" s="13">
        <f>'Operating Model'!E161</f>
        <v>1107.8990000000006</v>
      </c>
      <c r="E17" s="13">
        <f>'Operating Model'!F161</f>
        <v>1685.7919999999995</v>
      </c>
      <c r="F17" s="69">
        <f>'Operating Model'!G161</f>
        <v>4044.09924</v>
      </c>
      <c r="G17" s="13">
        <f>'Operating Model'!H161</f>
        <v>12492.516680000001</v>
      </c>
      <c r="H17" s="13">
        <f>'Operating Model'!I161</f>
        <v>19325</v>
      </c>
      <c r="I17" s="13">
        <f>'Operating Model'!J161</f>
        <v>27638.310760100019</v>
      </c>
      <c r="J17" s="13">
        <f>'Operating Model'!K161</f>
        <v>35993.517048000002</v>
      </c>
      <c r="K17" s="13">
        <f>'Operating Model'!L161</f>
        <v>47694.204847299996</v>
      </c>
      <c r="M17" s="73">
        <f t="shared" si="6"/>
        <v>1.6313958617078541E-2</v>
      </c>
      <c r="N17" s="74">
        <f t="shared" si="7"/>
        <v>0.39782858920317593</v>
      </c>
    </row>
    <row r="18" spans="2:14" ht="24" customHeight="1" x14ac:dyDescent="0.35">
      <c r="B18" s="1" t="s">
        <v>75</v>
      </c>
      <c r="C18" s="13">
        <f>'Operating Model'!D162</f>
        <v>0</v>
      </c>
      <c r="D18" s="13">
        <f>'Operating Model'!E162</f>
        <v>0</v>
      </c>
      <c r="E18" s="13">
        <f>'Operating Model'!F162</f>
        <v>0</v>
      </c>
      <c r="F18" s="101">
        <f>'Operating Model'!G162</f>
        <v>0</v>
      </c>
      <c r="G18" s="13">
        <f>'Operating Model'!H162</f>
        <v>0</v>
      </c>
      <c r="H18" s="13">
        <f>'Operating Model'!I162</f>
        <v>0</v>
      </c>
      <c r="I18" s="13">
        <f>'Operating Model'!J162</f>
        <v>0</v>
      </c>
      <c r="J18" s="13">
        <f>'Operating Model'!K162</f>
        <v>0</v>
      </c>
      <c r="K18" s="13">
        <f>'Operating Model'!L162</f>
        <v>0</v>
      </c>
      <c r="M18" s="73" t="str">
        <f t="shared" si="6"/>
        <v>N/A</v>
      </c>
      <c r="N18" s="74" t="str">
        <f t="shared" si="7"/>
        <v>N/A</v>
      </c>
    </row>
    <row r="19" spans="2:14" ht="24" customHeight="1" x14ac:dyDescent="0.35">
      <c r="B19" s="91" t="s">
        <v>3</v>
      </c>
      <c r="C19" s="93">
        <f>SUM(C16:C18)</f>
        <v>10305.407999999999</v>
      </c>
      <c r="D19" s="93">
        <f t="shared" ref="D19:K19" si="8">SUM(D16:D18)</f>
        <v>10491.924000000001</v>
      </c>
      <c r="E19" s="93">
        <f t="shared" si="8"/>
        <v>12927.451999999999</v>
      </c>
      <c r="F19" s="94">
        <f t="shared" si="8"/>
        <v>15981.592859999997</v>
      </c>
      <c r="G19" s="93">
        <f t="shared" si="8"/>
        <v>29407.171983333334</v>
      </c>
      <c r="H19" s="93">
        <f t="shared" si="8"/>
        <v>44058</v>
      </c>
      <c r="I19" s="93">
        <f t="shared" si="8"/>
        <v>76308.498970000015</v>
      </c>
      <c r="J19" s="93">
        <f t="shared" si="8"/>
        <v>108711.6188468</v>
      </c>
      <c r="K19" s="93">
        <f t="shared" si="8"/>
        <v>152659.0494816</v>
      </c>
      <c r="M19" s="75">
        <f t="shared" si="6"/>
        <v>0.15749277984395885</v>
      </c>
      <c r="N19" s="76">
        <f t="shared" si="7"/>
        <v>0.5094451041478093</v>
      </c>
    </row>
    <row r="20" spans="2:14" ht="24" customHeight="1" x14ac:dyDescent="0.35">
      <c r="B20" s="16" t="s">
        <v>11</v>
      </c>
      <c r="C20" s="61"/>
      <c r="D20" s="21">
        <f>D19/C19-1</f>
        <v>1.8098846741439134E-2</v>
      </c>
      <c r="E20" s="21">
        <f t="shared" ref="E20:K20" si="9">E19/D19-1</f>
        <v>0.23213359151286239</v>
      </c>
      <c r="F20" s="50">
        <f t="shared" si="9"/>
        <v>0.23625234578322152</v>
      </c>
      <c r="G20" s="21">
        <f t="shared" si="9"/>
        <v>0.84006514500415941</v>
      </c>
      <c r="H20" s="21">
        <f t="shared" si="9"/>
        <v>0.49820594870428536</v>
      </c>
      <c r="I20" s="21">
        <f t="shared" si="9"/>
        <v>0.73200097530527986</v>
      </c>
      <c r="J20" s="21">
        <f t="shared" si="9"/>
        <v>0.4246331708023634</v>
      </c>
      <c r="K20" s="21">
        <f t="shared" si="9"/>
        <v>0.40425697916183334</v>
      </c>
      <c r="M20" s="77"/>
      <c r="N20" s="78"/>
    </row>
    <row r="21" spans="2:14" ht="24" customHeight="1" x14ac:dyDescent="0.35">
      <c r="B21" s="16" t="s">
        <v>105</v>
      </c>
      <c r="C21" s="36">
        <f>'Operating Model'!D100</f>
        <v>5291.5</v>
      </c>
      <c r="D21" s="36">
        <f>'Operating Model'!E100</f>
        <v>9367</v>
      </c>
      <c r="E21" s="36">
        <f>'Operating Model'!F100</f>
        <v>11661</v>
      </c>
      <c r="F21" s="88">
        <f>'Operating Model'!G100</f>
        <v>14339</v>
      </c>
      <c r="G21" s="36">
        <f>'Operating Model'!H100</f>
        <v>19355</v>
      </c>
      <c r="H21" s="36">
        <f>'Operating Model'!I100</f>
        <v>34271</v>
      </c>
      <c r="I21" s="36">
        <f>'Operating Model'!J100</f>
        <v>55116</v>
      </c>
      <c r="J21" s="36">
        <f>'Operating Model'!K100</f>
        <v>82992</v>
      </c>
      <c r="K21" s="36">
        <f>'Operating Model'!L100</f>
        <v>116931</v>
      </c>
      <c r="M21" s="77"/>
      <c r="N21" s="78"/>
    </row>
    <row r="22" spans="2:14" ht="6" customHeight="1" x14ac:dyDescent="0.35">
      <c r="B22" s="16"/>
      <c r="C22" s="61"/>
      <c r="D22" s="21"/>
      <c r="E22" s="21"/>
      <c r="F22" s="50"/>
      <c r="G22" s="21"/>
      <c r="H22" s="21"/>
      <c r="I22" s="21"/>
      <c r="J22" s="21"/>
      <c r="K22" s="21"/>
      <c r="M22" s="77"/>
      <c r="N22" s="78"/>
    </row>
    <row r="23" spans="2:14" ht="6" customHeight="1" x14ac:dyDescent="0.35">
      <c r="C23" s="61"/>
      <c r="D23" s="61"/>
      <c r="E23" s="61"/>
      <c r="F23" s="68"/>
      <c r="G23" s="61"/>
      <c r="H23" s="61"/>
      <c r="I23" s="61"/>
      <c r="J23" s="61"/>
      <c r="K23" s="61"/>
      <c r="M23" s="77"/>
      <c r="N23" s="78"/>
    </row>
    <row r="24" spans="2:14" ht="24" customHeight="1" x14ac:dyDescent="0.35">
      <c r="B24" s="1" t="s">
        <v>44</v>
      </c>
      <c r="C24" s="13">
        <f>'Operating Model'!D166</f>
        <v>0</v>
      </c>
      <c r="D24" s="13">
        <f>'Operating Model'!E166</f>
        <v>-2926</v>
      </c>
      <c r="E24" s="13">
        <f>'Operating Model'!F166</f>
        <v>-4706.26</v>
      </c>
      <c r="F24" s="69">
        <f>'Operating Model'!G166</f>
        <v>-3838.953649</v>
      </c>
      <c r="G24" s="13">
        <f>'Operating Model'!H166</f>
        <v>-7433.3233549999932</v>
      </c>
      <c r="H24" s="13">
        <f>'Operating Model'!I166</f>
        <v>-11135.95445399999</v>
      </c>
      <c r="I24" s="13">
        <f>'Operating Model'!J166</f>
        <v>-15936.922076000008</v>
      </c>
      <c r="J24" s="13">
        <f>'Operating Model'!K166</f>
        <v>-20501.264362999998</v>
      </c>
      <c r="K24" s="13">
        <f>'Operating Model'!L166</f>
        <v>-26953.975252</v>
      </c>
      <c r="M24" s="77"/>
      <c r="N24" s="78"/>
    </row>
    <row r="25" spans="2:14" ht="24" customHeight="1" x14ac:dyDescent="0.35">
      <c r="B25" s="1" t="s">
        <v>45</v>
      </c>
      <c r="C25" s="13">
        <f>'Operating Model'!D167</f>
        <v>0</v>
      </c>
      <c r="D25" s="13">
        <f>'Operating Model'!E167</f>
        <v>-1323.9</v>
      </c>
      <c r="E25" s="13">
        <f>'Operating Model'!F167</f>
        <v>-1822.74</v>
      </c>
      <c r="F25" s="69">
        <f>'Operating Model'!G167</f>
        <v>-2480.7138699999996</v>
      </c>
      <c r="G25" s="13">
        <f>'Operating Model'!H167</f>
        <v>-3195.3975468832546</v>
      </c>
      <c r="H25" s="13">
        <f>'Operating Model'!I167</f>
        <v>-4144.6384308379129</v>
      </c>
      <c r="I25" s="13">
        <f>'Operating Model'!J167</f>
        <v>-8681.0692429999999</v>
      </c>
      <c r="J25" s="13">
        <f>'Operating Model'!K167</f>
        <v>-12034.097490000013</v>
      </c>
      <c r="K25" s="13">
        <f>'Operating Model'!L167</f>
        <v>-16539.376693000006</v>
      </c>
      <c r="M25" s="77"/>
      <c r="N25" s="78"/>
    </row>
    <row r="26" spans="2:14" ht="24" customHeight="1" x14ac:dyDescent="0.35">
      <c r="B26" s="1" t="s">
        <v>43</v>
      </c>
      <c r="C26" s="13">
        <f>'Operating Model'!D168</f>
        <v>-3710.1655699999992</v>
      </c>
      <c r="D26" s="13">
        <f>'Operating Model'!E168</f>
        <v>303.39600000000087</v>
      </c>
      <c r="E26" s="13">
        <f>'Operating Model'!F168</f>
        <v>348.97800000000097</v>
      </c>
      <c r="F26" s="101">
        <f>'Operating Model'!G168</f>
        <v>1.3859999999624506E-2</v>
      </c>
      <c r="G26" s="13">
        <f>'Operating Model'!H168</f>
        <v>-108</v>
      </c>
      <c r="H26" s="13">
        <f>'Operating Model'!I168</f>
        <v>1.3859999999624506E-2</v>
      </c>
      <c r="I26" s="13">
        <f>'Operating Model'!J168</f>
        <v>1.3859999999624506E-2</v>
      </c>
      <c r="J26" s="13">
        <f>'Operating Model'!K168</f>
        <v>1.3859999999624506E-2</v>
      </c>
      <c r="K26" s="13">
        <f>'Operating Model'!L168</f>
        <v>1.3859999999624506E-2</v>
      </c>
      <c r="M26" s="77"/>
      <c r="N26" s="78"/>
    </row>
    <row r="27" spans="2:14" ht="24" customHeight="1" x14ac:dyDescent="0.35">
      <c r="B27" s="91" t="s">
        <v>48</v>
      </c>
      <c r="C27" s="93">
        <f>SUM(C19,C24:C26)</f>
        <v>6595.2424300000002</v>
      </c>
      <c r="D27" s="93">
        <f t="shared" ref="D27:K27" si="10">SUM(D19,D24:D26)</f>
        <v>6545.4200000000019</v>
      </c>
      <c r="E27" s="93">
        <f t="shared" si="10"/>
        <v>6747.43</v>
      </c>
      <c r="F27" s="94">
        <f t="shared" si="10"/>
        <v>9661.9392009999974</v>
      </c>
      <c r="G27" s="93">
        <f t="shared" si="10"/>
        <v>18670.451081450086</v>
      </c>
      <c r="H27" s="93">
        <f t="shared" si="10"/>
        <v>28777.420975162095</v>
      </c>
      <c r="I27" s="93">
        <f t="shared" si="10"/>
        <v>51690.521511000006</v>
      </c>
      <c r="J27" s="93">
        <f t="shared" si="10"/>
        <v>76176.270853800001</v>
      </c>
      <c r="K27" s="93">
        <f t="shared" si="10"/>
        <v>109165.7113966</v>
      </c>
      <c r="M27" s="75">
        <f t="shared" ref="M27" si="11">IFERROR(RATE($F$8-$C$8,0,-$C27,$F27),"N/A")</f>
        <v>0.13573718555443839</v>
      </c>
      <c r="N27" s="76">
        <f t="shared" ref="N27" si="12">IFERROR(RATE($K$8-$G$8,0,-$G27,$K27),"N/A")</f>
        <v>0.55500883057990469</v>
      </c>
    </row>
    <row r="28" spans="2:14" ht="24" customHeight="1" x14ac:dyDescent="0.35">
      <c r="B28" s="16" t="s">
        <v>42</v>
      </c>
      <c r="C28" s="21">
        <f>C27/C19</f>
        <v>0.63997877910316614</v>
      </c>
      <c r="D28" s="21">
        <f t="shared" ref="D28:K28" si="13">D27/D19</f>
        <v>0.62385316553951409</v>
      </c>
      <c r="E28" s="21">
        <f t="shared" si="13"/>
        <v>0.52194585599699006</v>
      </c>
      <c r="F28" s="50">
        <f t="shared" si="13"/>
        <v>0.60456672158021674</v>
      </c>
      <c r="G28" s="21">
        <f t="shared" si="13"/>
        <v>0.63489447717147574</v>
      </c>
      <c r="H28" s="21">
        <f t="shared" si="13"/>
        <v>0.65317129636302362</v>
      </c>
      <c r="I28" s="21">
        <f t="shared" si="13"/>
        <v>0.67738878642235723</v>
      </c>
      <c r="J28" s="21">
        <f t="shared" si="13"/>
        <v>0.70071876090034235</v>
      </c>
      <c r="K28" s="21">
        <f t="shared" si="13"/>
        <v>0.71509492406316699</v>
      </c>
      <c r="M28" s="77"/>
      <c r="N28" s="78"/>
    </row>
    <row r="29" spans="2:14" ht="6" customHeight="1" x14ac:dyDescent="0.35">
      <c r="F29" s="47"/>
      <c r="M29" s="77"/>
      <c r="N29" s="78"/>
    </row>
    <row r="30" spans="2:14" ht="24" customHeight="1" x14ac:dyDescent="0.35">
      <c r="B30" s="1" t="s">
        <v>61</v>
      </c>
      <c r="C30" s="13">
        <f>'Operating Model'!D172</f>
        <v>-6340.5861500000001</v>
      </c>
      <c r="D30" s="13">
        <f>'Operating Model'!E172</f>
        <v>-11467.27555</v>
      </c>
      <c r="E30" s="13">
        <f>'Operating Model'!F172</f>
        <v>-16185.352129999999</v>
      </c>
      <c r="F30" s="69">
        <f>'Operating Model'!G172</f>
        <v>-25229.878349999999</v>
      </c>
      <c r="G30" s="13">
        <f>'Operating Model'!H172</f>
        <v>-28327.954960000003</v>
      </c>
      <c r="H30" s="13">
        <f>'Operating Model'!I172</f>
        <v>-32011.485901690001</v>
      </c>
      <c r="I30" s="13">
        <f>'Operating Model'!J172</f>
        <v>-40312.830124949993</v>
      </c>
      <c r="J30" s="13">
        <f>'Operating Model'!K172</f>
        <v>-50972.618505630002</v>
      </c>
      <c r="K30" s="13">
        <f>'Operating Model'!L172</f>
        <v>-63256.731515030013</v>
      </c>
      <c r="M30" s="77"/>
      <c r="N30" s="78"/>
    </row>
    <row r="31" spans="2:14" ht="24" customHeight="1" x14ac:dyDescent="0.35">
      <c r="B31" s="1" t="s">
        <v>62</v>
      </c>
      <c r="C31" s="13">
        <f>'Operating Model'!D173</f>
        <v>-10059.775589999999</v>
      </c>
      <c r="D31" s="13">
        <f>'Operating Model'!E173</f>
        <v>-5057.2005099999997</v>
      </c>
      <c r="E31" s="13">
        <f>'Operating Model'!F173</f>
        <v>-7954.0113100000008</v>
      </c>
      <c r="F31" s="101">
        <f>'Operating Model'!G173</f>
        <v>-9387.2908099999986</v>
      </c>
      <c r="G31" s="13">
        <f>'Operating Model'!H173</f>
        <v>-10414.902170000001</v>
      </c>
      <c r="H31" s="13">
        <f>'Operating Model'!I173</f>
        <v>-12670.9728923</v>
      </c>
      <c r="I31" s="13">
        <f>'Operating Model'!J173</f>
        <v>-14650.68140166</v>
      </c>
      <c r="J31" s="13">
        <f>'Operating Model'!K173</f>
        <v>-16892.155355499999</v>
      </c>
      <c r="K31" s="13">
        <f>'Operating Model'!L173</f>
        <v>-19324.916680010003</v>
      </c>
      <c r="M31" s="77"/>
      <c r="N31" s="78"/>
    </row>
    <row r="32" spans="2:14" ht="24" customHeight="1" x14ac:dyDescent="0.35">
      <c r="B32" s="91" t="s">
        <v>65</v>
      </c>
      <c r="C32" s="93">
        <f>SUM(C27,C30:C31)</f>
        <v>-9805.1193099999982</v>
      </c>
      <c r="D32" s="93">
        <f t="shared" ref="D32:K32" si="14">SUM(D27,D30:D31)</f>
        <v>-9979.056059999999</v>
      </c>
      <c r="E32" s="93">
        <f t="shared" si="14"/>
        <v>-17391.933440000001</v>
      </c>
      <c r="F32" s="94">
        <f t="shared" si="14"/>
        <v>-24955.229959</v>
      </c>
      <c r="G32" s="93">
        <f t="shared" si="14"/>
        <v>-20072.406048549918</v>
      </c>
      <c r="H32" s="93">
        <f t="shared" si="14"/>
        <v>-15905.037818827906</v>
      </c>
      <c r="I32" s="93">
        <f t="shared" si="14"/>
        <v>-3272.9900156099866</v>
      </c>
      <c r="J32" s="93">
        <f t="shared" si="14"/>
        <v>8311.4969926699996</v>
      </c>
      <c r="K32" s="93">
        <f t="shared" si="14"/>
        <v>26584.063201559988</v>
      </c>
      <c r="M32" s="75"/>
      <c r="N32" s="76"/>
    </row>
    <row r="33" spans="2:14" ht="24" customHeight="1" thickBot="1" x14ac:dyDescent="0.4">
      <c r="B33" s="16" t="s">
        <v>66</v>
      </c>
      <c r="C33" s="87" t="str">
        <f>'Operating Model'!D175</f>
        <v>NM</v>
      </c>
      <c r="D33" s="87" t="str">
        <f>'Operating Model'!E175</f>
        <v>NM</v>
      </c>
      <c r="E33" s="87" t="str">
        <f>'Operating Model'!F175</f>
        <v>NM</v>
      </c>
      <c r="F33" s="89" t="str">
        <f>'Operating Model'!G175</f>
        <v>NM</v>
      </c>
      <c r="G33" s="87" t="str">
        <f>'Operating Model'!H175</f>
        <v>NM</v>
      </c>
      <c r="H33" s="87" t="str">
        <f>'Operating Model'!I175</f>
        <v>NM</v>
      </c>
      <c r="I33" s="87" t="str">
        <f>'Operating Model'!J175</f>
        <v>NM</v>
      </c>
      <c r="J33" s="87">
        <f>'Operating Model'!K175</f>
        <v>7.6454541665715012E-2</v>
      </c>
      <c r="K33" s="87">
        <f>'Operating Model'!L175</f>
        <v>0.17414010693656368</v>
      </c>
      <c r="M33" s="99"/>
      <c r="N33" s="100"/>
    </row>
    <row r="34" spans="2:14" ht="10" customHeight="1" x14ac:dyDescent="0.35"/>
    <row r="35" spans="2:14" ht="24" customHeight="1" x14ac:dyDescent="0.35">
      <c r="B35" s="1" t="s">
        <v>106</v>
      </c>
    </row>
    <row r="36" spans="2:14" ht="24" customHeight="1" x14ac:dyDescent="0.35">
      <c r="B36" s="15"/>
    </row>
    <row r="37" spans="2:14" ht="24" customHeight="1" x14ac:dyDescent="0.35">
      <c r="B37" s="4" t="s">
        <v>108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2:14" ht="6" customHeight="1" x14ac:dyDescent="0.35">
      <c r="B38" s="15"/>
    </row>
    <row r="39" spans="2:14" ht="24" customHeight="1" x14ac:dyDescent="0.35">
      <c r="C39" s="147" t="s">
        <v>7</v>
      </c>
      <c r="D39" s="147"/>
      <c r="E39" s="147"/>
      <c r="F39" s="148"/>
      <c r="G39" s="147" t="s">
        <v>14</v>
      </c>
      <c r="H39" s="147"/>
      <c r="I39" s="147"/>
      <c r="J39" s="147"/>
      <c r="K39" s="147"/>
      <c r="L39" s="9"/>
      <c r="M39" s="9"/>
      <c r="N39" s="9"/>
    </row>
    <row r="40" spans="2:14" ht="24" customHeight="1" x14ac:dyDescent="0.35">
      <c r="C40" s="10">
        <v>42735</v>
      </c>
      <c r="D40" s="6">
        <f>EOMONTH(C40,12)</f>
        <v>43100</v>
      </c>
      <c r="E40" s="6">
        <f>EOMONTH(D40,12)</f>
        <v>43465</v>
      </c>
      <c r="F40" s="25">
        <f>EOMONTH(E40,12)</f>
        <v>43830</v>
      </c>
      <c r="G40" s="6">
        <f>EOMONTH(F40,12)</f>
        <v>44196</v>
      </c>
      <c r="H40" s="6">
        <f t="shared" ref="H40:K40" si="15">EOMONTH(G40,12)</f>
        <v>44561</v>
      </c>
      <c r="I40" s="6">
        <f t="shared" si="15"/>
        <v>44926</v>
      </c>
      <c r="J40" s="6">
        <f t="shared" si="15"/>
        <v>45291</v>
      </c>
      <c r="K40" s="6">
        <f t="shared" si="15"/>
        <v>45657</v>
      </c>
      <c r="L40" s="10"/>
      <c r="M40" s="38"/>
      <c r="N40" s="38"/>
    </row>
    <row r="41" spans="2:14" ht="24" customHeight="1" thickBot="1" x14ac:dyDescent="0.4">
      <c r="B41" s="7"/>
      <c r="C41" s="7">
        <f>YEAR(C40)</f>
        <v>2016</v>
      </c>
      <c r="D41" s="7">
        <f>YEAR(D40)</f>
        <v>2017</v>
      </c>
      <c r="E41" s="7">
        <f>YEAR(E40)</f>
        <v>2018</v>
      </c>
      <c r="F41" s="8">
        <f>YEAR(F40)</f>
        <v>2019</v>
      </c>
      <c r="G41" s="24">
        <f>YEAR(G40)</f>
        <v>2020</v>
      </c>
      <c r="H41" s="24">
        <f t="shared" ref="H41" si="16">YEAR(H40)</f>
        <v>2021</v>
      </c>
      <c r="I41" s="24">
        <f t="shared" ref="I41" si="17">YEAR(I40)</f>
        <v>2022</v>
      </c>
      <c r="J41" s="24">
        <f t="shared" ref="J41" si="18">YEAR(J40)</f>
        <v>2023</v>
      </c>
      <c r="K41" s="24">
        <f t="shared" ref="K41" si="19">YEAR(K40)</f>
        <v>2024</v>
      </c>
      <c r="L41" s="24"/>
      <c r="M41" s="39"/>
      <c r="N41" s="39"/>
    </row>
    <row r="42" spans="2:14" ht="6" customHeight="1" thickTop="1" x14ac:dyDescent="0.35">
      <c r="B42" s="15"/>
      <c r="F42" s="45"/>
    </row>
    <row r="43" spans="2:14" ht="24" customHeight="1" x14ac:dyDescent="0.35">
      <c r="B43" s="1" t="s">
        <v>65</v>
      </c>
      <c r="C43" s="61">
        <f>'Operating Model'!D183</f>
        <v>-9805.1193099999982</v>
      </c>
      <c r="D43" s="61">
        <f>'Operating Model'!E183</f>
        <v>-9979.056059999999</v>
      </c>
      <c r="E43" s="61">
        <f>'Operating Model'!F183</f>
        <v>-17391.933440000001</v>
      </c>
      <c r="F43" s="68">
        <f>'Operating Model'!G183</f>
        <v>-24955.229959</v>
      </c>
      <c r="G43" s="61">
        <f>'Operating Model'!H183</f>
        <v>-20072.406048549918</v>
      </c>
      <c r="H43" s="61">
        <f>'Operating Model'!I183</f>
        <v>-15905.037818827906</v>
      </c>
      <c r="I43" s="61">
        <f>'Operating Model'!J183</f>
        <v>-3272.9900156099866</v>
      </c>
      <c r="J43" s="61">
        <f>'Operating Model'!K183</f>
        <v>8311.4969926699996</v>
      </c>
      <c r="K43" s="61">
        <f>'Operating Model'!L183</f>
        <v>26584.063201559988</v>
      </c>
      <c r="L43" s="61"/>
    </row>
    <row r="44" spans="2:14" ht="24" customHeight="1" x14ac:dyDescent="0.35">
      <c r="B44" s="1" t="s">
        <v>82</v>
      </c>
      <c r="C44" s="13">
        <f>'Operating Model'!D184</f>
        <v>-22.460999999999999</v>
      </c>
      <c r="D44" s="13">
        <f>'Operating Model'!E184</f>
        <v>-141.62899999999999</v>
      </c>
      <c r="E44" s="13">
        <f>'Operating Model'!F184</f>
        <v>-154.03299999999999</v>
      </c>
      <c r="F44" s="69">
        <f>'Operating Model'!G184</f>
        <v>-217.28181333333325</v>
      </c>
      <c r="G44" s="13">
        <f>'Operating Model'!H184</f>
        <v>-279.55731870641</v>
      </c>
      <c r="H44" s="13">
        <f>'Operating Model'!I184</f>
        <v>-279.54990902473719</v>
      </c>
      <c r="I44" s="13">
        <f>'Operating Model'!J184</f>
        <v>-279.54959999999994</v>
      </c>
      <c r="J44" s="13">
        <f>'Operating Model'!K184</f>
        <v>-279.54959999999994</v>
      </c>
      <c r="K44" s="13">
        <f>'Operating Model'!L184</f>
        <v>-279.54959999999994</v>
      </c>
      <c r="L44" s="32"/>
    </row>
    <row r="45" spans="2:14" ht="24" customHeight="1" x14ac:dyDescent="0.35">
      <c r="B45" s="1" t="s">
        <v>85</v>
      </c>
      <c r="C45" s="13">
        <f>'Operating Model'!D185</f>
        <v>-154.63</v>
      </c>
      <c r="D45" s="13">
        <f>'Operating Model'!E185</f>
        <v>-251.85499999999999</v>
      </c>
      <c r="E45" s="13">
        <f>'Operating Model'!F185</f>
        <v>-699.85799999999995</v>
      </c>
      <c r="F45" s="69">
        <f>'Operating Model'!G185</f>
        <v>-1145</v>
      </c>
      <c r="G45" s="13">
        <f>'Operating Model'!H185</f>
        <v>-3000</v>
      </c>
      <c r="H45" s="13">
        <f>'Operating Model'!I185</f>
        <v>-3000</v>
      </c>
      <c r="I45" s="13">
        <f>'Operating Model'!J185</f>
        <v>-6000</v>
      </c>
      <c r="J45" s="13">
        <f>'Operating Model'!K185</f>
        <v>-6000</v>
      </c>
      <c r="K45" s="13">
        <f>'Operating Model'!L185</f>
        <v>-9000</v>
      </c>
      <c r="L45" s="14"/>
    </row>
    <row r="46" spans="2:14" ht="24" customHeight="1" x14ac:dyDescent="0.35">
      <c r="B46" s="1" t="s">
        <v>86</v>
      </c>
      <c r="C46" s="13">
        <f>'Operating Model'!D186</f>
        <v>6340.5853100000004</v>
      </c>
      <c r="D46" s="13">
        <f>'Operating Model'!E186</f>
        <v>59.218059999996512</v>
      </c>
      <c r="E46" s="13">
        <f>'Operating Model'!F186</f>
        <v>-2.5599999996757106E-3</v>
      </c>
      <c r="F46" s="69">
        <f>'Operating Model'!G186</f>
        <v>-375.54141447482016</v>
      </c>
      <c r="G46" s="13">
        <f>'Operating Model'!H186</f>
        <v>-3.2634867717433735E-3</v>
      </c>
      <c r="H46" s="13">
        <f>'Operating Model'!I186</f>
        <v>0</v>
      </c>
      <c r="I46" s="13">
        <f>'Operating Model'!J186</f>
        <v>0</v>
      </c>
      <c r="J46" s="13">
        <f>'Operating Model'!K186</f>
        <v>0</v>
      </c>
      <c r="K46" s="13">
        <f>'Operating Model'!L186</f>
        <v>0</v>
      </c>
    </row>
    <row r="47" spans="2:14" ht="24" customHeight="1" x14ac:dyDescent="0.35">
      <c r="B47" s="17" t="s">
        <v>87</v>
      </c>
      <c r="C47" s="57">
        <f>SUM(C43:C46)</f>
        <v>-3641.6249999999964</v>
      </c>
      <c r="D47" s="57">
        <f t="shared" ref="D47:K47" si="20">SUM(D43:D46)</f>
        <v>-10313.322000000004</v>
      </c>
      <c r="E47" s="57">
        <f t="shared" si="20"/>
        <v>-18245.827000000001</v>
      </c>
      <c r="F47" s="58">
        <f t="shared" si="20"/>
        <v>-26693.053186808156</v>
      </c>
      <c r="G47" s="57">
        <f t="shared" si="20"/>
        <v>-23351.9666307431</v>
      </c>
      <c r="H47" s="57">
        <f t="shared" si="20"/>
        <v>-19184.587727852646</v>
      </c>
      <c r="I47" s="57">
        <f t="shared" si="20"/>
        <v>-9552.5396156099869</v>
      </c>
      <c r="J47" s="57">
        <f t="shared" si="20"/>
        <v>2031.9473926699993</v>
      </c>
      <c r="K47" s="57">
        <f t="shared" si="20"/>
        <v>17304.513601559989</v>
      </c>
    </row>
    <row r="48" spans="2:14" ht="24" customHeight="1" x14ac:dyDescent="0.35">
      <c r="B48" s="1" t="s">
        <v>88</v>
      </c>
      <c r="C48" s="13">
        <f>'Operating Model'!D188</f>
        <v>-511.93299999999999</v>
      </c>
      <c r="D48" s="13">
        <f>'Operating Model'!E188</f>
        <v>-651.48598000000004</v>
      </c>
      <c r="E48" s="13">
        <f>'Operating Model'!F188</f>
        <v>-61.853210000000004</v>
      </c>
      <c r="F48" s="69">
        <f>'Operating Model'!G188</f>
        <v>-183.67752999999999</v>
      </c>
      <c r="G48" s="13">
        <f>'Operating Model'!H188</f>
        <v>-589</v>
      </c>
      <c r="H48" s="13">
        <f>'Operating Model'!I188</f>
        <v>0</v>
      </c>
      <c r="I48" s="13">
        <f>'Operating Model'!J188</f>
        <v>0</v>
      </c>
      <c r="J48" s="13">
        <f>'Operating Model'!K188</f>
        <v>0</v>
      </c>
      <c r="K48" s="13">
        <f>'Operating Model'!L188</f>
        <v>0</v>
      </c>
    </row>
    <row r="49" spans="2:14" ht="24" customHeight="1" x14ac:dyDescent="0.35">
      <c r="B49" s="1" t="s">
        <v>90</v>
      </c>
      <c r="C49" s="13">
        <f>'Operating Model'!D189</f>
        <v>0</v>
      </c>
      <c r="D49" s="13">
        <f>'Operating Model'!E189</f>
        <v>305.48198000000002</v>
      </c>
      <c r="E49" s="13">
        <f>'Operating Model'!F189</f>
        <v>51.990220000000001</v>
      </c>
      <c r="F49" s="69">
        <f>'Operating Model'!G189</f>
        <v>705.26704000000007</v>
      </c>
      <c r="G49" s="13">
        <f>'Operating Model'!H189</f>
        <v>64.720266412000015</v>
      </c>
      <c r="H49" s="13">
        <f>'Operating Model'!I189</f>
        <v>745.92894000000001</v>
      </c>
      <c r="I49" s="13">
        <f>'Operating Model'!J189</f>
        <v>729.13576</v>
      </c>
      <c r="J49" s="13">
        <f>'Operating Model'!K189</f>
        <v>731.28733</v>
      </c>
      <c r="K49" s="13">
        <f>'Operating Model'!L189</f>
        <v>1006.08566</v>
      </c>
    </row>
    <row r="50" spans="2:14" ht="24" customHeight="1" x14ac:dyDescent="0.35">
      <c r="B50" s="1" t="s">
        <v>91</v>
      </c>
      <c r="C50" s="13">
        <f>'Operating Model'!D190</f>
        <v>0</v>
      </c>
      <c r="D50" s="13">
        <f>'Operating Model'!E190</f>
        <v>0</v>
      </c>
      <c r="E50" s="13">
        <f>'Operating Model'!F190</f>
        <v>-19.8</v>
      </c>
      <c r="F50" s="69">
        <f>'Operating Model'!G190</f>
        <v>0.51824000000000003</v>
      </c>
      <c r="G50" s="13">
        <f>'Operating Model'!H190</f>
        <v>0</v>
      </c>
      <c r="H50" s="13">
        <f>'Operating Model'!I190</f>
        <v>0</v>
      </c>
      <c r="I50" s="13">
        <f>'Operating Model'!J190</f>
        <v>0</v>
      </c>
      <c r="J50" s="13">
        <f>'Operating Model'!K190</f>
        <v>0</v>
      </c>
      <c r="K50" s="13">
        <f>'Operating Model'!L190</f>
        <v>0</v>
      </c>
    </row>
    <row r="51" spans="2:14" ht="24" customHeight="1" x14ac:dyDescent="0.35">
      <c r="B51" s="17" t="s">
        <v>89</v>
      </c>
      <c r="C51" s="57">
        <f>SUM(C47:C50)</f>
        <v>-4153.5579999999964</v>
      </c>
      <c r="D51" s="57">
        <f t="shared" ref="D51:K51" si="21">SUM(D47:D50)</f>
        <v>-10659.326000000003</v>
      </c>
      <c r="E51" s="57">
        <f t="shared" si="21"/>
        <v>-18275.489990000002</v>
      </c>
      <c r="F51" s="58">
        <f t="shared" si="21"/>
        <v>-26170.945436808157</v>
      </c>
      <c r="G51" s="57">
        <f t="shared" si="21"/>
        <v>-23876.246364331098</v>
      </c>
      <c r="H51" s="57">
        <f t="shared" si="21"/>
        <v>-18438.658787852644</v>
      </c>
      <c r="I51" s="57">
        <f t="shared" si="21"/>
        <v>-8823.4038556099877</v>
      </c>
      <c r="J51" s="57">
        <f t="shared" si="21"/>
        <v>2763.2347226699994</v>
      </c>
      <c r="K51" s="57">
        <f t="shared" si="21"/>
        <v>18310.59926155999</v>
      </c>
    </row>
    <row r="52" spans="2:14" ht="24" customHeight="1" x14ac:dyDescent="0.35">
      <c r="B52" s="1" t="s">
        <v>92</v>
      </c>
      <c r="C52" s="13">
        <f>'Operating Model'!D192</f>
        <v>22.460999999999999</v>
      </c>
      <c r="D52" s="13">
        <f>'Operating Model'!E192</f>
        <v>141.62899999999999</v>
      </c>
      <c r="E52" s="13">
        <f>'Operating Model'!F192</f>
        <v>154.03299999999999</v>
      </c>
      <c r="F52" s="69">
        <f>'Operating Model'!G192</f>
        <v>217.28181333333325</v>
      </c>
      <c r="G52" s="13">
        <f>'Operating Model'!H192</f>
        <v>279.55731870641</v>
      </c>
      <c r="H52" s="13">
        <f>'Operating Model'!I192</f>
        <v>279.54990902473719</v>
      </c>
      <c r="I52" s="13">
        <f>'Operating Model'!J192</f>
        <v>279.54959999999994</v>
      </c>
      <c r="J52" s="13">
        <f>'Operating Model'!K192</f>
        <v>279.54959999999994</v>
      </c>
      <c r="K52" s="13">
        <f>'Operating Model'!L192</f>
        <v>279.54959999999994</v>
      </c>
    </row>
    <row r="53" spans="2:14" ht="24" customHeight="1" x14ac:dyDescent="0.35">
      <c r="B53" s="1" t="s">
        <v>93</v>
      </c>
      <c r="C53" s="13">
        <f>'Operating Model'!D193</f>
        <v>1111.9100000000003</v>
      </c>
      <c r="D53" s="13">
        <f>'Operating Model'!E193</f>
        <v>-396.79179999999928</v>
      </c>
      <c r="E53" s="13">
        <f>'Operating Model'!F193</f>
        <v>1930.0770725000034</v>
      </c>
      <c r="F53" s="69">
        <f>'Operating Model'!G193</f>
        <v>3826.4537466666634</v>
      </c>
      <c r="G53" s="13">
        <f>'Operating Model'!H193</f>
        <v>-697.8810413274532</v>
      </c>
      <c r="H53" s="13">
        <f>'Operating Model'!I193</f>
        <v>7545.166592992332</v>
      </c>
      <c r="I53" s="13">
        <f>'Operating Model'!J193</f>
        <v>7311.5008700000408</v>
      </c>
      <c r="J53" s="13">
        <f>'Operating Model'!K193</f>
        <v>6230.7729780130012</v>
      </c>
      <c r="K53" s="13">
        <f>'Operating Model'!L193</f>
        <v>9344.2352333340059</v>
      </c>
    </row>
    <row r="54" spans="2:14" ht="24" customHeight="1" x14ac:dyDescent="0.35">
      <c r="B54" s="17" t="s">
        <v>94</v>
      </c>
      <c r="C54" s="57">
        <f>SUM(C51:C53)</f>
        <v>-3019.1869999999958</v>
      </c>
      <c r="D54" s="57">
        <f t="shared" ref="D54:K54" si="22">SUM(D51:D53)</f>
        <v>-10914.488800000001</v>
      </c>
      <c r="E54" s="57">
        <f t="shared" si="22"/>
        <v>-16191.379917499999</v>
      </c>
      <c r="F54" s="58">
        <f t="shared" si="22"/>
        <v>-22127.20987680816</v>
      </c>
      <c r="G54" s="57">
        <f t="shared" si="22"/>
        <v>-24294.570086952139</v>
      </c>
      <c r="H54" s="57">
        <f t="shared" si="22"/>
        <v>-10613.942285835576</v>
      </c>
      <c r="I54" s="57">
        <f t="shared" si="22"/>
        <v>-1232.3533856099466</v>
      </c>
      <c r="J54" s="57">
        <f t="shared" si="22"/>
        <v>9273.557300683</v>
      </c>
      <c r="K54" s="57">
        <f t="shared" si="22"/>
        <v>27934.384094893994</v>
      </c>
    </row>
    <row r="55" spans="2:14" ht="24" customHeight="1" x14ac:dyDescent="0.35">
      <c r="B55" s="1" t="s">
        <v>95</v>
      </c>
      <c r="C55" s="13">
        <f>'Operating Model'!D195</f>
        <v>-94.977000000000004</v>
      </c>
      <c r="D55" s="13">
        <f>'Operating Model'!E195</f>
        <v>-156.6293</v>
      </c>
      <c r="E55" s="13">
        <f>'Operating Model'!F195</f>
        <v>-208.536</v>
      </c>
      <c r="F55" s="69">
        <f>'Operating Model'!G195</f>
        <v>-604.0656899999999</v>
      </c>
      <c r="G55" s="13">
        <f>'Operating Model'!H195</f>
        <v>-1637.2442399999993</v>
      </c>
      <c r="H55" s="13">
        <f>'Operating Model'!I195</f>
        <v>-595.20000000000016</v>
      </c>
      <c r="I55" s="13">
        <f>'Operating Model'!J195</f>
        <v>-2000.0000400000006</v>
      </c>
      <c r="J55" s="13">
        <f>'Operating Model'!K195</f>
        <v>-3000</v>
      </c>
      <c r="K55" s="13">
        <f>'Operating Model'!L195</f>
        <v>-3000</v>
      </c>
    </row>
    <row r="56" spans="2:14" ht="24" customHeight="1" x14ac:dyDescent="0.35">
      <c r="B56" s="1" t="s">
        <v>96</v>
      </c>
      <c r="C56" s="13">
        <f>'Operating Model'!D196</f>
        <v>0</v>
      </c>
      <c r="D56" s="13">
        <f>'Operating Model'!E196</f>
        <v>-307.42595999999912</v>
      </c>
      <c r="E56" s="13">
        <f>'Operating Model'!F196</f>
        <v>-40.771940000000939</v>
      </c>
      <c r="F56" s="69">
        <f>'Operating Model'!G196</f>
        <v>-168.5619500000023</v>
      </c>
      <c r="G56" s="13">
        <f>'Operating Model'!H196</f>
        <v>0</v>
      </c>
      <c r="H56" s="13">
        <f>'Operating Model'!I196</f>
        <v>0</v>
      </c>
      <c r="I56" s="13">
        <f>'Operating Model'!J196</f>
        <v>0</v>
      </c>
      <c r="J56" s="13">
        <f>'Operating Model'!K196</f>
        <v>0</v>
      </c>
      <c r="K56" s="13">
        <f>'Operating Model'!L196</f>
        <v>0</v>
      </c>
    </row>
    <row r="57" spans="2:14" ht="24" customHeight="1" x14ac:dyDescent="0.35">
      <c r="B57" s="91" t="s">
        <v>4</v>
      </c>
      <c r="C57" s="93">
        <f>SUM(C54:C56)</f>
        <v>-3114.1639999999957</v>
      </c>
      <c r="D57" s="93">
        <f t="shared" ref="D57:K57" si="23">SUM(D54:D56)</f>
        <v>-11378.54406</v>
      </c>
      <c r="E57" s="93">
        <f t="shared" si="23"/>
        <v>-16440.687857500001</v>
      </c>
      <c r="F57" s="94">
        <f t="shared" si="23"/>
        <v>-22899.837516808162</v>
      </c>
      <c r="G57" s="93">
        <f t="shared" si="23"/>
        <v>-25931.814326952139</v>
      </c>
      <c r="H57" s="93">
        <f t="shared" si="23"/>
        <v>-11209.142285835576</v>
      </c>
      <c r="I57" s="93">
        <f t="shared" si="23"/>
        <v>-3232.3534256099474</v>
      </c>
      <c r="J57" s="93">
        <f t="shared" si="23"/>
        <v>6273.557300683</v>
      </c>
      <c r="K57" s="93">
        <f t="shared" si="23"/>
        <v>24934.384094893994</v>
      </c>
    </row>
    <row r="58" spans="2:14" ht="24" customHeight="1" x14ac:dyDescent="0.35">
      <c r="F58" s="47"/>
    </row>
    <row r="59" spans="2:14" ht="24" customHeight="1" x14ac:dyDescent="0.35">
      <c r="B59" s="1" t="s">
        <v>99</v>
      </c>
      <c r="E59" s="61">
        <f>'Operating Model'!F199</f>
        <v>4788.69794</v>
      </c>
      <c r="F59" s="68">
        <f>E62</f>
        <v>41131.6470825</v>
      </c>
      <c r="G59" s="61">
        <f t="shared" ref="G59:K59" si="24">F62</f>
        <v>24379.336225691837</v>
      </c>
      <c r="H59" s="61">
        <f t="shared" si="24"/>
        <v>8947.5218987396984</v>
      </c>
      <c r="I59" s="61">
        <f t="shared" si="24"/>
        <v>40238.379612904122</v>
      </c>
      <c r="J59" s="61">
        <f t="shared" si="24"/>
        <v>37006.026187294177</v>
      </c>
      <c r="K59" s="61">
        <f t="shared" si="24"/>
        <v>43279.583487977179</v>
      </c>
    </row>
    <row r="60" spans="2:14" ht="24" customHeight="1" x14ac:dyDescent="0.35">
      <c r="B60" s="1" t="s">
        <v>100</v>
      </c>
      <c r="E60" s="13">
        <f>'Operating Model'!F200</f>
        <v>-16440.687857500001</v>
      </c>
      <c r="F60" s="69">
        <f>'Operating Model'!G200</f>
        <v>-22899.837516808162</v>
      </c>
      <c r="G60" s="13">
        <f>'Operating Model'!H200</f>
        <v>-25931.814326952139</v>
      </c>
      <c r="H60" s="13">
        <f>'Operating Model'!I200</f>
        <v>-11209.142285835576</v>
      </c>
      <c r="I60" s="13">
        <f>'Operating Model'!J200</f>
        <v>-3232.3534256099474</v>
      </c>
      <c r="J60" s="13">
        <f>'Operating Model'!K200</f>
        <v>6273.557300683</v>
      </c>
      <c r="K60" s="13">
        <f>'Operating Model'!L200</f>
        <v>24934.384094893994</v>
      </c>
    </row>
    <row r="61" spans="2:14" ht="24" customHeight="1" x14ac:dyDescent="0.35">
      <c r="B61" s="1" t="s">
        <v>101</v>
      </c>
      <c r="E61" s="13">
        <f>'Operating Model'!F201</f>
        <v>52783.637000000002</v>
      </c>
      <c r="F61" s="69">
        <f>'Operating Model'!G201</f>
        <v>6147.5266599999995</v>
      </c>
      <c r="G61" s="13">
        <f>'Operating Model'!H201</f>
        <v>10500</v>
      </c>
      <c r="H61" s="13">
        <f>'Operating Model'!I201</f>
        <v>42500</v>
      </c>
      <c r="I61" s="13">
        <f>'Operating Model'!J201</f>
        <v>0</v>
      </c>
      <c r="J61" s="13">
        <f>'Operating Model'!K201</f>
        <v>0</v>
      </c>
      <c r="K61" s="13">
        <f>'Operating Model'!L201</f>
        <v>0</v>
      </c>
    </row>
    <row r="62" spans="2:14" ht="24" customHeight="1" x14ac:dyDescent="0.35">
      <c r="B62" s="91" t="s">
        <v>102</v>
      </c>
      <c r="C62" s="92"/>
      <c r="D62" s="92"/>
      <c r="E62" s="93">
        <f>SUM(E59:E61)</f>
        <v>41131.6470825</v>
      </c>
      <c r="F62" s="94">
        <f t="shared" ref="F62:K62" si="25">SUM(F59:F61)</f>
        <v>24379.336225691837</v>
      </c>
      <c r="G62" s="93">
        <f t="shared" si="25"/>
        <v>8947.5218987396984</v>
      </c>
      <c r="H62" s="93">
        <f t="shared" si="25"/>
        <v>40238.379612904122</v>
      </c>
      <c r="I62" s="93">
        <f t="shared" si="25"/>
        <v>37006.026187294177</v>
      </c>
      <c r="J62" s="93">
        <f t="shared" si="25"/>
        <v>43279.583487977179</v>
      </c>
      <c r="K62" s="93">
        <f t="shared" si="25"/>
        <v>68213.967582871177</v>
      </c>
    </row>
    <row r="63" spans="2:14" ht="24" customHeight="1" x14ac:dyDescent="0.35">
      <c r="B63" s="15"/>
    </row>
    <row r="64" spans="2:14" ht="24" customHeight="1" x14ac:dyDescent="0.35">
      <c r="B64" s="4" t="s">
        <v>104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2:14" ht="6" customHeight="1" x14ac:dyDescent="0.35"/>
    <row r="66" spans="2:14" ht="24" customHeight="1" x14ac:dyDescent="0.35">
      <c r="C66" s="147" t="s">
        <v>7</v>
      </c>
      <c r="D66" s="147"/>
      <c r="E66" s="147"/>
      <c r="F66" s="148"/>
      <c r="G66" s="147" t="s">
        <v>14</v>
      </c>
      <c r="H66" s="147"/>
      <c r="I66" s="147"/>
      <c r="J66" s="147"/>
      <c r="K66" s="147"/>
      <c r="L66" s="9"/>
      <c r="M66" s="9"/>
      <c r="N66" s="9"/>
    </row>
    <row r="67" spans="2:14" ht="24" customHeight="1" x14ac:dyDescent="0.35">
      <c r="C67" s="10">
        <v>42735</v>
      </c>
      <c r="D67" s="6">
        <f>EOMONTH(C67,12)</f>
        <v>43100</v>
      </c>
      <c r="E67" s="6">
        <f>EOMONTH(D67,12)</f>
        <v>43465</v>
      </c>
      <c r="F67" s="25">
        <f>EOMONTH(E67,12)</f>
        <v>43830</v>
      </c>
      <c r="G67" s="6">
        <f>EOMONTH(F67,12)</f>
        <v>44196</v>
      </c>
      <c r="H67" s="6">
        <f t="shared" ref="H67:K67" si="26">EOMONTH(G67,12)</f>
        <v>44561</v>
      </c>
      <c r="I67" s="6">
        <f t="shared" si="26"/>
        <v>44926</v>
      </c>
      <c r="J67" s="6">
        <f t="shared" si="26"/>
        <v>45291</v>
      </c>
      <c r="K67" s="6">
        <f t="shared" si="26"/>
        <v>45657</v>
      </c>
      <c r="L67" s="10"/>
      <c r="M67" s="38" t="str">
        <f>"'16A - '19A"</f>
        <v>'16A - '19A</v>
      </c>
      <c r="N67" s="38" t="str">
        <f>"'20E - '24E"</f>
        <v>'20E - '24E</v>
      </c>
    </row>
    <row r="68" spans="2:14" ht="24" customHeight="1" thickBot="1" x14ac:dyDescent="0.4">
      <c r="B68" s="7"/>
      <c r="C68" s="7">
        <f>YEAR(C67)</f>
        <v>2016</v>
      </c>
      <c r="D68" s="7">
        <f>YEAR(D67)</f>
        <v>2017</v>
      </c>
      <c r="E68" s="7">
        <f>YEAR(E67)</f>
        <v>2018</v>
      </c>
      <c r="F68" s="8">
        <f>YEAR(F67)</f>
        <v>2019</v>
      </c>
      <c r="G68" s="24">
        <f>YEAR(G67)</f>
        <v>2020</v>
      </c>
      <c r="H68" s="24">
        <f t="shared" ref="H68" si="27">YEAR(H67)</f>
        <v>2021</v>
      </c>
      <c r="I68" s="24">
        <f t="shared" ref="I68" si="28">YEAR(I67)</f>
        <v>2022</v>
      </c>
      <c r="J68" s="24">
        <f t="shared" ref="J68" si="29">YEAR(J67)</f>
        <v>2023</v>
      </c>
      <c r="K68" s="24">
        <f t="shared" ref="K68" si="30">YEAR(K67)</f>
        <v>2024</v>
      </c>
      <c r="L68" s="24"/>
      <c r="M68" s="39" t="s">
        <v>25</v>
      </c>
      <c r="N68" s="39" t="s">
        <v>25</v>
      </c>
    </row>
    <row r="69" spans="2:14" ht="6" customHeight="1" thickTop="1" thickBot="1" x14ac:dyDescent="0.4">
      <c r="F69" s="45"/>
    </row>
    <row r="70" spans="2:14" ht="24" customHeight="1" x14ac:dyDescent="0.35">
      <c r="B70" s="102" t="s">
        <v>23</v>
      </c>
      <c r="C70" s="103">
        <f>'Operating Model'!D68</f>
        <v>6</v>
      </c>
      <c r="D70" s="103">
        <f>'Operating Model'!E68</f>
        <v>8</v>
      </c>
      <c r="E70" s="103">
        <f>'Operating Model'!F68</f>
        <v>8</v>
      </c>
      <c r="F70" s="104">
        <f>'Operating Model'!G68</f>
        <v>13</v>
      </c>
      <c r="G70" s="103">
        <f>'Operating Model'!H68</f>
        <v>26</v>
      </c>
      <c r="H70" s="103">
        <f>'Operating Model'!I68</f>
        <v>49</v>
      </c>
      <c r="I70" s="103">
        <f>'Operating Model'!J68</f>
        <v>73</v>
      </c>
      <c r="J70" s="103">
        <f>'Operating Model'!K68</f>
        <v>96</v>
      </c>
      <c r="K70" s="105">
        <f>'Operating Model'!L68</f>
        <v>111</v>
      </c>
      <c r="M70" s="71">
        <f>IFERROR(RATE($F$68-$C$68,0,-$C70,$F70),"N/A")</f>
        <v>0.29398934610938432</v>
      </c>
      <c r="N70" s="72">
        <f>IFERROR(RATE($K$68-$G$68,0,-$G70,$K70),"N/A")</f>
        <v>0.43743232715986458</v>
      </c>
    </row>
    <row r="71" spans="2:14" ht="24" customHeight="1" x14ac:dyDescent="0.35">
      <c r="B71" s="106" t="s">
        <v>109</v>
      </c>
      <c r="C71" s="107">
        <f>'Operating Model'!D70</f>
        <v>4</v>
      </c>
      <c r="D71" s="107">
        <f>'Operating Model'!E70</f>
        <v>6</v>
      </c>
      <c r="E71" s="107">
        <f>'Operating Model'!F70</f>
        <v>7</v>
      </c>
      <c r="F71" s="108">
        <f>'Operating Model'!G70</f>
        <v>11</v>
      </c>
      <c r="G71" s="107">
        <f>'Operating Model'!H70</f>
        <v>21</v>
      </c>
      <c r="H71" s="107">
        <f>'Operating Model'!I70</f>
        <v>40</v>
      </c>
      <c r="I71" s="107">
        <f>'Operating Model'!J70</f>
        <v>59</v>
      </c>
      <c r="J71" s="107">
        <f>'Operating Model'!K70</f>
        <v>77</v>
      </c>
      <c r="K71" s="109">
        <f>'Operating Model'!L70</f>
        <v>89</v>
      </c>
      <c r="M71" s="73">
        <f>IFERROR(RATE($F$68-$C$68,0,-$C71,$F71),"N/A")</f>
        <v>0.40101966532740135</v>
      </c>
      <c r="N71" s="74">
        <f>IFERROR(RATE($K$68-$G$68,0,-$G71,$K71),"N/A")</f>
        <v>0.43480432783151818</v>
      </c>
    </row>
    <row r="72" spans="2:14" ht="24" customHeight="1" x14ac:dyDescent="0.35">
      <c r="B72" s="110" t="s">
        <v>81</v>
      </c>
      <c r="C72" s="111">
        <f>C71/C70</f>
        <v>0.66666666666666663</v>
      </c>
      <c r="D72" s="111">
        <f t="shared" ref="D72:K72" si="31">D71/D70</f>
        <v>0.75</v>
      </c>
      <c r="E72" s="111">
        <f t="shared" si="31"/>
        <v>0.875</v>
      </c>
      <c r="F72" s="112">
        <f t="shared" si="31"/>
        <v>0.84615384615384615</v>
      </c>
      <c r="G72" s="111">
        <f t="shared" si="31"/>
        <v>0.80769230769230771</v>
      </c>
      <c r="H72" s="111">
        <f t="shared" si="31"/>
        <v>0.81632653061224492</v>
      </c>
      <c r="I72" s="111">
        <f t="shared" si="31"/>
        <v>0.80821917808219179</v>
      </c>
      <c r="J72" s="111">
        <f t="shared" si="31"/>
        <v>0.80208333333333337</v>
      </c>
      <c r="K72" s="113">
        <f t="shared" si="31"/>
        <v>0.80180180180180183</v>
      </c>
      <c r="M72" s="77"/>
      <c r="N72" s="78"/>
    </row>
    <row r="73" spans="2:14" ht="6" customHeight="1" x14ac:dyDescent="0.35">
      <c r="B73" s="110"/>
      <c r="C73" s="111"/>
      <c r="D73" s="111"/>
      <c r="E73" s="111"/>
      <c r="F73" s="112"/>
      <c r="G73" s="111"/>
      <c r="H73" s="111"/>
      <c r="I73" s="111"/>
      <c r="J73" s="111"/>
      <c r="K73" s="113"/>
      <c r="M73" s="77"/>
      <c r="N73" s="78"/>
    </row>
    <row r="74" spans="2:14" ht="24" customHeight="1" x14ac:dyDescent="0.35">
      <c r="B74" s="114" t="s">
        <v>55</v>
      </c>
      <c r="C74" s="115">
        <f>'Operating Model'!D136</f>
        <v>52</v>
      </c>
      <c r="D74" s="115">
        <f>'Operating Model'!E136</f>
        <v>78</v>
      </c>
      <c r="E74" s="115">
        <f>'Operating Model'!F136</f>
        <v>124</v>
      </c>
      <c r="F74" s="116">
        <f>'Operating Model'!G136</f>
        <v>146</v>
      </c>
      <c r="G74" s="115">
        <f>'Operating Model'!H136</f>
        <v>163</v>
      </c>
      <c r="H74" s="115">
        <f>'Operating Model'!I136</f>
        <v>207</v>
      </c>
      <c r="I74" s="115">
        <f>'Operating Model'!J136</f>
        <v>264</v>
      </c>
      <c r="J74" s="115">
        <f>'Operating Model'!K136</f>
        <v>328</v>
      </c>
      <c r="K74" s="117">
        <f>'Operating Model'!L136</f>
        <v>398</v>
      </c>
      <c r="M74" s="73">
        <f>IFERROR(RATE($F$68-$C$68,0,-$C74,$F74),"N/A")</f>
        <v>0.41074928029404867</v>
      </c>
      <c r="N74" s="74">
        <f>IFERROR(RATE($K$68-$G$68,0,-$G74,$K74),"N/A")</f>
        <v>0.25003987539251499</v>
      </c>
    </row>
    <row r="75" spans="2:14" ht="24" customHeight="1" x14ac:dyDescent="0.35">
      <c r="F75" s="47"/>
      <c r="M75" s="77"/>
      <c r="N75" s="78"/>
    </row>
    <row r="76" spans="2:14" ht="24" customHeight="1" x14ac:dyDescent="0.35">
      <c r="B76" s="102" t="s">
        <v>24</v>
      </c>
      <c r="C76" s="118">
        <f>C13/C70</f>
        <v>1814.5</v>
      </c>
      <c r="D76" s="118">
        <f t="shared" ref="D76:K76" si="32">D13/D70</f>
        <v>1850.858125</v>
      </c>
      <c r="E76" s="118">
        <f t="shared" si="32"/>
        <v>2064.5875000000001</v>
      </c>
      <c r="F76" s="119">
        <f t="shared" si="32"/>
        <v>1919.3132692307695</v>
      </c>
      <c r="G76" s="118">
        <f t="shared" si="32"/>
        <v>1616.0538461538465</v>
      </c>
      <c r="H76" s="118">
        <f t="shared" si="32"/>
        <v>1459.3047959183673</v>
      </c>
      <c r="I76" s="118">
        <f t="shared" si="32"/>
        <v>1396.7055924657534</v>
      </c>
      <c r="J76" s="118">
        <f t="shared" si="32"/>
        <v>1513.4614505833333</v>
      </c>
      <c r="K76" s="120">
        <f t="shared" si="32"/>
        <v>1767.0685044684683</v>
      </c>
      <c r="M76" s="73">
        <f>IFERROR(RATE($F$68-$C$68,0,-$C76,$F76),"N/A")</f>
        <v>1.8895469341747184E-2</v>
      </c>
      <c r="N76" s="74">
        <f>IFERROR(RATE($K$68-$G$68,0,-$G76,$K76),"N/A")</f>
        <v>2.2584933773860807E-2</v>
      </c>
    </row>
    <row r="77" spans="2:14" ht="24" customHeight="1" x14ac:dyDescent="0.35">
      <c r="B77" s="106" t="s">
        <v>12</v>
      </c>
      <c r="C77" s="37"/>
      <c r="D77" s="37"/>
      <c r="E77" s="37"/>
      <c r="F77" s="121"/>
      <c r="G77" s="37"/>
      <c r="H77" s="37"/>
      <c r="I77" s="37"/>
      <c r="J77" s="37"/>
      <c r="K77" s="122"/>
      <c r="M77" s="77"/>
      <c r="N77" s="78"/>
    </row>
    <row r="78" spans="2:14" ht="24" customHeight="1" x14ac:dyDescent="0.35">
      <c r="B78" s="123" t="s">
        <v>0</v>
      </c>
      <c r="C78" s="124">
        <f>C10/C$13</f>
        <v>0.97207678883071558</v>
      </c>
      <c r="D78" s="124">
        <f t="shared" ref="D78:K78" si="33">D10/D$13</f>
        <v>0.90917287352859633</v>
      </c>
      <c r="E78" s="124">
        <f t="shared" si="33"/>
        <v>0.82934242312326312</v>
      </c>
      <c r="F78" s="125">
        <f t="shared" si="33"/>
        <v>0.57452129562767285</v>
      </c>
      <c r="G78" s="124">
        <f t="shared" si="33"/>
        <v>0.59704684249858386</v>
      </c>
      <c r="H78" s="124">
        <f t="shared" si="33"/>
        <v>0.62625479968900477</v>
      </c>
      <c r="I78" s="124">
        <f t="shared" si="33"/>
        <v>0.65048221150085828</v>
      </c>
      <c r="J78" s="124">
        <f t="shared" si="33"/>
        <v>0.67999999999944938</v>
      </c>
      <c r="K78" s="126">
        <f t="shared" si="33"/>
        <v>0.69999999999898033</v>
      </c>
      <c r="M78" s="77"/>
      <c r="N78" s="78"/>
    </row>
    <row r="79" spans="2:14" ht="24" customHeight="1" x14ac:dyDescent="0.35">
      <c r="B79" s="123" t="s">
        <v>1</v>
      </c>
      <c r="C79" s="124">
        <f t="shared" ref="C79:K80" si="34">C11/C$13</f>
        <v>2.7923211169284468E-2</v>
      </c>
      <c r="D79" s="124">
        <f t="shared" si="34"/>
        <v>8.0840880226840731E-2</v>
      </c>
      <c r="E79" s="124">
        <f t="shared" si="34"/>
        <v>0.15021160401290815</v>
      </c>
      <c r="F79" s="125">
        <f t="shared" si="34"/>
        <v>0.425458665153572</v>
      </c>
      <c r="G79" s="124">
        <f t="shared" si="34"/>
        <v>0.40295315750141603</v>
      </c>
      <c r="H79" s="124">
        <f t="shared" si="34"/>
        <v>0.37374520031099517</v>
      </c>
      <c r="I79" s="124">
        <f t="shared" si="34"/>
        <v>0.34951778849914178</v>
      </c>
      <c r="J79" s="124">
        <f t="shared" si="34"/>
        <v>0.32000000000055062</v>
      </c>
      <c r="K79" s="126">
        <f t="shared" si="34"/>
        <v>0.30000000000101967</v>
      </c>
      <c r="M79" s="77"/>
      <c r="N79" s="78"/>
    </row>
    <row r="80" spans="2:14" ht="24" customHeight="1" x14ac:dyDescent="0.35">
      <c r="B80" s="127" t="s">
        <v>6</v>
      </c>
      <c r="C80" s="128">
        <f t="shared" si="34"/>
        <v>0</v>
      </c>
      <c r="D80" s="128">
        <f t="shared" si="34"/>
        <v>9.986246244562888E-3</v>
      </c>
      <c r="E80" s="128">
        <f t="shared" si="34"/>
        <v>2.0445972863828755E-2</v>
      </c>
      <c r="F80" s="129">
        <f t="shared" si="34"/>
        <v>2.0039218755025459E-5</v>
      </c>
      <c r="G80" s="128">
        <f t="shared" si="34"/>
        <v>0</v>
      </c>
      <c r="H80" s="128">
        <f t="shared" si="34"/>
        <v>0</v>
      </c>
      <c r="I80" s="128">
        <f t="shared" si="34"/>
        <v>0</v>
      </c>
      <c r="J80" s="128">
        <f t="shared" si="34"/>
        <v>0</v>
      </c>
      <c r="K80" s="130">
        <f t="shared" si="34"/>
        <v>0</v>
      </c>
      <c r="M80" s="77"/>
      <c r="N80" s="78"/>
    </row>
    <row r="81" spans="2:14" ht="24" customHeight="1" x14ac:dyDescent="0.35">
      <c r="F81" s="47"/>
      <c r="M81" s="77"/>
      <c r="N81" s="78"/>
    </row>
    <row r="82" spans="2:14" ht="24" customHeight="1" x14ac:dyDescent="0.35">
      <c r="B82" s="102" t="s">
        <v>30</v>
      </c>
      <c r="C82" s="118">
        <f>C19/C70</f>
        <v>1717.568</v>
      </c>
      <c r="D82" s="118">
        <f t="shared" ref="D82:K82" si="35">D19/D70</f>
        <v>1311.4905000000001</v>
      </c>
      <c r="E82" s="118">
        <f t="shared" si="35"/>
        <v>1615.9314999999999</v>
      </c>
      <c r="F82" s="119">
        <f t="shared" si="35"/>
        <v>1229.3532969230766</v>
      </c>
      <c r="G82" s="118">
        <f t="shared" si="35"/>
        <v>1131.0450762820512</v>
      </c>
      <c r="H82" s="118">
        <f t="shared" si="35"/>
        <v>899.14285714285711</v>
      </c>
      <c r="I82" s="118">
        <f t="shared" si="35"/>
        <v>1045.3219036986304</v>
      </c>
      <c r="J82" s="118">
        <f t="shared" si="35"/>
        <v>1132.4126963208334</v>
      </c>
      <c r="K82" s="120">
        <f t="shared" si="35"/>
        <v>1375.3067520864865</v>
      </c>
      <c r="M82" s="73">
        <f>IFERROR(RATE($F$68-$C$68,0,-$C82,$F82),"N/A")</f>
        <v>-0.1054850773507723</v>
      </c>
      <c r="N82" s="74">
        <f>IFERROR(RATE($K$68-$G$68,0,-$G82,$K82),"N/A")</f>
        <v>5.0098203322354373E-2</v>
      </c>
    </row>
    <row r="83" spans="2:14" ht="24" customHeight="1" x14ac:dyDescent="0.35">
      <c r="B83" s="106" t="s">
        <v>64</v>
      </c>
      <c r="C83" s="131">
        <f>C19/C74</f>
        <v>198.18092307692308</v>
      </c>
      <c r="D83" s="131">
        <f t="shared" ref="D83:K83" si="36">D19/D74</f>
        <v>134.51184615384616</v>
      </c>
      <c r="E83" s="131">
        <f t="shared" si="36"/>
        <v>104.25364516129032</v>
      </c>
      <c r="F83" s="132">
        <f t="shared" si="36"/>
        <v>109.46296479452053</v>
      </c>
      <c r="G83" s="131">
        <f t="shared" si="36"/>
        <v>180.41209805725973</v>
      </c>
      <c r="H83" s="131">
        <f t="shared" si="36"/>
        <v>212.84057971014494</v>
      </c>
      <c r="I83" s="131">
        <f t="shared" si="36"/>
        <v>289.04734458333337</v>
      </c>
      <c r="J83" s="131">
        <f t="shared" si="36"/>
        <v>331.43786233780492</v>
      </c>
      <c r="K83" s="133">
        <f t="shared" si="36"/>
        <v>383.56545095879397</v>
      </c>
      <c r="M83" s="73">
        <f>IFERROR(RATE($F$68-$C$68,0,-$C83,$F83),"N/A")</f>
        <v>-0.17951914205182101</v>
      </c>
      <c r="N83" s="74">
        <f>IFERROR(RATE($K$68-$G$68,0,-$G83,$K83),"N/A")</f>
        <v>0.20751756312880734</v>
      </c>
    </row>
    <row r="84" spans="2:14" ht="24" customHeight="1" x14ac:dyDescent="0.35">
      <c r="B84" s="106" t="s">
        <v>32</v>
      </c>
      <c r="C84" s="37"/>
      <c r="D84" s="37"/>
      <c r="E84" s="37"/>
      <c r="F84" s="121"/>
      <c r="G84" s="37"/>
      <c r="H84" s="37"/>
      <c r="I84" s="37"/>
      <c r="J84" s="37"/>
      <c r="K84" s="122"/>
      <c r="M84" s="77"/>
      <c r="N84" s="78"/>
    </row>
    <row r="85" spans="2:14" ht="24" customHeight="1" x14ac:dyDescent="0.35">
      <c r="B85" s="123" t="s">
        <v>0</v>
      </c>
      <c r="C85" s="124">
        <f>C16/C$19</f>
        <v>0.62617104004519686</v>
      </c>
      <c r="D85" s="124">
        <f t="shared" ref="D85:K85" si="37">D16/D$19</f>
        <v>0.89440459156966812</v>
      </c>
      <c r="E85" s="124">
        <f t="shared" si="37"/>
        <v>0.86959595750191143</v>
      </c>
      <c r="F85" s="125">
        <f t="shared" si="37"/>
        <v>0.74695268015981731</v>
      </c>
      <c r="G85" s="124">
        <f t="shared" si="37"/>
        <v>0.57518809741106014</v>
      </c>
      <c r="H85" s="124">
        <f t="shared" si="37"/>
        <v>0.56137364383312904</v>
      </c>
      <c r="I85" s="124">
        <f t="shared" si="37"/>
        <v>0.63780822407520077</v>
      </c>
      <c r="J85" s="124">
        <f t="shared" si="37"/>
        <v>0.66890827834398037</v>
      </c>
      <c r="K85" s="126">
        <f t="shared" si="37"/>
        <v>0.68757695656261386</v>
      </c>
      <c r="M85" s="77"/>
      <c r="N85" s="78"/>
    </row>
    <row r="86" spans="2:14" ht="24" customHeight="1" x14ac:dyDescent="0.35">
      <c r="B86" s="123" t="s">
        <v>1</v>
      </c>
      <c r="C86" s="124">
        <f t="shared" ref="C86:K87" si="38">C17/C$19</f>
        <v>0.37382895995480314</v>
      </c>
      <c r="D86" s="124">
        <f t="shared" si="38"/>
        <v>0.1055954084303318</v>
      </c>
      <c r="E86" s="124">
        <f t="shared" si="38"/>
        <v>0.13040404249808854</v>
      </c>
      <c r="F86" s="125">
        <f t="shared" si="38"/>
        <v>0.25304731984018275</v>
      </c>
      <c r="G86" s="124">
        <f t="shared" si="38"/>
        <v>0.4248119025889398</v>
      </c>
      <c r="H86" s="124">
        <f t="shared" si="38"/>
        <v>0.43862635616687096</v>
      </c>
      <c r="I86" s="124">
        <f t="shared" si="38"/>
        <v>0.36219177592479923</v>
      </c>
      <c r="J86" s="124">
        <f t="shared" si="38"/>
        <v>0.33109172165601958</v>
      </c>
      <c r="K86" s="126">
        <f t="shared" si="38"/>
        <v>0.31242304343738614</v>
      </c>
      <c r="M86" s="77"/>
      <c r="N86" s="78"/>
    </row>
    <row r="87" spans="2:14" ht="24" customHeight="1" x14ac:dyDescent="0.35">
      <c r="B87" s="127" t="s">
        <v>6</v>
      </c>
      <c r="C87" s="128">
        <f t="shared" si="38"/>
        <v>0</v>
      </c>
      <c r="D87" s="128">
        <f t="shared" si="38"/>
        <v>0</v>
      </c>
      <c r="E87" s="128">
        <f t="shared" si="38"/>
        <v>0</v>
      </c>
      <c r="F87" s="129">
        <f t="shared" si="38"/>
        <v>0</v>
      </c>
      <c r="G87" s="128">
        <f t="shared" si="38"/>
        <v>0</v>
      </c>
      <c r="H87" s="128">
        <f t="shared" si="38"/>
        <v>0</v>
      </c>
      <c r="I87" s="128">
        <f t="shared" si="38"/>
        <v>0</v>
      </c>
      <c r="J87" s="128">
        <f t="shared" si="38"/>
        <v>0</v>
      </c>
      <c r="K87" s="130">
        <f t="shared" si="38"/>
        <v>0</v>
      </c>
      <c r="M87" s="77"/>
      <c r="N87" s="78"/>
    </row>
    <row r="88" spans="2:14" ht="24" customHeight="1" x14ac:dyDescent="0.35">
      <c r="F88" s="47"/>
      <c r="M88" s="77"/>
      <c r="N88" s="78"/>
    </row>
    <row r="89" spans="2:14" ht="24" customHeight="1" x14ac:dyDescent="0.35">
      <c r="B89" s="102" t="s">
        <v>37</v>
      </c>
      <c r="C89" s="118">
        <f>C21/C71</f>
        <v>1322.875</v>
      </c>
      <c r="D89" s="118">
        <f t="shared" ref="D89:K89" si="39">D21/D71</f>
        <v>1561.1666666666667</v>
      </c>
      <c r="E89" s="118">
        <f t="shared" si="39"/>
        <v>1665.8571428571429</v>
      </c>
      <c r="F89" s="119">
        <f t="shared" si="39"/>
        <v>1303.5454545454545</v>
      </c>
      <c r="G89" s="118">
        <f t="shared" si="39"/>
        <v>921.66666666666663</v>
      </c>
      <c r="H89" s="118">
        <f t="shared" si="39"/>
        <v>856.77499999999998</v>
      </c>
      <c r="I89" s="118">
        <f t="shared" si="39"/>
        <v>934.16949152542372</v>
      </c>
      <c r="J89" s="118">
        <f t="shared" si="39"/>
        <v>1077.8181818181818</v>
      </c>
      <c r="K89" s="120">
        <f t="shared" si="39"/>
        <v>1313.8314606741574</v>
      </c>
      <c r="M89" s="73">
        <f>IFERROR(RATE($F$68-$C$68,0,-$C89,$F89),"N/A")</f>
        <v>-4.8945071701304941E-3</v>
      </c>
      <c r="N89" s="74">
        <f>IFERROR(RATE($K$68-$G$68,0,-$G89,$K89),"N/A")</f>
        <v>9.2676100405793882E-2</v>
      </c>
    </row>
    <row r="90" spans="2:14" ht="24" customHeight="1" x14ac:dyDescent="0.35">
      <c r="B90" s="114" t="s">
        <v>59</v>
      </c>
      <c r="C90" s="134">
        <f>C21/C74</f>
        <v>101.75961538461539</v>
      </c>
      <c r="D90" s="134">
        <f t="shared" ref="D90:K90" si="40">D21/D74</f>
        <v>120.08974358974359</v>
      </c>
      <c r="E90" s="134">
        <f t="shared" si="40"/>
        <v>94.040322580645167</v>
      </c>
      <c r="F90" s="135">
        <f t="shared" si="40"/>
        <v>98.212328767123282</v>
      </c>
      <c r="G90" s="134">
        <f t="shared" si="40"/>
        <v>118.74233128834356</v>
      </c>
      <c r="H90" s="134">
        <f t="shared" si="40"/>
        <v>165.56038647342996</v>
      </c>
      <c r="I90" s="134">
        <f t="shared" si="40"/>
        <v>208.77272727272728</v>
      </c>
      <c r="J90" s="134">
        <f t="shared" si="40"/>
        <v>253.02439024390245</v>
      </c>
      <c r="K90" s="136">
        <f t="shared" si="40"/>
        <v>293.7964824120603</v>
      </c>
      <c r="M90" s="73">
        <f>IFERROR(RATE($F$68-$C$68,0,-$C90,$F90),"N/A")</f>
        <v>-1.175752204580755E-2</v>
      </c>
      <c r="N90" s="74">
        <f>IFERROR(RATE($K$68-$G$68,0,-$G90,$K90),"N/A")</f>
        <v>0.25418110945286199</v>
      </c>
    </row>
    <row r="91" spans="2:14" ht="24" customHeight="1" x14ac:dyDescent="0.35">
      <c r="F91" s="47"/>
      <c r="M91" s="77"/>
      <c r="N91" s="78"/>
    </row>
    <row r="92" spans="2:14" ht="24" customHeight="1" x14ac:dyDescent="0.35">
      <c r="B92" s="102" t="s">
        <v>111</v>
      </c>
      <c r="C92" s="137"/>
      <c r="D92" s="138">
        <f>'Operating Model'!E123</f>
        <v>0.6881934990582399</v>
      </c>
      <c r="E92" s="138">
        <f>'Operating Model'!F123</f>
        <v>0.58135542259773021</v>
      </c>
      <c r="F92" s="139">
        <f>'Operating Model'!G123</f>
        <v>0.67841208789688967</v>
      </c>
      <c r="G92" s="138">
        <f>'Operating Model'!H123</f>
        <v>0.56053947173637497</v>
      </c>
      <c r="H92" s="138">
        <f>'Operating Model'!I123</f>
        <v>0.54975318586503907</v>
      </c>
      <c r="I92" s="138">
        <f>'Operating Model'!J123</f>
        <v>0.67255269268183593</v>
      </c>
      <c r="J92" s="138">
        <f>'Operating Model'!K123</f>
        <v>0.71807206382086408</v>
      </c>
      <c r="K92" s="140">
        <f>'Operating Model'!L123</f>
        <v>0.74320949699007999</v>
      </c>
      <c r="M92" s="77"/>
      <c r="N92" s="78"/>
    </row>
    <row r="93" spans="2:14" ht="24" customHeight="1" x14ac:dyDescent="0.35">
      <c r="B93" s="114" t="s">
        <v>112</v>
      </c>
      <c r="C93" s="141"/>
      <c r="D93" s="142" t="str">
        <f>'Operating Model'!E126</f>
        <v>NM</v>
      </c>
      <c r="E93" s="142" t="str">
        <f>'Operating Model'!F126</f>
        <v>NM</v>
      </c>
      <c r="F93" s="129">
        <f>'Operating Model'!G126</f>
        <v>0.13096428947033864</v>
      </c>
      <c r="G93" s="128">
        <f>'Operating Model'!H126</f>
        <v>0.54964874934723529</v>
      </c>
      <c r="H93" s="128">
        <f>'Operating Model'!I126</f>
        <v>0.61376952125347051</v>
      </c>
      <c r="I93" s="128">
        <f>'Operating Model'!J126</f>
        <v>0.38950417523234326</v>
      </c>
      <c r="J93" s="128">
        <f>'Operating Model'!K126</f>
        <v>0.32948356688809183</v>
      </c>
      <c r="K93" s="130">
        <f>'Operating Model'!L126</f>
        <v>0.29681202561528242</v>
      </c>
      <c r="M93" s="77"/>
      <c r="N93" s="78"/>
    </row>
    <row r="94" spans="2:14" ht="24" customHeight="1" x14ac:dyDescent="0.35">
      <c r="F94" s="47"/>
      <c r="M94" s="77"/>
      <c r="N94" s="78"/>
    </row>
    <row r="95" spans="2:14" ht="24" customHeight="1" thickBot="1" x14ac:dyDescent="0.4">
      <c r="B95" s="143" t="s">
        <v>113</v>
      </c>
      <c r="C95" s="144">
        <f>'Operating Model'!D134</f>
        <v>-315.39157192307692</v>
      </c>
      <c r="D95" s="144">
        <f>'Operating Model'!E134</f>
        <v>-211.8522571794872</v>
      </c>
      <c r="E95" s="144">
        <f>'Operating Model'!F134</f>
        <v>-194.67228580645161</v>
      </c>
      <c r="F95" s="145">
        <f>'Operating Model'!G134</f>
        <v>-237.10389835616436</v>
      </c>
      <c r="G95" s="144">
        <f>'Operating Model'!H134</f>
        <v>-237.68624006134971</v>
      </c>
      <c r="H95" s="144">
        <f>'Operating Model'!I134</f>
        <v>-215.85728885985509</v>
      </c>
      <c r="I95" s="144">
        <f>'Operating Model'!J134</f>
        <v>-208.19511941897724</v>
      </c>
      <c r="J95" s="144">
        <f>'Operating Model'!K134</f>
        <v>-206.90479835710366</v>
      </c>
      <c r="K95" s="146">
        <f>'Operating Model'!L134</f>
        <v>-207.49157837949753</v>
      </c>
      <c r="M95" s="79">
        <f>IFERROR(RATE($F$68-$C$68,0,-$C95,$F95),"N/A")</f>
        <v>-9.072300463374787E-2</v>
      </c>
      <c r="N95" s="80">
        <f>IFERROR(RATE($K$68-$G$68,0,-$G95,$K95),"N/A")</f>
        <v>-3.3394841688029968E-2</v>
      </c>
    </row>
  </sheetData>
  <mergeCells count="6">
    <mergeCell ref="C6:F6"/>
    <mergeCell ref="G6:K6"/>
    <mergeCell ref="C66:F66"/>
    <mergeCell ref="G66:K66"/>
    <mergeCell ref="C39:F39"/>
    <mergeCell ref="G39:K39"/>
  </mergeCells>
  <pageMargins left="0.7" right="0.7" top="0.75" bottom="0.75" header="0.3" footer="0.3"/>
  <pageSetup scale="39" fitToHeight="0" orientation="landscape" r:id="rId1"/>
  <colBreaks count="1" manualBreakCount="1">
    <brk id="14" max="9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FC81-7645-4E30-A61C-E73BC36D4155}">
  <sheetPr>
    <tabColor theme="8" tint="-0.249977111117893"/>
    <pageSetUpPr fitToPage="1"/>
  </sheetPr>
  <dimension ref="A2:P202"/>
  <sheetViews>
    <sheetView showGridLines="0" tabSelected="1" view="pageBreakPreview" topLeftCell="B135" zoomScale="60" zoomScaleNormal="65" workbookViewId="0">
      <selection activeCell="F201" sqref="F201:L201"/>
    </sheetView>
  </sheetViews>
  <sheetFormatPr defaultColWidth="20.7265625" defaultRowHeight="24" customHeight="1" x14ac:dyDescent="0.35"/>
  <cols>
    <col min="1" max="1" width="6.7265625" style="1" customWidth="1"/>
    <col min="2" max="2" width="72.7265625" style="1" customWidth="1"/>
    <col min="3" max="12" width="20.7265625" style="1"/>
    <col min="13" max="13" width="6.7265625" style="1" customWidth="1"/>
    <col min="14" max="16384" width="20.7265625" style="1"/>
  </cols>
  <sheetData>
    <row r="2" spans="1:16" ht="24" customHeight="1" x14ac:dyDescent="0.35">
      <c r="A2" s="9" t="s">
        <v>33</v>
      </c>
      <c r="B2" s="3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9" t="s">
        <v>33</v>
      </c>
    </row>
    <row r="3" spans="1:16" ht="6" customHeight="1" x14ac:dyDescent="0.35"/>
    <row r="4" spans="1:16" ht="24" customHeight="1" x14ac:dyDescent="0.35">
      <c r="B4" s="4" t="s">
        <v>41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6" ht="6" customHeight="1" x14ac:dyDescent="0.35"/>
    <row r="6" spans="1:16" ht="24" customHeight="1" x14ac:dyDescent="0.35">
      <c r="B6" s="30"/>
      <c r="C6" s="31">
        <v>2020</v>
      </c>
      <c r="D6" s="31">
        <f>C6+1</f>
        <v>2021</v>
      </c>
      <c r="E6" s="31">
        <f t="shared" ref="E6:G6" si="0">D6+1</f>
        <v>2022</v>
      </c>
      <c r="F6" s="31">
        <f t="shared" si="0"/>
        <v>2023</v>
      </c>
      <c r="G6" s="31">
        <f t="shared" si="0"/>
        <v>2024</v>
      </c>
    </row>
    <row r="7" spans="1:16" ht="6" customHeight="1" x14ac:dyDescent="0.35">
      <c r="C7" s="28"/>
      <c r="D7" s="28"/>
      <c r="E7" s="28"/>
      <c r="F7" s="28"/>
      <c r="G7" s="28"/>
    </row>
    <row r="8" spans="1:16" ht="24" customHeight="1" x14ac:dyDescent="0.35">
      <c r="B8" s="1" t="s">
        <v>16</v>
      </c>
      <c r="C8" s="29">
        <v>0.68399174023481346</v>
      </c>
      <c r="D8" s="29">
        <v>0.70181722334080621</v>
      </c>
      <c r="E8" s="29">
        <v>0.42588874965413703</v>
      </c>
      <c r="F8" s="29">
        <v>0.42499999999754801</v>
      </c>
      <c r="G8" s="29">
        <v>0.350000000002753</v>
      </c>
    </row>
    <row r="9" spans="1:16" ht="6" customHeight="1" x14ac:dyDescent="0.35"/>
    <row r="10" spans="1:16" ht="24" customHeight="1" x14ac:dyDescent="0.35">
      <c r="B10" s="1" t="s">
        <v>17</v>
      </c>
    </row>
    <row r="11" spans="1:16" ht="24" customHeight="1" x14ac:dyDescent="0.35">
      <c r="B11" s="22" t="s">
        <v>18</v>
      </c>
      <c r="C11" s="29">
        <v>0.59704684249858397</v>
      </c>
      <c r="D11" s="29">
        <v>0.62625479968900477</v>
      </c>
      <c r="E11" s="29">
        <v>0.65048221150085828</v>
      </c>
      <c r="F11" s="29">
        <v>0.67999999999944938</v>
      </c>
      <c r="G11" s="29">
        <v>0.69999999999898033</v>
      </c>
    </row>
    <row r="12" spans="1:16" ht="24" customHeight="1" x14ac:dyDescent="0.35">
      <c r="B12" s="22" t="s">
        <v>19</v>
      </c>
      <c r="C12" s="29">
        <v>0.40295315750141608</v>
      </c>
      <c r="D12" s="29">
        <v>0.37374520031099517</v>
      </c>
      <c r="E12" s="29">
        <v>0.34951778849914178</v>
      </c>
      <c r="F12" s="29">
        <v>0.32000000000055062</v>
      </c>
      <c r="G12" s="29">
        <v>0.30000000000101967</v>
      </c>
    </row>
    <row r="13" spans="1:16" ht="24" customHeight="1" x14ac:dyDescent="0.35">
      <c r="B13" s="22" t="s">
        <v>20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</row>
    <row r="14" spans="1:16" ht="24" customHeight="1" x14ac:dyDescent="0.35">
      <c r="B14" s="34" t="s">
        <v>21</v>
      </c>
      <c r="C14" s="35">
        <f>SUM(C11:C13)</f>
        <v>1</v>
      </c>
      <c r="D14" s="35">
        <f t="shared" ref="D14:G14" si="1">SUM(D11:D13)</f>
        <v>1</v>
      </c>
      <c r="E14" s="35">
        <f t="shared" si="1"/>
        <v>1</v>
      </c>
      <c r="F14" s="35">
        <f t="shared" si="1"/>
        <v>1</v>
      </c>
      <c r="G14" s="35">
        <f t="shared" si="1"/>
        <v>1</v>
      </c>
    </row>
    <row r="16" spans="1:16" ht="24" customHeight="1" x14ac:dyDescent="0.35">
      <c r="B16" s="1" t="s">
        <v>26</v>
      </c>
      <c r="C16" s="40">
        <v>26</v>
      </c>
      <c r="D16" s="40">
        <v>49</v>
      </c>
      <c r="E16" s="40">
        <v>73</v>
      </c>
      <c r="F16" s="40">
        <v>96</v>
      </c>
      <c r="G16" s="40">
        <v>111</v>
      </c>
    </row>
    <row r="17" spans="2:15" ht="24" customHeight="1" x14ac:dyDescent="0.35">
      <c r="B17" s="1" t="s">
        <v>27</v>
      </c>
      <c r="C17" s="40">
        <v>21</v>
      </c>
      <c r="D17" s="40">
        <v>40</v>
      </c>
      <c r="E17" s="40">
        <v>59</v>
      </c>
      <c r="F17" s="40">
        <v>77</v>
      </c>
      <c r="G17" s="40">
        <v>89</v>
      </c>
    </row>
    <row r="19" spans="2:15" ht="24" customHeight="1" x14ac:dyDescent="0.35">
      <c r="B19" s="4" t="s">
        <v>40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5" ht="6" customHeight="1" x14ac:dyDescent="0.35"/>
    <row r="21" spans="2:15" ht="24" customHeight="1" x14ac:dyDescent="0.35">
      <c r="B21" s="30"/>
      <c r="C21" s="31">
        <v>2020</v>
      </c>
      <c r="D21" s="31">
        <f>C21+1</f>
        <v>2021</v>
      </c>
      <c r="E21" s="31">
        <f t="shared" ref="E21:G21" si="2">D21+1</f>
        <v>2022</v>
      </c>
      <c r="F21" s="31">
        <f t="shared" si="2"/>
        <v>2023</v>
      </c>
      <c r="G21" s="31">
        <f t="shared" si="2"/>
        <v>2024</v>
      </c>
    </row>
    <row r="22" spans="2:15" ht="6" customHeight="1" x14ac:dyDescent="0.35"/>
    <row r="23" spans="2:15" ht="24" customHeight="1" x14ac:dyDescent="0.35">
      <c r="B23" s="1" t="s">
        <v>28</v>
      </c>
      <c r="C23" s="29">
        <v>0.3</v>
      </c>
      <c r="D23" s="29">
        <v>0.3</v>
      </c>
      <c r="E23" s="29">
        <v>0.3</v>
      </c>
      <c r="F23" s="29">
        <v>0.3</v>
      </c>
      <c r="G23" s="29">
        <v>0.3</v>
      </c>
    </row>
    <row r="24" spans="2:15" ht="24" customHeight="1" x14ac:dyDescent="0.35">
      <c r="B24" s="1" t="s">
        <v>29</v>
      </c>
      <c r="C24" s="29">
        <v>0.67339598261090106</v>
      </c>
      <c r="D24" s="29">
        <v>0.53802042725156729</v>
      </c>
      <c r="E24" s="29">
        <v>0.63939652694563065</v>
      </c>
      <c r="F24" s="29">
        <v>0.63872345196407898</v>
      </c>
      <c r="G24" s="29">
        <v>0.6457029640469798</v>
      </c>
    </row>
    <row r="26" spans="2:15" ht="24" customHeight="1" x14ac:dyDescent="0.35">
      <c r="B26" s="1" t="s">
        <v>31</v>
      </c>
    </row>
    <row r="27" spans="2:15" ht="24" customHeight="1" x14ac:dyDescent="0.35">
      <c r="B27" s="22" t="s">
        <v>18</v>
      </c>
      <c r="C27" s="29">
        <v>0.57518809741106014</v>
      </c>
      <c r="D27" s="29">
        <v>0.56137364383312904</v>
      </c>
      <c r="E27" s="29">
        <v>0.63780822407520077</v>
      </c>
      <c r="F27" s="29">
        <v>0.66890827834398037</v>
      </c>
      <c r="G27" s="29">
        <v>0.68757695656261386</v>
      </c>
    </row>
    <row r="28" spans="2:15" ht="24" customHeight="1" x14ac:dyDescent="0.35">
      <c r="B28" s="22" t="s">
        <v>19</v>
      </c>
      <c r="C28" s="29">
        <v>0.42481190258893986</v>
      </c>
      <c r="D28" s="29">
        <v>0.43862635616687096</v>
      </c>
      <c r="E28" s="29">
        <v>0.36219177592479923</v>
      </c>
      <c r="F28" s="29">
        <v>0.33109172165601963</v>
      </c>
      <c r="G28" s="29">
        <v>0.31242304343738614</v>
      </c>
    </row>
    <row r="29" spans="2:15" ht="24" customHeight="1" x14ac:dyDescent="0.35">
      <c r="B29" s="22" t="s">
        <v>20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</row>
    <row r="30" spans="2:15" ht="24" customHeight="1" x14ac:dyDescent="0.35">
      <c r="B30" s="34" t="s">
        <v>21</v>
      </c>
      <c r="C30" s="35">
        <f>SUM(C27:C29)</f>
        <v>1</v>
      </c>
      <c r="D30" s="35">
        <f t="shared" ref="D30" si="3">SUM(D27:D29)</f>
        <v>1</v>
      </c>
      <c r="E30" s="35">
        <f t="shared" ref="E30" si="4">SUM(E27:E29)</f>
        <v>1</v>
      </c>
      <c r="F30" s="35">
        <f t="shared" ref="F30" si="5">SUM(F27:F29)</f>
        <v>1</v>
      </c>
      <c r="G30" s="35">
        <f t="shared" ref="G30" si="6">SUM(G27:G29)</f>
        <v>1</v>
      </c>
    </row>
    <row r="32" spans="2:15" ht="24" customHeight="1" x14ac:dyDescent="0.35">
      <c r="B32" s="4" t="s">
        <v>39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2:15" ht="6" customHeight="1" x14ac:dyDescent="0.35"/>
    <row r="34" spans="2:15" ht="24" customHeight="1" x14ac:dyDescent="0.35">
      <c r="B34" s="30"/>
      <c r="C34" s="31"/>
      <c r="D34" s="59">
        <v>2016</v>
      </c>
      <c r="E34" s="31">
        <v>2017</v>
      </c>
      <c r="F34" s="31">
        <v>2018</v>
      </c>
      <c r="G34" s="31">
        <v>2019</v>
      </c>
      <c r="H34" s="31">
        <v>2020</v>
      </c>
      <c r="I34" s="31">
        <f>H34+1</f>
        <v>2021</v>
      </c>
      <c r="J34" s="31">
        <f t="shared" ref="J34:L34" si="7">I34+1</f>
        <v>2022</v>
      </c>
      <c r="K34" s="31">
        <f t="shared" si="7"/>
        <v>2023</v>
      </c>
      <c r="L34" s="31">
        <f t="shared" si="7"/>
        <v>2024</v>
      </c>
    </row>
    <row r="35" spans="2:15" ht="6" customHeight="1" x14ac:dyDescent="0.35"/>
    <row r="36" spans="2:15" ht="24" customHeight="1" x14ac:dyDescent="0.35">
      <c r="B36" s="1" t="s">
        <v>70</v>
      </c>
      <c r="E36" s="19">
        <f t="shared" ref="E36:G37" si="8">-E116/E84</f>
        <v>0.3118065009417601</v>
      </c>
      <c r="F36" s="19">
        <f t="shared" si="8"/>
        <v>0.41864457740226979</v>
      </c>
      <c r="G36" s="19">
        <f t="shared" si="8"/>
        <v>0.32158791210311038</v>
      </c>
      <c r="H36" s="29">
        <v>0.43946052826362503</v>
      </c>
      <c r="I36" s="29">
        <v>0.45024681413496098</v>
      </c>
      <c r="J36" s="29">
        <v>0.32744730731816402</v>
      </c>
      <c r="K36" s="29">
        <v>0.28192793617913597</v>
      </c>
      <c r="L36" s="29">
        <v>0.25679050300992001</v>
      </c>
    </row>
    <row r="37" spans="2:15" ht="24" customHeight="1" x14ac:dyDescent="0.35">
      <c r="B37" s="1" t="s">
        <v>71</v>
      </c>
      <c r="E37" s="19">
        <f t="shared" si="8"/>
        <v>1.1949645229393648</v>
      </c>
      <c r="F37" s="19">
        <f t="shared" si="8"/>
        <v>1.0812365938383861</v>
      </c>
      <c r="G37" s="19">
        <f t="shared" si="8"/>
        <v>0.61341567621866755</v>
      </c>
      <c r="H37" s="29">
        <v>0.25578493339128</v>
      </c>
      <c r="I37" s="29">
        <v>0.21447029396315201</v>
      </c>
      <c r="J37" s="29">
        <v>0.31409550744079501</v>
      </c>
      <c r="K37" s="29">
        <v>0.334340694574294</v>
      </c>
      <c r="L37" s="29">
        <v>0.34677958770784101</v>
      </c>
    </row>
    <row r="38" spans="2:15" ht="24" customHeight="1" x14ac:dyDescent="0.35">
      <c r="B38" s="1" t="s">
        <v>72</v>
      </c>
      <c r="D38" s="19">
        <f>-D129/D$115</f>
        <v>0.61526784286463965</v>
      </c>
      <c r="E38" s="19">
        <f t="shared" ref="E38:G39" si="9">-E129/E$115</f>
        <v>1.0929621249639245</v>
      </c>
      <c r="F38" s="19">
        <f t="shared" si="9"/>
        <v>1.2520140960492447</v>
      </c>
      <c r="G38" s="19">
        <f t="shared" si="9"/>
        <v>1.5786835874881626</v>
      </c>
      <c r="H38" s="29">
        <v>0.96330089054653123</v>
      </c>
      <c r="I38" s="29">
        <v>0.72657601120545645</v>
      </c>
      <c r="J38" s="29">
        <v>0.52828755209558786</v>
      </c>
      <c r="K38" s="29">
        <v>0.46887921499414242</v>
      </c>
      <c r="L38" s="29">
        <v>0.41436607741131226</v>
      </c>
    </row>
    <row r="39" spans="2:15" ht="24" customHeight="1" x14ac:dyDescent="0.35">
      <c r="B39" s="1" t="s">
        <v>73</v>
      </c>
      <c r="D39" s="19">
        <f>-D130/D$115</f>
        <v>0.97616470788929466</v>
      </c>
      <c r="E39" s="19">
        <f t="shared" si="9"/>
        <v>0.48200887749472826</v>
      </c>
      <c r="F39" s="19">
        <f t="shared" si="9"/>
        <v>0.6152806686112624</v>
      </c>
      <c r="G39" s="19">
        <f t="shared" si="9"/>
        <v>0.58738142638430346</v>
      </c>
      <c r="H39" s="29">
        <v>0.35416197708173708</v>
      </c>
      <c r="I39" s="29">
        <v>0.28759755078078897</v>
      </c>
      <c r="J39" s="29">
        <v>0.19199278716542151</v>
      </c>
      <c r="K39" s="29">
        <v>0.15538500424048493</v>
      </c>
      <c r="L39" s="29">
        <v>0.12658873971529108</v>
      </c>
    </row>
    <row r="41" spans="2:15" ht="24" customHeight="1" x14ac:dyDescent="0.35">
      <c r="B41" s="4" t="s">
        <v>83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2:15" ht="6" customHeight="1" x14ac:dyDescent="0.35"/>
    <row r="43" spans="2:15" ht="24" customHeight="1" x14ac:dyDescent="0.35">
      <c r="B43" s="30"/>
      <c r="C43" s="31"/>
      <c r="D43" s="59">
        <v>2016</v>
      </c>
      <c r="E43" s="31">
        <v>2017</v>
      </c>
      <c r="F43" s="31">
        <v>2018</v>
      </c>
      <c r="G43" s="31">
        <v>2019</v>
      </c>
      <c r="H43" s="31">
        <v>2020</v>
      </c>
      <c r="I43" s="31">
        <f>H43+1</f>
        <v>2021</v>
      </c>
      <c r="J43" s="31">
        <f t="shared" ref="J43:L43" si="10">I43+1</f>
        <v>2022</v>
      </c>
      <c r="K43" s="31">
        <f t="shared" si="10"/>
        <v>2023</v>
      </c>
      <c r="L43" s="31">
        <f t="shared" si="10"/>
        <v>2024</v>
      </c>
    </row>
    <row r="44" spans="2:15" ht="6" customHeight="1" x14ac:dyDescent="0.35"/>
    <row r="45" spans="2:15" ht="24" customHeight="1" x14ac:dyDescent="0.35">
      <c r="B45" s="1" t="s">
        <v>84</v>
      </c>
      <c r="D45" s="19">
        <f>-D184/D$163</f>
        <v>2.1795352498416363E-3</v>
      </c>
      <c r="E45" s="19">
        <f t="shared" ref="E45:G45" si="11">-E184/E$163</f>
        <v>1.3498858741256607E-2</v>
      </c>
      <c r="F45" s="19">
        <f t="shared" si="11"/>
        <v>1.191518638011574E-2</v>
      </c>
      <c r="G45" s="19">
        <f t="shared" si="11"/>
        <v>1.3595754518134639E-2</v>
      </c>
      <c r="H45" s="29">
        <v>9.5064332899760153E-3</v>
      </c>
      <c r="I45" s="29">
        <v>6.3450431028357433E-3</v>
      </c>
      <c r="J45" s="29">
        <v>3.6634136927513449E-3</v>
      </c>
      <c r="K45" s="29">
        <v>2.571478586791633E-3</v>
      </c>
      <c r="L45" s="29">
        <v>1.8312022834499179E-3</v>
      </c>
    </row>
    <row r="46" spans="2:15" ht="24" customHeight="1" x14ac:dyDescent="0.35">
      <c r="B46" s="1" t="s">
        <v>97</v>
      </c>
      <c r="D46" s="19">
        <f>D193/D163</f>
        <v>0.10789577666405836</v>
      </c>
      <c r="E46" s="19">
        <f t="shared" ref="E46:G46" si="12">E193/E163</f>
        <v>-3.7818783285124752E-2</v>
      </c>
      <c r="F46" s="19">
        <f t="shared" si="12"/>
        <v>0.14930065665685732</v>
      </c>
      <c r="G46" s="19">
        <f t="shared" si="12"/>
        <v>0.2394288091422862</v>
      </c>
      <c r="H46" s="29">
        <v>-2.3731661164935577E-2</v>
      </c>
      <c r="I46" s="29">
        <v>0.17125531329139615</v>
      </c>
      <c r="J46" s="29">
        <v>9.581502674917626E-2</v>
      </c>
      <c r="K46" s="29">
        <v>5.7314692248246361E-2</v>
      </c>
      <c r="L46" s="29">
        <v>6.120983502167205E-2</v>
      </c>
    </row>
    <row r="47" spans="2:15" ht="24" customHeight="1" x14ac:dyDescent="0.35">
      <c r="B47" s="1" t="s">
        <v>98</v>
      </c>
      <c r="D47" s="19">
        <f>-D195/D$163</f>
        <v>9.2162289935536768E-3</v>
      </c>
      <c r="E47" s="19">
        <f t="shared" ref="E47:G47" si="13">-E195/E$163</f>
        <v>1.4928558384525087E-2</v>
      </c>
      <c r="F47" s="19">
        <f t="shared" si="13"/>
        <v>1.6131253088388958E-2</v>
      </c>
      <c r="G47" s="19">
        <f t="shared" si="13"/>
        <v>3.7797589720352819E-2</v>
      </c>
      <c r="H47" s="29">
        <v>5.567499795382963E-2</v>
      </c>
      <c r="I47" s="29">
        <v>1.3509464796404743E-2</v>
      </c>
      <c r="J47" s="29">
        <v>2.6209400879268797E-2</v>
      </c>
      <c r="K47" s="29">
        <v>2.7595946337876716E-2</v>
      </c>
      <c r="L47" s="29">
        <v>1.9651635524964999E-2</v>
      </c>
    </row>
    <row r="49" spans="1:16" ht="24" customHeight="1" x14ac:dyDescent="0.35">
      <c r="A49" s="9" t="s">
        <v>33</v>
      </c>
      <c r="B49" s="3" t="s">
        <v>15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9" t="s">
        <v>33</v>
      </c>
    </row>
    <row r="50" spans="1:16" ht="6" customHeight="1" x14ac:dyDescent="0.35"/>
    <row r="51" spans="1:16" ht="24" customHeight="1" x14ac:dyDescent="0.35">
      <c r="B51" s="4" t="s">
        <v>13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6" ht="6" customHeight="1" x14ac:dyDescent="0.35"/>
    <row r="53" spans="1:16" ht="24" customHeight="1" x14ac:dyDescent="0.35">
      <c r="D53" s="147" t="s">
        <v>7</v>
      </c>
      <c r="E53" s="147"/>
      <c r="F53" s="147"/>
      <c r="G53" s="148"/>
      <c r="H53" s="147" t="s">
        <v>14</v>
      </c>
      <c r="I53" s="147"/>
      <c r="J53" s="147"/>
      <c r="K53" s="147"/>
      <c r="L53" s="147"/>
      <c r="M53" s="9"/>
      <c r="N53" s="9"/>
      <c r="O53" s="9"/>
    </row>
    <row r="54" spans="1:16" ht="24" customHeight="1" x14ac:dyDescent="0.35">
      <c r="D54" s="10">
        <v>42735</v>
      </c>
      <c r="E54" s="6">
        <f>EOMONTH(D54,12)</f>
        <v>43100</v>
      </c>
      <c r="F54" s="6">
        <f>EOMONTH(E54,12)</f>
        <v>43465</v>
      </c>
      <c r="G54" s="25">
        <f>EOMONTH(F54,12)</f>
        <v>43830</v>
      </c>
      <c r="H54" s="6">
        <f>EOMONTH(G54,12)</f>
        <v>44196</v>
      </c>
      <c r="I54" s="6">
        <f t="shared" ref="I54:L54" si="14">EOMONTH(H54,12)</f>
        <v>44561</v>
      </c>
      <c r="J54" s="6">
        <f t="shared" si="14"/>
        <v>44926</v>
      </c>
      <c r="K54" s="6">
        <f t="shared" si="14"/>
        <v>45291</v>
      </c>
      <c r="L54" s="6">
        <f t="shared" si="14"/>
        <v>45657</v>
      </c>
      <c r="M54" s="10"/>
      <c r="N54" s="38" t="str">
        <f>"'16A - '19A"</f>
        <v>'16A - '19A</v>
      </c>
      <c r="O54" s="38" t="str">
        <f>"'20E - '24E"</f>
        <v>'20E - '24E</v>
      </c>
    </row>
    <row r="55" spans="1:16" ht="24" customHeight="1" thickBot="1" x14ac:dyDescent="0.4">
      <c r="B55" s="7"/>
      <c r="C55" s="7"/>
      <c r="D55" s="7">
        <f>YEAR(D54)</f>
        <v>2016</v>
      </c>
      <c r="E55" s="7">
        <f>YEAR(E54)</f>
        <v>2017</v>
      </c>
      <c r="F55" s="7">
        <f>YEAR(F54)</f>
        <v>2018</v>
      </c>
      <c r="G55" s="8">
        <f>YEAR(G54)</f>
        <v>2019</v>
      </c>
      <c r="H55" s="24">
        <f>YEAR(H54)</f>
        <v>2020</v>
      </c>
      <c r="I55" s="24">
        <f t="shared" ref="I55:L55" si="15">YEAR(I54)</f>
        <v>2021</v>
      </c>
      <c r="J55" s="24">
        <f t="shared" si="15"/>
        <v>2022</v>
      </c>
      <c r="K55" s="24">
        <f t="shared" si="15"/>
        <v>2023</v>
      </c>
      <c r="L55" s="24">
        <f t="shared" si="15"/>
        <v>2024</v>
      </c>
      <c r="M55" s="24"/>
      <c r="N55" s="39" t="s">
        <v>25</v>
      </c>
      <c r="O55" s="39" t="s">
        <v>25</v>
      </c>
    </row>
    <row r="56" spans="1:16" ht="6" customHeight="1" thickTop="1" x14ac:dyDescent="0.35">
      <c r="G56" s="45"/>
    </row>
    <row r="57" spans="1:16" ht="24" customHeight="1" x14ac:dyDescent="0.35">
      <c r="B57" s="26" t="s">
        <v>9</v>
      </c>
      <c r="C57" s="27"/>
      <c r="D57" s="27"/>
      <c r="E57" s="27"/>
      <c r="F57" s="27"/>
      <c r="G57" s="46"/>
      <c r="H57" s="27"/>
      <c r="I57" s="27"/>
      <c r="J57" s="27"/>
      <c r="K57" s="27"/>
      <c r="L57" s="27"/>
      <c r="M57" s="27"/>
      <c r="N57" s="27"/>
      <c r="O57" s="27"/>
    </row>
    <row r="58" spans="1:16" ht="6" customHeight="1" thickBot="1" x14ac:dyDescent="0.4">
      <c r="G58" s="47"/>
    </row>
    <row r="59" spans="1:16" ht="24" customHeight="1" x14ac:dyDescent="0.35">
      <c r="B59" s="1" t="s">
        <v>8</v>
      </c>
      <c r="D59" s="54">
        <v>10583</v>
      </c>
      <c r="E59" s="54">
        <v>13462</v>
      </c>
      <c r="F59" s="54">
        <v>13698</v>
      </c>
      <c r="G59" s="55">
        <v>14334.922500000001</v>
      </c>
      <c r="H59" s="56">
        <f t="shared" ref="H59:L61" si="16">PRODUCT(H$62,C11)</f>
        <v>25086.356000000003</v>
      </c>
      <c r="I59" s="56">
        <f t="shared" si="16"/>
        <v>44780.93499999999</v>
      </c>
      <c r="J59" s="56">
        <f t="shared" si="16"/>
        <v>66322.846409999998</v>
      </c>
      <c r="K59" s="56">
        <f t="shared" si="16"/>
        <v>98798.763493999999</v>
      </c>
      <c r="L59" s="56">
        <f t="shared" si="16"/>
        <v>137301.22279699999</v>
      </c>
      <c r="M59" s="32"/>
      <c r="N59" s="71">
        <f>IFERROR(RATE($G$55-$D$55,0,-$D59,$G59),"N/A")</f>
        <v>0.10644250455756603</v>
      </c>
      <c r="O59" s="72">
        <f>IFERROR(RATE($L$55-$H$55,0,-$H59,$L59),"N/A")</f>
        <v>0.52953424880909039</v>
      </c>
    </row>
    <row r="60" spans="1:16" ht="24" customHeight="1" x14ac:dyDescent="0.35">
      <c r="B60" s="1" t="s">
        <v>76</v>
      </c>
      <c r="D60" s="14">
        <v>304</v>
      </c>
      <c r="E60" s="14">
        <v>1197</v>
      </c>
      <c r="F60" s="14">
        <v>2481</v>
      </c>
      <c r="G60" s="48">
        <v>10615.65</v>
      </c>
      <c r="H60" s="32">
        <f t="shared" si="16"/>
        <v>16931.044000000002</v>
      </c>
      <c r="I60" s="32">
        <f t="shared" si="16"/>
        <v>26725</v>
      </c>
      <c r="J60" s="32">
        <f t="shared" si="16"/>
        <v>35636.661840000001</v>
      </c>
      <c r="K60" s="32">
        <f t="shared" si="16"/>
        <v>46493.535762</v>
      </c>
      <c r="L60" s="32">
        <f t="shared" si="16"/>
        <v>58843.381199000003</v>
      </c>
      <c r="M60" s="32"/>
      <c r="N60" s="73">
        <f t="shared" ref="N60:N62" si="17">IFERROR(RATE($G$55-$D$55,0,-$D60,$G60),"N/A")</f>
        <v>2.2685690889163967</v>
      </c>
      <c r="O60" s="74">
        <f t="shared" ref="O60:O62" si="18">IFERROR(RATE($L$55-$H$55,0,-$H60,$L60),"N/A")</f>
        <v>0.36537979033201484</v>
      </c>
    </row>
    <row r="61" spans="1:16" ht="24" customHeight="1" x14ac:dyDescent="0.35">
      <c r="B61" s="1" t="s">
        <v>77</v>
      </c>
      <c r="D61" s="14">
        <v>0</v>
      </c>
      <c r="E61" s="14">
        <v>147.86499999999967</v>
      </c>
      <c r="F61" s="14">
        <v>337.70000000000039</v>
      </c>
      <c r="G61" s="48">
        <v>0.5</v>
      </c>
      <c r="H61" s="32">
        <f t="shared" si="16"/>
        <v>0</v>
      </c>
      <c r="I61" s="32">
        <f t="shared" si="16"/>
        <v>0</v>
      </c>
      <c r="J61" s="32">
        <f t="shared" si="16"/>
        <v>0</v>
      </c>
      <c r="K61" s="32">
        <f t="shared" si="16"/>
        <v>0</v>
      </c>
      <c r="L61" s="32">
        <f t="shared" si="16"/>
        <v>0</v>
      </c>
      <c r="M61" s="32"/>
      <c r="N61" s="73" t="str">
        <f t="shared" si="17"/>
        <v>N/A</v>
      </c>
      <c r="O61" s="74" t="str">
        <f t="shared" si="18"/>
        <v>N/A</v>
      </c>
    </row>
    <row r="62" spans="1:16" ht="24" customHeight="1" x14ac:dyDescent="0.35">
      <c r="B62" s="91" t="s">
        <v>10</v>
      </c>
      <c r="C62" s="92"/>
      <c r="D62" s="93">
        <f>SUM(D59:D61)</f>
        <v>10887</v>
      </c>
      <c r="E62" s="93">
        <f>SUM(E59:E61)</f>
        <v>14806.865</v>
      </c>
      <c r="F62" s="93">
        <f>SUM(F59:F61)</f>
        <v>16516.7</v>
      </c>
      <c r="G62" s="94">
        <f>SUM(G59:G61)</f>
        <v>24951.072500000002</v>
      </c>
      <c r="H62" s="93">
        <f>PRODUCT(G62,1+C$8)</f>
        <v>42017.4</v>
      </c>
      <c r="I62" s="93">
        <f t="shared" ref="I62:L62" si="19">PRODUCT(H62,1+D$8)</f>
        <v>71505.934999999998</v>
      </c>
      <c r="J62" s="93">
        <f t="shared" si="19"/>
        <v>101959.50825</v>
      </c>
      <c r="K62" s="93">
        <f t="shared" si="19"/>
        <v>145292.299256</v>
      </c>
      <c r="L62" s="93">
        <f t="shared" si="19"/>
        <v>196144.60399599999</v>
      </c>
      <c r="M62" s="23"/>
      <c r="N62" s="75">
        <f t="shared" si="17"/>
        <v>0.31843988212733754</v>
      </c>
      <c r="O62" s="76">
        <f t="shared" si="18"/>
        <v>0.46989664107270102</v>
      </c>
    </row>
    <row r="63" spans="1:16" ht="6" customHeight="1" x14ac:dyDescent="0.35">
      <c r="B63" s="11"/>
      <c r="D63" s="23"/>
      <c r="E63" s="23"/>
      <c r="F63" s="23"/>
      <c r="G63" s="49"/>
      <c r="H63" s="23"/>
      <c r="I63" s="23"/>
      <c r="J63" s="23"/>
      <c r="K63" s="23"/>
      <c r="L63" s="23"/>
      <c r="M63" s="23"/>
      <c r="N63" s="81"/>
      <c r="O63" s="82"/>
    </row>
    <row r="64" spans="1:16" ht="24" customHeight="1" x14ac:dyDescent="0.35">
      <c r="B64" s="16" t="s">
        <v>11</v>
      </c>
      <c r="E64" s="21">
        <f>E62/D62-1</f>
        <v>0.36005005970423443</v>
      </c>
      <c r="F64" s="21">
        <f t="shared" ref="F64:H64" si="20">F62/E62-1</f>
        <v>0.11547582827289915</v>
      </c>
      <c r="G64" s="50">
        <f t="shared" si="20"/>
        <v>0.51065724388043621</v>
      </c>
      <c r="H64" s="21">
        <f t="shared" si="20"/>
        <v>0.68399174023481346</v>
      </c>
      <c r="I64" s="21">
        <f t="shared" ref="I64" si="21">I62/H62-1</f>
        <v>0.70181722334080621</v>
      </c>
      <c r="J64" s="21">
        <f t="shared" ref="J64" si="22">J62/I62-1</f>
        <v>0.42588874965413703</v>
      </c>
      <c r="K64" s="21">
        <f t="shared" ref="K64" si="23">K62/J62-1</f>
        <v>0.42499999999754801</v>
      </c>
      <c r="L64" s="21">
        <f t="shared" ref="L64" si="24">L62/K62-1</f>
        <v>0.350000000002753</v>
      </c>
      <c r="M64" s="21"/>
      <c r="N64" s="83"/>
      <c r="O64" s="84"/>
    </row>
    <row r="65" spans="2:15" ht="24" customHeight="1" x14ac:dyDescent="0.35">
      <c r="B65" s="41" t="s">
        <v>24</v>
      </c>
      <c r="D65" s="42">
        <f>D62/D68</f>
        <v>1814.5</v>
      </c>
      <c r="E65" s="42">
        <f t="shared" ref="E65:L65" si="25">E62/E68</f>
        <v>1850.858125</v>
      </c>
      <c r="F65" s="42">
        <f t="shared" si="25"/>
        <v>2064.5875000000001</v>
      </c>
      <c r="G65" s="51">
        <f t="shared" si="25"/>
        <v>1919.3132692307695</v>
      </c>
      <c r="H65" s="42">
        <f t="shared" si="25"/>
        <v>1616.0538461538463</v>
      </c>
      <c r="I65" s="42">
        <f t="shared" si="25"/>
        <v>1459.3047959183673</v>
      </c>
      <c r="J65" s="42">
        <f t="shared" si="25"/>
        <v>1396.7055924657534</v>
      </c>
      <c r="K65" s="42">
        <f t="shared" si="25"/>
        <v>1513.4614505833333</v>
      </c>
      <c r="L65" s="42">
        <f t="shared" si="25"/>
        <v>1767.0685044684683</v>
      </c>
      <c r="M65" s="21"/>
      <c r="N65" s="73">
        <f>IFERROR(RATE($G$55-$D$55,0,-$D65,$G65),"N/A")</f>
        <v>1.8895469341747184E-2</v>
      </c>
      <c r="O65" s="74">
        <f>IFERROR(RATE($L$55-$H$55,0,-$H65,$L65),"N/A")</f>
        <v>2.25849337738609E-2</v>
      </c>
    </row>
    <row r="66" spans="2:15" ht="24" customHeight="1" x14ac:dyDescent="0.35">
      <c r="G66" s="47"/>
      <c r="N66" s="77"/>
      <c r="O66" s="78"/>
    </row>
    <row r="67" spans="2:15" ht="24" customHeight="1" x14ac:dyDescent="0.35">
      <c r="B67" s="1" t="s">
        <v>22</v>
      </c>
      <c r="G67" s="47"/>
      <c r="N67" s="77"/>
      <c r="O67" s="78"/>
    </row>
    <row r="68" spans="2:15" ht="24" customHeight="1" x14ac:dyDescent="0.35">
      <c r="B68" s="22" t="s">
        <v>23</v>
      </c>
      <c r="D68" s="14">
        <v>6</v>
      </c>
      <c r="E68" s="14">
        <v>8</v>
      </c>
      <c r="F68" s="14">
        <v>8</v>
      </c>
      <c r="G68" s="48">
        <v>13</v>
      </c>
      <c r="H68" s="13">
        <f>C16</f>
        <v>26</v>
      </c>
      <c r="I68" s="13">
        <f>D16</f>
        <v>49</v>
      </c>
      <c r="J68" s="13">
        <f>E16</f>
        <v>73</v>
      </c>
      <c r="K68" s="13">
        <f>F16</f>
        <v>96</v>
      </c>
      <c r="L68" s="13">
        <f>G16</f>
        <v>111</v>
      </c>
      <c r="N68" s="73">
        <f>IFERROR(RATE($G$55-$D$55,0,-$D68,$G68),"N/A")</f>
        <v>0.29398934610938432</v>
      </c>
      <c r="O68" s="74">
        <f>IFERROR(RATE($L$55-$H$55,0,-$H68,$L68),"N/A")</f>
        <v>0.43743232715986458</v>
      </c>
    </row>
    <row r="69" spans="2:15" ht="24" customHeight="1" x14ac:dyDescent="0.35">
      <c r="B69" s="44" t="s">
        <v>11</v>
      </c>
      <c r="D69" s="14"/>
      <c r="E69" s="21">
        <f>E68/D68-1</f>
        <v>0.33333333333333326</v>
      </c>
      <c r="F69" s="21">
        <f t="shared" ref="F69:L69" si="26">F68/E68-1</f>
        <v>0</v>
      </c>
      <c r="G69" s="50">
        <f t="shared" si="26"/>
        <v>0.625</v>
      </c>
      <c r="H69" s="21">
        <f t="shared" si="26"/>
        <v>1</v>
      </c>
      <c r="I69" s="21">
        <f t="shared" si="26"/>
        <v>0.88461538461538458</v>
      </c>
      <c r="J69" s="21">
        <f t="shared" si="26"/>
        <v>0.48979591836734704</v>
      </c>
      <c r="K69" s="21">
        <f t="shared" si="26"/>
        <v>0.31506849315068486</v>
      </c>
      <c r="L69" s="21">
        <f t="shared" si="26"/>
        <v>0.15625</v>
      </c>
      <c r="N69" s="77"/>
      <c r="O69" s="78"/>
    </row>
    <row r="70" spans="2:15" ht="24" customHeight="1" x14ac:dyDescent="0.35">
      <c r="B70" s="22" t="s">
        <v>38</v>
      </c>
      <c r="D70" s="14">
        <v>4</v>
      </c>
      <c r="E70" s="14">
        <v>6</v>
      </c>
      <c r="F70" s="14">
        <v>7</v>
      </c>
      <c r="G70" s="48">
        <v>11</v>
      </c>
      <c r="H70" s="13">
        <f>C17</f>
        <v>21</v>
      </c>
      <c r="I70" s="13">
        <f>D17</f>
        <v>40</v>
      </c>
      <c r="J70" s="13">
        <f>E17</f>
        <v>59</v>
      </c>
      <c r="K70" s="13">
        <f>F17</f>
        <v>77</v>
      </c>
      <c r="L70" s="13">
        <f>G17</f>
        <v>89</v>
      </c>
      <c r="N70" s="73">
        <f>IFERROR(RATE($G$55-$D$55,0,-$D70,$G70),"N/A")</f>
        <v>0.40101966532740135</v>
      </c>
      <c r="O70" s="74">
        <f>IFERROR(RATE($L$55-$H$55,0,-$H70,$L70),"N/A")</f>
        <v>0.43480432783151818</v>
      </c>
    </row>
    <row r="71" spans="2:15" ht="24" customHeight="1" x14ac:dyDescent="0.35">
      <c r="B71" s="44" t="s">
        <v>11</v>
      </c>
      <c r="D71" s="14"/>
      <c r="E71" s="21">
        <f>E70/D70-1</f>
        <v>0.5</v>
      </c>
      <c r="F71" s="21">
        <f t="shared" ref="F71" si="27">F70/E70-1</f>
        <v>0.16666666666666674</v>
      </c>
      <c r="G71" s="50">
        <f t="shared" ref="G71" si="28">G70/F70-1</f>
        <v>0.5714285714285714</v>
      </c>
      <c r="H71" s="21">
        <f t="shared" ref="H71" si="29">H70/G70-1</f>
        <v>0.90909090909090917</v>
      </c>
      <c r="I71" s="21">
        <f t="shared" ref="I71" si="30">I70/H70-1</f>
        <v>0.90476190476190466</v>
      </c>
      <c r="J71" s="21">
        <f t="shared" ref="J71" si="31">J70/I70-1</f>
        <v>0.47500000000000009</v>
      </c>
      <c r="K71" s="21">
        <f t="shared" ref="K71" si="32">K70/J70-1</f>
        <v>0.30508474576271194</v>
      </c>
      <c r="L71" s="21">
        <f t="shared" ref="L71" si="33">L70/K70-1</f>
        <v>0.1558441558441559</v>
      </c>
      <c r="N71" s="77"/>
      <c r="O71" s="78"/>
    </row>
    <row r="72" spans="2:15" ht="24" customHeight="1" x14ac:dyDescent="0.35">
      <c r="G72" s="47"/>
      <c r="N72" s="77"/>
      <c r="O72" s="78"/>
    </row>
    <row r="73" spans="2:15" ht="24" customHeight="1" x14ac:dyDescent="0.35">
      <c r="B73" s="1" t="s">
        <v>12</v>
      </c>
      <c r="G73" s="47"/>
      <c r="N73" s="77"/>
      <c r="O73" s="78"/>
    </row>
    <row r="74" spans="2:15" ht="24" customHeight="1" x14ac:dyDescent="0.35">
      <c r="B74" s="22" t="s">
        <v>0</v>
      </c>
      <c r="D74" s="43">
        <f>D59/D$62</f>
        <v>0.97207678883071558</v>
      </c>
      <c r="E74" s="43">
        <f t="shared" ref="E74:G74" si="34">E59/E$62</f>
        <v>0.90917287352859633</v>
      </c>
      <c r="F74" s="43">
        <f t="shared" si="34"/>
        <v>0.82934242312326312</v>
      </c>
      <c r="G74" s="52">
        <f t="shared" si="34"/>
        <v>0.57452129562767285</v>
      </c>
      <c r="H74" s="43">
        <f t="shared" ref="H74:L74" si="35">H59/H$62</f>
        <v>0.59704684249858397</v>
      </c>
      <c r="I74" s="43">
        <f t="shared" si="35"/>
        <v>0.62625479968900477</v>
      </c>
      <c r="J74" s="43">
        <f t="shared" si="35"/>
        <v>0.65048221150085828</v>
      </c>
      <c r="K74" s="43">
        <f t="shared" si="35"/>
        <v>0.67999999999944938</v>
      </c>
      <c r="L74" s="43">
        <f t="shared" si="35"/>
        <v>0.69999999999898033</v>
      </c>
      <c r="M74" s="21"/>
      <c r="N74" s="83"/>
      <c r="O74" s="84"/>
    </row>
    <row r="75" spans="2:15" ht="24" customHeight="1" x14ac:dyDescent="0.35">
      <c r="B75" s="22" t="s">
        <v>1</v>
      </c>
      <c r="D75" s="43">
        <f>D60/D$62</f>
        <v>2.7923211169284468E-2</v>
      </c>
      <c r="E75" s="43">
        <f t="shared" ref="E75:G76" si="36">E60/E$62</f>
        <v>8.0840880226840731E-2</v>
      </c>
      <c r="F75" s="43">
        <f t="shared" si="36"/>
        <v>0.15021160401290815</v>
      </c>
      <c r="G75" s="52">
        <f t="shared" si="36"/>
        <v>0.425458665153572</v>
      </c>
      <c r="H75" s="43">
        <f t="shared" ref="H75:L75" si="37">H60/H$62</f>
        <v>0.40295315750141608</v>
      </c>
      <c r="I75" s="43">
        <f t="shared" si="37"/>
        <v>0.37374520031099517</v>
      </c>
      <c r="J75" s="43">
        <f t="shared" si="37"/>
        <v>0.34951778849914178</v>
      </c>
      <c r="K75" s="43">
        <f t="shared" si="37"/>
        <v>0.32000000000055062</v>
      </c>
      <c r="L75" s="43">
        <f t="shared" si="37"/>
        <v>0.30000000000101967</v>
      </c>
      <c r="M75" s="21"/>
      <c r="N75" s="83"/>
      <c r="O75" s="84"/>
    </row>
    <row r="76" spans="2:15" ht="24" customHeight="1" thickBot="1" x14ac:dyDescent="0.4">
      <c r="B76" s="22" t="s">
        <v>6</v>
      </c>
      <c r="D76" s="43">
        <f>D61/D$62</f>
        <v>0</v>
      </c>
      <c r="E76" s="43">
        <f t="shared" si="36"/>
        <v>9.986246244562888E-3</v>
      </c>
      <c r="F76" s="43">
        <f t="shared" si="36"/>
        <v>2.0445972863828755E-2</v>
      </c>
      <c r="G76" s="52">
        <f t="shared" si="36"/>
        <v>2.0039218755025459E-5</v>
      </c>
      <c r="H76" s="43">
        <f t="shared" ref="H76:L76" si="38">H61/H$62</f>
        <v>0</v>
      </c>
      <c r="I76" s="43">
        <f t="shared" si="38"/>
        <v>0</v>
      </c>
      <c r="J76" s="43">
        <f t="shared" si="38"/>
        <v>0</v>
      </c>
      <c r="K76" s="43">
        <f t="shared" si="38"/>
        <v>0</v>
      </c>
      <c r="L76" s="43">
        <f t="shared" si="38"/>
        <v>0</v>
      </c>
      <c r="M76" s="21"/>
      <c r="N76" s="85"/>
      <c r="O76" s="86"/>
    </row>
    <row r="78" spans="2:15" ht="24" customHeight="1" x14ac:dyDescent="0.35">
      <c r="D78" s="147" t="s">
        <v>7</v>
      </c>
      <c r="E78" s="147"/>
      <c r="F78" s="147"/>
      <c r="G78" s="148"/>
      <c r="H78" s="147" t="s">
        <v>14</v>
      </c>
      <c r="I78" s="147"/>
      <c r="J78" s="147"/>
      <c r="K78" s="147"/>
      <c r="L78" s="147"/>
      <c r="M78" s="9"/>
      <c r="N78" s="9"/>
      <c r="O78" s="9"/>
    </row>
    <row r="79" spans="2:15" ht="24" customHeight="1" x14ac:dyDescent="0.35">
      <c r="D79" s="10">
        <v>42735</v>
      </c>
      <c r="E79" s="6">
        <f>EOMONTH(D79,12)</f>
        <v>43100</v>
      </c>
      <c r="F79" s="6">
        <f>EOMONTH(E79,12)</f>
        <v>43465</v>
      </c>
      <c r="G79" s="25">
        <f>EOMONTH(F79,12)</f>
        <v>43830</v>
      </c>
      <c r="H79" s="6">
        <f>EOMONTH(G79,12)</f>
        <v>44196</v>
      </c>
      <c r="I79" s="6">
        <f t="shared" ref="I79:L79" si="39">EOMONTH(H79,12)</f>
        <v>44561</v>
      </c>
      <c r="J79" s="6">
        <f t="shared" si="39"/>
        <v>44926</v>
      </c>
      <c r="K79" s="6">
        <f t="shared" si="39"/>
        <v>45291</v>
      </c>
      <c r="L79" s="6">
        <f t="shared" si="39"/>
        <v>45657</v>
      </c>
      <c r="M79" s="10"/>
      <c r="N79" s="38" t="str">
        <f>"'16A - '19A"</f>
        <v>'16A - '19A</v>
      </c>
      <c r="O79" s="38" t="str">
        <f>"'20E - '24E"</f>
        <v>'20E - '24E</v>
      </c>
    </row>
    <row r="80" spans="2:15" ht="24" customHeight="1" thickBot="1" x14ac:dyDescent="0.4">
      <c r="B80" s="7"/>
      <c r="C80" s="7"/>
      <c r="D80" s="7">
        <f>YEAR(D79)</f>
        <v>2016</v>
      </c>
      <c r="E80" s="7">
        <f>YEAR(E79)</f>
        <v>2017</v>
      </c>
      <c r="F80" s="7">
        <f>YEAR(F79)</f>
        <v>2018</v>
      </c>
      <c r="G80" s="8">
        <f>YEAR(G79)</f>
        <v>2019</v>
      </c>
      <c r="H80" s="24">
        <f>YEAR(H79)</f>
        <v>2020</v>
      </c>
      <c r="I80" s="24">
        <f t="shared" ref="I80" si="40">YEAR(I79)</f>
        <v>2021</v>
      </c>
      <c r="J80" s="24">
        <f t="shared" ref="J80" si="41">YEAR(J79)</f>
        <v>2022</v>
      </c>
      <c r="K80" s="24">
        <f t="shared" ref="K80" si="42">YEAR(K79)</f>
        <v>2023</v>
      </c>
      <c r="L80" s="24">
        <f t="shared" ref="L80" si="43">YEAR(L79)</f>
        <v>2024</v>
      </c>
      <c r="M80" s="24"/>
      <c r="N80" s="39" t="s">
        <v>25</v>
      </c>
      <c r="O80" s="39" t="s">
        <v>25</v>
      </c>
    </row>
    <row r="81" spans="2:15" ht="6" customHeight="1" thickTop="1" x14ac:dyDescent="0.35">
      <c r="G81" s="45"/>
    </row>
    <row r="82" spans="2:15" ht="24" customHeight="1" x14ac:dyDescent="0.35">
      <c r="B82" s="26" t="s">
        <v>2</v>
      </c>
      <c r="C82" s="27"/>
      <c r="D82" s="27"/>
      <c r="E82" s="27"/>
      <c r="F82" s="27"/>
      <c r="G82" s="46"/>
      <c r="H82" s="27"/>
      <c r="I82" s="27"/>
      <c r="J82" s="27"/>
      <c r="K82" s="27"/>
      <c r="L82" s="27"/>
      <c r="M82" s="27"/>
      <c r="N82" s="27"/>
      <c r="O82" s="27"/>
    </row>
    <row r="83" spans="2:15" ht="6" customHeight="1" thickBot="1" x14ac:dyDescent="0.4">
      <c r="G83" s="62"/>
    </row>
    <row r="84" spans="2:15" ht="24" customHeight="1" x14ac:dyDescent="0.35">
      <c r="B84" s="1" t="s">
        <v>46</v>
      </c>
      <c r="D84" s="56">
        <f>AVERAGE($C27:$G27)*D$87</f>
        <v>6452.9480454500917</v>
      </c>
      <c r="E84" s="54">
        <v>9384.0249999999996</v>
      </c>
      <c r="F84" s="54">
        <v>11241.66</v>
      </c>
      <c r="G84" s="63">
        <v>11937.493619999997</v>
      </c>
      <c r="H84" s="56">
        <f t="shared" ref="H84:L86" si="44">PRODUCT(H$87,C27)</f>
        <v>16914.655303333333</v>
      </c>
      <c r="I84" s="56">
        <f t="shared" si="44"/>
        <v>24733</v>
      </c>
      <c r="J84" s="56">
        <f t="shared" si="44"/>
        <v>48670.188209899999</v>
      </c>
      <c r="K84" s="56">
        <f t="shared" si="44"/>
        <v>72718.101798799995</v>
      </c>
      <c r="L84" s="56">
        <f t="shared" si="44"/>
        <v>104964.8446343</v>
      </c>
      <c r="N84" s="71">
        <f>IFERROR(RATE($G$80-$D$80,0,-$D84,$G84),"N/A")</f>
        <v>0.22758524939749555</v>
      </c>
      <c r="O84" s="72">
        <f>IFERROR(RATE($L$80-$H$80,0,-$H84,$L84),"N/A")</f>
        <v>0.57832043262164745</v>
      </c>
    </row>
    <row r="85" spans="2:15" ht="24" customHeight="1" x14ac:dyDescent="0.35">
      <c r="B85" s="1" t="s">
        <v>74</v>
      </c>
      <c r="D85" s="32">
        <f>AVERAGE($C28:$G28)*D$87</f>
        <v>3852.4599545499077</v>
      </c>
      <c r="E85" s="14">
        <v>1107.8990000000006</v>
      </c>
      <c r="F85" s="14">
        <v>1685.7919999999995</v>
      </c>
      <c r="G85" s="64">
        <v>4044.09924</v>
      </c>
      <c r="H85" s="32">
        <f t="shared" si="44"/>
        <v>12492.516680000001</v>
      </c>
      <c r="I85" s="32">
        <f t="shared" si="44"/>
        <v>19325</v>
      </c>
      <c r="J85" s="32">
        <f t="shared" si="44"/>
        <v>27638.310760100019</v>
      </c>
      <c r="K85" s="32">
        <f t="shared" si="44"/>
        <v>35993.517048000002</v>
      </c>
      <c r="L85" s="32">
        <f t="shared" si="44"/>
        <v>47694.204847299996</v>
      </c>
      <c r="N85" s="73">
        <f>IFERROR(RATE($G$80-$D$80,0,-$D85,$G85),"N/A")</f>
        <v>1.6313958617078541E-2</v>
      </c>
      <c r="O85" s="74">
        <f t="shared" ref="O85:O87" si="45">IFERROR(RATE($L$80-$H$80,0,-$H85,$L85),"N/A")</f>
        <v>0.39782858920317593</v>
      </c>
    </row>
    <row r="86" spans="2:15" ht="24" customHeight="1" x14ac:dyDescent="0.35">
      <c r="B86" s="1" t="s">
        <v>75</v>
      </c>
      <c r="D86" s="32">
        <f>AVERAGE($C29:$G29)*D$87</f>
        <v>0</v>
      </c>
      <c r="E86" s="14">
        <v>0</v>
      </c>
      <c r="F86" s="14">
        <v>0</v>
      </c>
      <c r="G86" s="64">
        <v>0</v>
      </c>
      <c r="H86" s="32">
        <f t="shared" si="44"/>
        <v>0</v>
      </c>
      <c r="I86" s="32">
        <f t="shared" si="44"/>
        <v>0</v>
      </c>
      <c r="J86" s="32">
        <f t="shared" si="44"/>
        <v>0</v>
      </c>
      <c r="K86" s="32">
        <f t="shared" si="44"/>
        <v>0</v>
      </c>
      <c r="L86" s="32">
        <f t="shared" si="44"/>
        <v>0</v>
      </c>
      <c r="N86" s="73" t="str">
        <f>IFERROR(RATE($G$80-$D$80,0,-$D86,$G86),"N/A")</f>
        <v>N/A</v>
      </c>
      <c r="O86" s="74" t="str">
        <f t="shared" si="45"/>
        <v>N/A</v>
      </c>
    </row>
    <row r="87" spans="2:15" ht="24" customHeight="1" x14ac:dyDescent="0.35">
      <c r="B87" s="91" t="s">
        <v>3</v>
      </c>
      <c r="C87" s="92"/>
      <c r="D87" s="95">
        <v>10305.407999999999</v>
      </c>
      <c r="E87" s="93">
        <f>SUM(E84:E86)</f>
        <v>10491.924000000001</v>
      </c>
      <c r="F87" s="93">
        <f t="shared" ref="F87:G87" si="46">SUM(F84:F86)</f>
        <v>12927.451999999999</v>
      </c>
      <c r="G87" s="96">
        <f t="shared" si="46"/>
        <v>15981.592859999997</v>
      </c>
      <c r="H87" s="97">
        <f>PRODUCT(C$23,H$62)+PRODUCT(C$24,G$62)</f>
        <v>29407.171983333334</v>
      </c>
      <c r="I87" s="97">
        <f>PRODUCT(D$23,I$62)+PRODUCT(D$24,H$62)</f>
        <v>44058</v>
      </c>
      <c r="J87" s="97">
        <f>PRODUCT(E$23,J$62)+PRODUCT(E$24,I$62)</f>
        <v>76308.498970000015</v>
      </c>
      <c r="K87" s="97">
        <f>PRODUCT(F$23,K$62)+PRODUCT(F$24,J$62)</f>
        <v>108711.61884679999</v>
      </c>
      <c r="L87" s="97">
        <f>PRODUCT(G$23,L$62)+PRODUCT(G$24,K$62)</f>
        <v>152659.0494816</v>
      </c>
      <c r="N87" s="75">
        <f>IFERROR(RATE($G$80-$D$80,0,-$D87,$G87),"N/A")</f>
        <v>0.15749277984395885</v>
      </c>
      <c r="O87" s="76">
        <f t="shared" si="45"/>
        <v>0.5094451041478093</v>
      </c>
    </row>
    <row r="88" spans="2:15" ht="6" customHeight="1" x14ac:dyDescent="0.35">
      <c r="E88" s="60"/>
      <c r="G88" s="65"/>
      <c r="H88" s="60"/>
      <c r="I88" s="60"/>
      <c r="J88" s="60"/>
      <c r="K88" s="60"/>
      <c r="L88" s="60"/>
      <c r="N88" s="77"/>
      <c r="O88" s="78"/>
    </row>
    <row r="89" spans="2:15" ht="24" customHeight="1" x14ac:dyDescent="0.35">
      <c r="B89" s="16" t="s">
        <v>11</v>
      </c>
      <c r="E89" s="21">
        <f>E87/D87-1</f>
        <v>1.8098846741439134E-2</v>
      </c>
      <c r="F89" s="21">
        <f t="shared" ref="F89" si="47">F87/E87-1</f>
        <v>0.23213359151286239</v>
      </c>
      <c r="G89" s="66">
        <f t="shared" ref="G89" si="48">G87/F87-1</f>
        <v>0.23625234578322152</v>
      </c>
      <c r="H89" s="21">
        <f t="shared" ref="H89" si="49">H87/G87-1</f>
        <v>0.84006514500415941</v>
      </c>
      <c r="I89" s="21">
        <f t="shared" ref="I89" si="50">I87/H87-1</f>
        <v>0.49820594870428536</v>
      </c>
      <c r="J89" s="21">
        <f t="shared" ref="J89" si="51">J87/I87-1</f>
        <v>0.73200097530527986</v>
      </c>
      <c r="K89" s="21">
        <f t="shared" ref="K89" si="52">K87/J87-1</f>
        <v>0.42463317080236318</v>
      </c>
      <c r="L89" s="21">
        <f t="shared" ref="L89" si="53">L87/K87-1</f>
        <v>0.40425697916183356</v>
      </c>
      <c r="N89" s="77"/>
      <c r="O89" s="78"/>
    </row>
    <row r="90" spans="2:15" ht="24" customHeight="1" x14ac:dyDescent="0.35">
      <c r="B90" s="41" t="s">
        <v>30</v>
      </c>
      <c r="D90" s="42">
        <f>D87/D$68</f>
        <v>1717.568</v>
      </c>
      <c r="E90" s="42">
        <f t="shared" ref="E90:L90" si="54">E87/E$68</f>
        <v>1311.4905000000001</v>
      </c>
      <c r="F90" s="42">
        <f t="shared" si="54"/>
        <v>1615.9314999999999</v>
      </c>
      <c r="G90" s="51">
        <f t="shared" si="54"/>
        <v>1229.3532969230766</v>
      </c>
      <c r="H90" s="42">
        <f t="shared" si="54"/>
        <v>1131.0450762820512</v>
      </c>
      <c r="I90" s="42">
        <f t="shared" si="54"/>
        <v>899.14285714285711</v>
      </c>
      <c r="J90" s="42">
        <f t="shared" si="54"/>
        <v>1045.3219036986304</v>
      </c>
      <c r="K90" s="42">
        <f t="shared" si="54"/>
        <v>1132.4126963208332</v>
      </c>
      <c r="L90" s="42">
        <f t="shared" si="54"/>
        <v>1375.3067520864865</v>
      </c>
      <c r="N90" s="73">
        <f>IFERROR(RATE($G$55-$D$55,0,-$D90,$G90),"N/A")</f>
        <v>-0.1054850773507723</v>
      </c>
      <c r="O90" s="74">
        <f t="shared" ref="O90:O91" si="55">IFERROR(RATE($L$80-$H$80,0,-$H90,$L90),"N/A")</f>
        <v>5.0098203322354373E-2</v>
      </c>
    </row>
    <row r="91" spans="2:15" ht="24" customHeight="1" x14ac:dyDescent="0.35">
      <c r="B91" s="41" t="s">
        <v>64</v>
      </c>
      <c r="D91" s="42">
        <f>D87/D136</f>
        <v>198.18092307692308</v>
      </c>
      <c r="E91" s="42">
        <f t="shared" ref="E91:L91" si="56">E87/E136</f>
        <v>134.51184615384616</v>
      </c>
      <c r="F91" s="42">
        <f t="shared" si="56"/>
        <v>104.25364516129032</v>
      </c>
      <c r="G91" s="51">
        <f t="shared" si="56"/>
        <v>109.46296479452053</v>
      </c>
      <c r="H91" s="42">
        <f t="shared" si="56"/>
        <v>180.41209805725973</v>
      </c>
      <c r="I91" s="42">
        <f t="shared" si="56"/>
        <v>212.84057971014494</v>
      </c>
      <c r="J91" s="42">
        <f t="shared" si="56"/>
        <v>289.04734458333337</v>
      </c>
      <c r="K91" s="42">
        <f t="shared" si="56"/>
        <v>331.43786233780486</v>
      </c>
      <c r="L91" s="42">
        <f t="shared" si="56"/>
        <v>383.56545095879397</v>
      </c>
      <c r="N91" s="73">
        <f>IFERROR(RATE($G$55-$D$55,0,-$D91,$G91),"N/A")</f>
        <v>-0.17951914205182101</v>
      </c>
      <c r="O91" s="74">
        <f t="shared" si="55"/>
        <v>0.20751756312880734</v>
      </c>
    </row>
    <row r="92" spans="2:15" ht="24" customHeight="1" x14ac:dyDescent="0.35">
      <c r="G92" s="47"/>
      <c r="N92" s="77"/>
      <c r="O92" s="78"/>
    </row>
    <row r="93" spans="2:15" ht="24" customHeight="1" x14ac:dyDescent="0.35">
      <c r="B93" s="1" t="s">
        <v>32</v>
      </c>
      <c r="G93" s="47"/>
      <c r="N93" s="77"/>
      <c r="O93" s="78"/>
    </row>
    <row r="94" spans="2:15" ht="24" customHeight="1" x14ac:dyDescent="0.35">
      <c r="B94" s="22" t="s">
        <v>0</v>
      </c>
      <c r="D94" s="43">
        <f>D84/D$87</f>
        <v>0.62617104004519686</v>
      </c>
      <c r="E94" s="43">
        <f t="shared" ref="E94:G94" si="57">E84/E$87</f>
        <v>0.89440459156966812</v>
      </c>
      <c r="F94" s="43">
        <f t="shared" si="57"/>
        <v>0.86959595750191143</v>
      </c>
      <c r="G94" s="52">
        <f t="shared" si="57"/>
        <v>0.74695268015981731</v>
      </c>
      <c r="H94" s="43">
        <f t="shared" ref="H94:L94" si="58">H84/H$87</f>
        <v>0.57518809741106014</v>
      </c>
      <c r="I94" s="43">
        <f t="shared" si="58"/>
        <v>0.56137364383312904</v>
      </c>
      <c r="J94" s="43">
        <f t="shared" si="58"/>
        <v>0.63780822407520077</v>
      </c>
      <c r="K94" s="43">
        <f t="shared" si="58"/>
        <v>0.66890827834398037</v>
      </c>
      <c r="L94" s="43">
        <f t="shared" si="58"/>
        <v>0.68757695656261386</v>
      </c>
      <c r="N94" s="77"/>
      <c r="O94" s="78"/>
    </row>
    <row r="95" spans="2:15" ht="24" customHeight="1" x14ac:dyDescent="0.35">
      <c r="B95" s="22" t="s">
        <v>1</v>
      </c>
      <c r="D95" s="43">
        <f>D85/D$87</f>
        <v>0.37382895995480314</v>
      </c>
      <c r="E95" s="43">
        <f t="shared" ref="E95:G96" si="59">E85/E$87</f>
        <v>0.1055954084303318</v>
      </c>
      <c r="F95" s="43">
        <f t="shared" si="59"/>
        <v>0.13040404249808854</v>
      </c>
      <c r="G95" s="52">
        <f t="shared" si="59"/>
        <v>0.25304731984018275</v>
      </c>
      <c r="H95" s="43">
        <f t="shared" ref="H95:L95" si="60">H85/H$87</f>
        <v>0.4248119025889398</v>
      </c>
      <c r="I95" s="43">
        <f t="shared" si="60"/>
        <v>0.43862635616687096</v>
      </c>
      <c r="J95" s="43">
        <f t="shared" si="60"/>
        <v>0.36219177592479923</v>
      </c>
      <c r="K95" s="43">
        <f t="shared" si="60"/>
        <v>0.33109172165601963</v>
      </c>
      <c r="L95" s="43">
        <f t="shared" si="60"/>
        <v>0.31242304343738614</v>
      </c>
      <c r="N95" s="77"/>
      <c r="O95" s="78"/>
    </row>
    <row r="96" spans="2:15" ht="24" customHeight="1" x14ac:dyDescent="0.35">
      <c r="B96" s="22" t="s">
        <v>6</v>
      </c>
      <c r="D96" s="43">
        <f>D86/D$87</f>
        <v>0</v>
      </c>
      <c r="E96" s="43">
        <f t="shared" si="59"/>
        <v>0</v>
      </c>
      <c r="F96" s="43">
        <f t="shared" si="59"/>
        <v>0</v>
      </c>
      <c r="G96" s="52">
        <f t="shared" si="59"/>
        <v>0</v>
      </c>
      <c r="H96" s="43">
        <f t="shared" ref="H96:L96" si="61">H86/H$87</f>
        <v>0</v>
      </c>
      <c r="I96" s="43">
        <f t="shared" si="61"/>
        <v>0</v>
      </c>
      <c r="J96" s="43">
        <f t="shared" si="61"/>
        <v>0</v>
      </c>
      <c r="K96" s="43">
        <f t="shared" si="61"/>
        <v>0</v>
      </c>
      <c r="L96" s="43">
        <f t="shared" si="61"/>
        <v>0</v>
      </c>
      <c r="N96" s="77"/>
      <c r="O96" s="78"/>
    </row>
    <row r="97" spans="2:15" ht="24" customHeight="1" x14ac:dyDescent="0.35">
      <c r="G97" s="47"/>
      <c r="N97" s="77"/>
      <c r="O97" s="78"/>
    </row>
    <row r="98" spans="2:15" ht="24" customHeight="1" x14ac:dyDescent="0.35">
      <c r="B98" s="1" t="s">
        <v>34</v>
      </c>
      <c r="D98" s="56">
        <f>D100/D99</f>
        <v>440.95833333333331</v>
      </c>
      <c r="E98" s="54">
        <v>780.58333333333337</v>
      </c>
      <c r="F98" s="54">
        <v>971.75</v>
      </c>
      <c r="G98" s="55">
        <v>1194.9166666666667</v>
      </c>
      <c r="H98" s="54">
        <v>1612.9166666666667</v>
      </c>
      <c r="I98" s="54">
        <v>2855.9166666666665</v>
      </c>
      <c r="J98" s="54">
        <v>4593</v>
      </c>
      <c r="K98" s="54">
        <v>6916</v>
      </c>
      <c r="L98" s="54">
        <v>9744.25</v>
      </c>
      <c r="N98" s="73">
        <f>IFERROR(RATE($G$80-$D$80,0,-$D98,$G98),"N/A")</f>
        <v>0.39416236452994463</v>
      </c>
      <c r="O98" s="74">
        <f t="shared" ref="O98" si="62">IFERROR(RATE($L$80-$H$80,0,-$H98,$L98),"N/A")</f>
        <v>0.56777639778008837</v>
      </c>
    </row>
    <row r="99" spans="2:15" ht="24" customHeight="1" x14ac:dyDescent="0.35">
      <c r="B99" s="1" t="s">
        <v>35</v>
      </c>
      <c r="D99" s="53">
        <v>12</v>
      </c>
      <c r="E99" s="12">
        <f>D99</f>
        <v>12</v>
      </c>
      <c r="F99" s="12">
        <f t="shared" ref="F99:L99" si="63">E99</f>
        <v>12</v>
      </c>
      <c r="G99" s="67">
        <f t="shared" si="63"/>
        <v>12</v>
      </c>
      <c r="H99" s="12">
        <f t="shared" si="63"/>
        <v>12</v>
      </c>
      <c r="I99" s="12">
        <f t="shared" si="63"/>
        <v>12</v>
      </c>
      <c r="J99" s="12">
        <f t="shared" si="63"/>
        <v>12</v>
      </c>
      <c r="K99" s="12">
        <f t="shared" si="63"/>
        <v>12</v>
      </c>
      <c r="L99" s="12">
        <f t="shared" si="63"/>
        <v>12</v>
      </c>
      <c r="N99" s="77"/>
      <c r="O99" s="78"/>
    </row>
    <row r="100" spans="2:15" ht="24" customHeight="1" x14ac:dyDescent="0.35">
      <c r="B100" s="91" t="s">
        <v>36</v>
      </c>
      <c r="C100" s="91"/>
      <c r="D100" s="95">
        <v>5291.5</v>
      </c>
      <c r="E100" s="93">
        <f>PRODUCT(E98:E99)</f>
        <v>9367</v>
      </c>
      <c r="F100" s="93">
        <f t="shared" ref="F100:L100" si="64">PRODUCT(F98:F99)</f>
        <v>11661</v>
      </c>
      <c r="G100" s="94">
        <f t="shared" si="64"/>
        <v>14339</v>
      </c>
      <c r="H100" s="93">
        <f t="shared" si="64"/>
        <v>19355</v>
      </c>
      <c r="I100" s="93">
        <f t="shared" si="64"/>
        <v>34271</v>
      </c>
      <c r="J100" s="93">
        <f t="shared" si="64"/>
        <v>55116</v>
      </c>
      <c r="K100" s="93">
        <f t="shared" si="64"/>
        <v>82992</v>
      </c>
      <c r="L100" s="93">
        <f t="shared" si="64"/>
        <v>116931</v>
      </c>
      <c r="N100" s="81">
        <f>IFERROR(RATE($G$80-$D$80,0,-$D100,$G100),"N/A")</f>
        <v>0.39416236452994474</v>
      </c>
      <c r="O100" s="82">
        <f t="shared" ref="O100" si="65">IFERROR(RATE($L$80-$H$80,0,-$H100,$L100),"N/A")</f>
        <v>0.56777639778008848</v>
      </c>
    </row>
    <row r="101" spans="2:15" ht="6" customHeight="1" x14ac:dyDescent="0.35">
      <c r="G101" s="47"/>
      <c r="N101" s="77"/>
      <c r="O101" s="78"/>
    </row>
    <row r="102" spans="2:15" ht="24" customHeight="1" x14ac:dyDescent="0.35">
      <c r="B102" s="16" t="s">
        <v>11</v>
      </c>
      <c r="E102" s="21">
        <f>E100/D100-1</f>
        <v>0.77019748653500897</v>
      </c>
      <c r="F102" s="21">
        <f t="shared" ref="F102" si="66">F100/E100-1</f>
        <v>0.24490231664353579</v>
      </c>
      <c r="G102" s="50">
        <f t="shared" ref="G102" si="67">G100/F100-1</f>
        <v>0.22965440356744704</v>
      </c>
      <c r="H102" s="21">
        <f t="shared" ref="H102" si="68">H100/G100-1</f>
        <v>0.34981518934374778</v>
      </c>
      <c r="I102" s="21">
        <f t="shared" ref="I102" si="69">I100/H100-1</f>
        <v>0.77065357788685085</v>
      </c>
      <c r="J102" s="21">
        <f t="shared" ref="J102" si="70">J100/I100-1</f>
        <v>0.60824020308715832</v>
      </c>
      <c r="K102" s="21">
        <f t="shared" ref="K102" si="71">K100/J100-1</f>
        <v>0.50576964946657954</v>
      </c>
      <c r="L102" s="21">
        <f t="shared" ref="L102" si="72">L100/K100-1</f>
        <v>0.40894303065355686</v>
      </c>
      <c r="N102" s="77"/>
      <c r="O102" s="78"/>
    </row>
    <row r="103" spans="2:15" ht="24" customHeight="1" x14ac:dyDescent="0.35">
      <c r="B103" s="41" t="s">
        <v>110</v>
      </c>
      <c r="D103" s="42">
        <f>D100/D$70</f>
        <v>1322.875</v>
      </c>
      <c r="E103" s="42">
        <f t="shared" ref="E103:L103" si="73">E100/E$70</f>
        <v>1561.1666666666667</v>
      </c>
      <c r="F103" s="42">
        <f t="shared" si="73"/>
        <v>1665.8571428571429</v>
      </c>
      <c r="G103" s="51">
        <f t="shared" si="73"/>
        <v>1303.5454545454545</v>
      </c>
      <c r="H103" s="42">
        <f t="shared" si="73"/>
        <v>921.66666666666663</v>
      </c>
      <c r="I103" s="42">
        <f t="shared" si="73"/>
        <v>856.77499999999998</v>
      </c>
      <c r="J103" s="42">
        <f t="shared" si="73"/>
        <v>934.16949152542372</v>
      </c>
      <c r="K103" s="42">
        <f t="shared" si="73"/>
        <v>1077.8181818181818</v>
      </c>
      <c r="L103" s="42">
        <f t="shared" si="73"/>
        <v>1313.8314606741574</v>
      </c>
      <c r="N103" s="73">
        <f>IFERROR(RATE($G$80-$D$80,0,-$D103,$G103),"N/A")</f>
        <v>-4.8945071701304941E-3</v>
      </c>
      <c r="O103" s="74">
        <f t="shared" ref="O103:O104" si="74">IFERROR(RATE($L$80-$H$80,0,-$H103,$L103),"N/A")</f>
        <v>9.2676100405793882E-2</v>
      </c>
    </row>
    <row r="104" spans="2:15" ht="24" customHeight="1" thickBot="1" x14ac:dyDescent="0.4">
      <c r="B104" s="41" t="s">
        <v>59</v>
      </c>
      <c r="D104" s="42">
        <f>D100/D136</f>
        <v>101.75961538461539</v>
      </c>
      <c r="E104" s="42">
        <f t="shared" ref="E104:L104" si="75">E100/E136</f>
        <v>120.08974358974359</v>
      </c>
      <c r="F104" s="42">
        <f t="shared" si="75"/>
        <v>94.040322580645167</v>
      </c>
      <c r="G104" s="42">
        <f t="shared" si="75"/>
        <v>98.212328767123282</v>
      </c>
      <c r="H104" s="42">
        <f t="shared" si="75"/>
        <v>118.74233128834356</v>
      </c>
      <c r="I104" s="42">
        <f t="shared" si="75"/>
        <v>165.56038647342996</v>
      </c>
      <c r="J104" s="42">
        <f t="shared" si="75"/>
        <v>208.77272727272728</v>
      </c>
      <c r="K104" s="42">
        <f t="shared" si="75"/>
        <v>253.02439024390245</v>
      </c>
      <c r="L104" s="42">
        <f t="shared" si="75"/>
        <v>293.7964824120603</v>
      </c>
      <c r="N104" s="79">
        <f>IFERROR(RATE($G$80-$D$80,0,-$D104,$G104),"N/A")</f>
        <v>-1.175752204580755E-2</v>
      </c>
      <c r="O104" s="80">
        <f t="shared" si="74"/>
        <v>0.25418110945286199</v>
      </c>
    </row>
    <row r="106" spans="2:15" ht="24" customHeight="1" x14ac:dyDescent="0.35">
      <c r="D106" s="147" t="s">
        <v>7</v>
      </c>
      <c r="E106" s="147"/>
      <c r="F106" s="147"/>
      <c r="G106" s="148"/>
      <c r="H106" s="147" t="s">
        <v>14</v>
      </c>
      <c r="I106" s="147"/>
      <c r="J106" s="147"/>
      <c r="K106" s="147"/>
      <c r="L106" s="147"/>
      <c r="M106" s="9"/>
      <c r="N106" s="9"/>
      <c r="O106" s="9"/>
    </row>
    <row r="107" spans="2:15" ht="24" customHeight="1" x14ac:dyDescent="0.35">
      <c r="D107" s="10">
        <v>42735</v>
      </c>
      <c r="E107" s="6">
        <f>EOMONTH(D107,12)</f>
        <v>43100</v>
      </c>
      <c r="F107" s="6">
        <f>EOMONTH(E107,12)</f>
        <v>43465</v>
      </c>
      <c r="G107" s="25">
        <f>EOMONTH(F107,12)</f>
        <v>43830</v>
      </c>
      <c r="H107" s="6">
        <f>EOMONTH(G107,12)</f>
        <v>44196</v>
      </c>
      <c r="I107" s="6">
        <f t="shared" ref="I107:L107" si="76">EOMONTH(H107,12)</f>
        <v>44561</v>
      </c>
      <c r="J107" s="6">
        <f t="shared" si="76"/>
        <v>44926</v>
      </c>
      <c r="K107" s="6">
        <f t="shared" si="76"/>
        <v>45291</v>
      </c>
      <c r="L107" s="6">
        <f t="shared" si="76"/>
        <v>45657</v>
      </c>
      <c r="M107" s="10"/>
      <c r="N107" s="38" t="str">
        <f>"'16A - '19A"</f>
        <v>'16A - '19A</v>
      </c>
      <c r="O107" s="38" t="str">
        <f>"'20E - '24E"</f>
        <v>'20E - '24E</v>
      </c>
    </row>
    <row r="108" spans="2:15" ht="24" customHeight="1" thickBot="1" x14ac:dyDescent="0.4">
      <c r="B108" s="7"/>
      <c r="C108" s="7"/>
      <c r="D108" s="7">
        <f>YEAR(D107)</f>
        <v>2016</v>
      </c>
      <c r="E108" s="7">
        <f>YEAR(E107)</f>
        <v>2017</v>
      </c>
      <c r="F108" s="7">
        <f>YEAR(F107)</f>
        <v>2018</v>
      </c>
      <c r="G108" s="8">
        <f>YEAR(G107)</f>
        <v>2019</v>
      </c>
      <c r="H108" s="24">
        <f>YEAR(H107)</f>
        <v>2020</v>
      </c>
      <c r="I108" s="24">
        <f t="shared" ref="I108" si="77">YEAR(I107)</f>
        <v>2021</v>
      </c>
      <c r="J108" s="24">
        <f t="shared" ref="J108" si="78">YEAR(J107)</f>
        <v>2022</v>
      </c>
      <c r="K108" s="24">
        <f t="shared" ref="K108" si="79">YEAR(K107)</f>
        <v>2023</v>
      </c>
      <c r="L108" s="24">
        <f t="shared" ref="L108" si="80">YEAR(L107)</f>
        <v>2024</v>
      </c>
      <c r="M108" s="24"/>
      <c r="N108" s="39" t="s">
        <v>25</v>
      </c>
      <c r="O108" s="39" t="s">
        <v>25</v>
      </c>
    </row>
    <row r="109" spans="2:15" ht="6" customHeight="1" thickTop="1" x14ac:dyDescent="0.35">
      <c r="G109" s="45"/>
    </row>
    <row r="110" spans="2:15" ht="24" customHeight="1" x14ac:dyDescent="0.35">
      <c r="B110" s="26" t="s">
        <v>60</v>
      </c>
      <c r="C110" s="27"/>
      <c r="D110" s="27"/>
      <c r="E110" s="27"/>
      <c r="F110" s="27"/>
      <c r="G110" s="46"/>
      <c r="H110" s="27"/>
      <c r="I110" s="27"/>
      <c r="J110" s="27"/>
      <c r="K110" s="27"/>
      <c r="L110" s="27"/>
      <c r="M110" s="27"/>
      <c r="N110" s="27"/>
      <c r="O110" s="27"/>
    </row>
    <row r="111" spans="2:15" ht="6" customHeight="1" thickBot="1" x14ac:dyDescent="0.4">
      <c r="G111" s="47"/>
    </row>
    <row r="112" spans="2:15" ht="24" customHeight="1" x14ac:dyDescent="0.35">
      <c r="B112" s="1" t="s">
        <v>46</v>
      </c>
      <c r="D112" s="61">
        <f>D84</f>
        <v>6452.9480454500917</v>
      </c>
      <c r="E112" s="61">
        <f t="shared" ref="E112:L112" si="81">E84</f>
        <v>9384.0249999999996</v>
      </c>
      <c r="F112" s="61">
        <f t="shared" si="81"/>
        <v>11241.66</v>
      </c>
      <c r="G112" s="68">
        <f t="shared" si="81"/>
        <v>11937.493619999997</v>
      </c>
      <c r="H112" s="61">
        <f t="shared" si="81"/>
        <v>16914.655303333333</v>
      </c>
      <c r="I112" s="61">
        <f t="shared" si="81"/>
        <v>24733</v>
      </c>
      <c r="J112" s="61">
        <f t="shared" si="81"/>
        <v>48670.188209899999</v>
      </c>
      <c r="K112" s="61">
        <f t="shared" si="81"/>
        <v>72718.101798799995</v>
      </c>
      <c r="L112" s="61">
        <f t="shared" si="81"/>
        <v>104964.8446343</v>
      </c>
      <c r="N112" s="71">
        <f>IFERROR(RATE($G$108-$D$108,0,-$D112,$G112),"N/A")</f>
        <v>0.22758524939749555</v>
      </c>
      <c r="O112" s="72">
        <f>IFERROR(RATE($L$108-$H$108,0,-$H112,$L112),"N/A")</f>
        <v>0.57832043262164745</v>
      </c>
    </row>
    <row r="113" spans="2:15" ht="24" customHeight="1" x14ac:dyDescent="0.35">
      <c r="B113" s="1" t="s">
        <v>74</v>
      </c>
      <c r="D113" s="13">
        <f>D85</f>
        <v>3852.4599545499077</v>
      </c>
      <c r="E113" s="13">
        <f t="shared" ref="E113:L114" si="82">E85</f>
        <v>1107.8990000000006</v>
      </c>
      <c r="F113" s="13">
        <f t="shared" si="82"/>
        <v>1685.7919999999995</v>
      </c>
      <c r="G113" s="69">
        <f t="shared" si="82"/>
        <v>4044.09924</v>
      </c>
      <c r="H113" s="13">
        <f t="shared" si="82"/>
        <v>12492.516680000001</v>
      </c>
      <c r="I113" s="13">
        <f t="shared" si="82"/>
        <v>19325</v>
      </c>
      <c r="J113" s="13">
        <f t="shared" si="82"/>
        <v>27638.310760100019</v>
      </c>
      <c r="K113" s="13">
        <f t="shared" si="82"/>
        <v>35993.517048000002</v>
      </c>
      <c r="L113" s="13">
        <f t="shared" si="82"/>
        <v>47694.204847299996</v>
      </c>
      <c r="N113" s="73">
        <f t="shared" ref="N113:N119" si="83">IFERROR(RATE($G$108-$D$108,0,-$D113,$G113),"N/A")</f>
        <v>1.6313958617078541E-2</v>
      </c>
      <c r="O113" s="74">
        <f t="shared" ref="O113:O119" si="84">IFERROR(RATE($L$108-$H$108,0,-$H113,$L113),"N/A")</f>
        <v>0.39782858920317593</v>
      </c>
    </row>
    <row r="114" spans="2:15" ht="24" customHeight="1" x14ac:dyDescent="0.35">
      <c r="B114" s="1" t="s">
        <v>75</v>
      </c>
      <c r="D114" s="13">
        <f>D86</f>
        <v>0</v>
      </c>
      <c r="E114" s="13">
        <f t="shared" si="82"/>
        <v>0</v>
      </c>
      <c r="F114" s="13">
        <f t="shared" si="82"/>
        <v>0</v>
      </c>
      <c r="G114" s="69">
        <f t="shared" si="82"/>
        <v>0</v>
      </c>
      <c r="H114" s="13">
        <f t="shared" si="82"/>
        <v>0</v>
      </c>
      <c r="I114" s="13">
        <f t="shared" si="82"/>
        <v>0</v>
      </c>
      <c r="J114" s="13">
        <f t="shared" si="82"/>
        <v>0</v>
      </c>
      <c r="K114" s="13">
        <f t="shared" si="82"/>
        <v>0</v>
      </c>
      <c r="L114" s="13">
        <f t="shared" si="82"/>
        <v>0</v>
      </c>
      <c r="N114" s="73" t="str">
        <f t="shared" si="83"/>
        <v>N/A</v>
      </c>
      <c r="O114" s="74" t="str">
        <f t="shared" si="84"/>
        <v>N/A</v>
      </c>
    </row>
    <row r="115" spans="2:15" ht="24" customHeight="1" x14ac:dyDescent="0.35">
      <c r="B115" s="91" t="s">
        <v>3</v>
      </c>
      <c r="C115" s="91"/>
      <c r="D115" s="93">
        <f>SUM(D112:D114)</f>
        <v>10305.407999999999</v>
      </c>
      <c r="E115" s="93">
        <f t="shared" ref="E115:L115" si="85">SUM(E112:E114)</f>
        <v>10491.924000000001</v>
      </c>
      <c r="F115" s="93">
        <f t="shared" si="85"/>
        <v>12927.451999999999</v>
      </c>
      <c r="G115" s="94">
        <f t="shared" si="85"/>
        <v>15981.592859999997</v>
      </c>
      <c r="H115" s="93">
        <f t="shared" si="85"/>
        <v>29407.171983333334</v>
      </c>
      <c r="I115" s="93">
        <f t="shared" si="85"/>
        <v>44058</v>
      </c>
      <c r="J115" s="93">
        <f t="shared" si="85"/>
        <v>76308.498970000015</v>
      </c>
      <c r="K115" s="93">
        <f t="shared" si="85"/>
        <v>108711.6188468</v>
      </c>
      <c r="L115" s="93">
        <f t="shared" si="85"/>
        <v>152659.0494816</v>
      </c>
      <c r="N115" s="75">
        <f t="shared" si="83"/>
        <v>0.15749277984395885</v>
      </c>
      <c r="O115" s="76">
        <f t="shared" si="84"/>
        <v>0.5094451041478093</v>
      </c>
    </row>
    <row r="116" spans="2:15" ht="24" customHeight="1" x14ac:dyDescent="0.35">
      <c r="B116" s="1" t="s">
        <v>44</v>
      </c>
      <c r="E116" s="14">
        <v>-2926</v>
      </c>
      <c r="F116" s="14">
        <v>-4706.26</v>
      </c>
      <c r="G116" s="48">
        <v>-3838.953649</v>
      </c>
      <c r="H116" s="32">
        <f>-PRODUCT(H$112,H$36)</f>
        <v>-7433.3233549999932</v>
      </c>
      <c r="I116" s="32">
        <f>-PRODUCT(I$112,I$36)</f>
        <v>-11135.95445399999</v>
      </c>
      <c r="J116" s="32">
        <f>-PRODUCT(J$112,J$36)</f>
        <v>-15936.922076000008</v>
      </c>
      <c r="K116" s="32">
        <f>-PRODUCT(K$112,K$36)</f>
        <v>-20501.264362999998</v>
      </c>
      <c r="L116" s="32">
        <f>-PRODUCT(L$112,L$36)</f>
        <v>-26953.975252</v>
      </c>
      <c r="N116" s="73"/>
      <c r="O116" s="74"/>
    </row>
    <row r="117" spans="2:15" ht="24" customHeight="1" x14ac:dyDescent="0.35">
      <c r="B117" s="1" t="s">
        <v>45</v>
      </c>
      <c r="E117" s="14">
        <v>-1323.9</v>
      </c>
      <c r="F117" s="14">
        <v>-1822.74</v>
      </c>
      <c r="G117" s="48">
        <v>-2480.7138699999996</v>
      </c>
      <c r="H117" s="32">
        <f>-PRODUCT(H$113,H$37)</f>
        <v>-3195.3975468832546</v>
      </c>
      <c r="I117" s="32">
        <f>-PRODUCT(I$113,I$37)</f>
        <v>-4144.6384308379129</v>
      </c>
      <c r="J117" s="32">
        <f>-PRODUCT(J$113,J$37)</f>
        <v>-8681.0692429999999</v>
      </c>
      <c r="K117" s="32">
        <f>-PRODUCT(K$113,K$37)</f>
        <v>-12034.097490000013</v>
      </c>
      <c r="L117" s="32">
        <f>-PRODUCT(L$113,L$37)</f>
        <v>-16539.376693000006</v>
      </c>
      <c r="N117" s="73"/>
      <c r="O117" s="74"/>
    </row>
    <row r="118" spans="2:15" ht="24" customHeight="1" x14ac:dyDescent="0.35">
      <c r="B118" s="1" t="s">
        <v>43</v>
      </c>
      <c r="D118" s="14">
        <v>-3710.1655699999992</v>
      </c>
      <c r="E118" s="14">
        <v>303.39600000000087</v>
      </c>
      <c r="F118" s="14">
        <v>348.97800000000097</v>
      </c>
      <c r="G118" s="48">
        <v>1.3859999999624506E-2</v>
      </c>
      <c r="H118" s="14">
        <v>-108</v>
      </c>
      <c r="I118" s="14">
        <v>1.3859999999624506E-2</v>
      </c>
      <c r="J118" s="14">
        <v>1.3859999999624506E-2</v>
      </c>
      <c r="K118" s="14">
        <v>1.3859999999624506E-2</v>
      </c>
      <c r="L118" s="14">
        <v>1.3859999999624506E-2</v>
      </c>
      <c r="N118" s="73"/>
      <c r="O118" s="74"/>
    </row>
    <row r="119" spans="2:15" ht="24" customHeight="1" x14ac:dyDescent="0.35">
      <c r="B119" s="91" t="s">
        <v>48</v>
      </c>
      <c r="C119" s="92"/>
      <c r="D119" s="93">
        <f>SUM(D115:D118)</f>
        <v>6595.2424300000002</v>
      </c>
      <c r="E119" s="93">
        <f t="shared" ref="E119:G119" si="86">SUM(E115:E118)</f>
        <v>6545.4200000000019</v>
      </c>
      <c r="F119" s="93">
        <f t="shared" si="86"/>
        <v>6747.43</v>
      </c>
      <c r="G119" s="94">
        <f t="shared" si="86"/>
        <v>9661.9392009999974</v>
      </c>
      <c r="H119" s="97">
        <f>SUM(H115:H118)</f>
        <v>18670.451081450086</v>
      </c>
      <c r="I119" s="97">
        <f t="shared" ref="I119:L119" si="87">SUM(I115:I118)</f>
        <v>28777.420975162095</v>
      </c>
      <c r="J119" s="97">
        <f t="shared" si="87"/>
        <v>51690.521511000006</v>
      </c>
      <c r="K119" s="97">
        <f t="shared" si="87"/>
        <v>76176.270853800001</v>
      </c>
      <c r="L119" s="97">
        <f t="shared" si="87"/>
        <v>109165.7113966</v>
      </c>
      <c r="N119" s="73">
        <f t="shared" si="83"/>
        <v>0.13573718555443839</v>
      </c>
      <c r="O119" s="74">
        <f t="shared" si="84"/>
        <v>0.55500883057990469</v>
      </c>
    </row>
    <row r="120" spans="2:15" ht="24" customHeight="1" x14ac:dyDescent="0.35">
      <c r="B120" s="16" t="s">
        <v>42</v>
      </c>
      <c r="D120" s="21">
        <f>D119/D115</f>
        <v>0.63997877910316614</v>
      </c>
      <c r="E120" s="21">
        <f t="shared" ref="E120:L120" si="88">E119/E115</f>
        <v>0.62385316553951409</v>
      </c>
      <c r="F120" s="21">
        <f t="shared" si="88"/>
        <v>0.52194585599699006</v>
      </c>
      <c r="G120" s="50">
        <f t="shared" si="88"/>
        <v>0.60456672158021674</v>
      </c>
      <c r="H120" s="21">
        <f t="shared" si="88"/>
        <v>0.63489447717147574</v>
      </c>
      <c r="I120" s="21">
        <f t="shared" si="88"/>
        <v>0.65317129636302362</v>
      </c>
      <c r="J120" s="21">
        <f t="shared" si="88"/>
        <v>0.67738878642235723</v>
      </c>
      <c r="K120" s="21">
        <f t="shared" si="88"/>
        <v>0.70071876090034235</v>
      </c>
      <c r="L120" s="21">
        <f t="shared" si="88"/>
        <v>0.71509492406316699</v>
      </c>
      <c r="N120" s="77"/>
      <c r="O120" s="78"/>
    </row>
    <row r="121" spans="2:15" ht="24" customHeight="1" x14ac:dyDescent="0.35">
      <c r="G121" s="47"/>
      <c r="N121" s="77"/>
      <c r="O121" s="78"/>
    </row>
    <row r="122" spans="2:15" ht="24" customHeight="1" x14ac:dyDescent="0.35">
      <c r="B122" s="1" t="s">
        <v>47</v>
      </c>
      <c r="D122" s="61"/>
      <c r="E122" s="61">
        <f t="shared" ref="E122:L122" si="89">E112+E116</f>
        <v>6458.0249999999996</v>
      </c>
      <c r="F122" s="61">
        <f t="shared" si="89"/>
        <v>6535.4</v>
      </c>
      <c r="G122" s="68">
        <f t="shared" si="89"/>
        <v>8098.5399709999974</v>
      </c>
      <c r="H122" s="61">
        <f t="shared" si="89"/>
        <v>9481.3319483333398</v>
      </c>
      <c r="I122" s="61">
        <f t="shared" si="89"/>
        <v>13597.04554600001</v>
      </c>
      <c r="J122" s="61">
        <f t="shared" si="89"/>
        <v>32733.26613389999</v>
      </c>
      <c r="K122" s="61">
        <f t="shared" si="89"/>
        <v>52216.8374358</v>
      </c>
      <c r="L122" s="61">
        <f t="shared" si="89"/>
        <v>78010.869382299992</v>
      </c>
      <c r="N122" s="73" t="str">
        <f t="shared" ref="N122" si="90">IFERROR(RATE($G$108-$D$108,0,-$D122,$G122),"N/A")</f>
        <v>N/A</v>
      </c>
      <c r="O122" s="74">
        <f t="shared" ref="O122" si="91">IFERROR(RATE($L$108-$H$108,0,-$H122,$L122),"N/A")</f>
        <v>0.69364132324563255</v>
      </c>
    </row>
    <row r="123" spans="2:15" ht="24" customHeight="1" x14ac:dyDescent="0.35">
      <c r="B123" s="16" t="s">
        <v>49</v>
      </c>
      <c r="D123" s="20"/>
      <c r="E123" s="21">
        <f>IF(E122/E$112&lt;0,"NM",E122/E$112)</f>
        <v>0.6881934990582399</v>
      </c>
      <c r="F123" s="21">
        <f t="shared" ref="F123:L123" si="92">IF(F122/F$112&lt;0,"NM",F122/F$112)</f>
        <v>0.58135542259773021</v>
      </c>
      <c r="G123" s="50">
        <f t="shared" si="92"/>
        <v>0.67841208789688967</v>
      </c>
      <c r="H123" s="21">
        <f t="shared" si="92"/>
        <v>0.56053947173637497</v>
      </c>
      <c r="I123" s="21">
        <f t="shared" si="92"/>
        <v>0.54975318586503907</v>
      </c>
      <c r="J123" s="21">
        <f t="shared" si="92"/>
        <v>0.67255269268183593</v>
      </c>
      <c r="K123" s="21">
        <f t="shared" si="92"/>
        <v>0.71807206382086408</v>
      </c>
      <c r="L123" s="21">
        <f t="shared" si="92"/>
        <v>0.74320949699007999</v>
      </c>
      <c r="N123" s="77"/>
      <c r="O123" s="78"/>
    </row>
    <row r="124" spans="2:15" ht="24" customHeight="1" x14ac:dyDescent="0.35">
      <c r="G124" s="47"/>
      <c r="N124" s="77"/>
      <c r="O124" s="78"/>
    </row>
    <row r="125" spans="2:15" ht="24" customHeight="1" x14ac:dyDescent="0.35">
      <c r="B125" s="1" t="s">
        <v>50</v>
      </c>
      <c r="D125" s="61"/>
      <c r="E125" s="61">
        <f t="shared" ref="E125:L125" si="93">E113+E117</f>
        <v>-216.00099999999952</v>
      </c>
      <c r="F125" s="61">
        <f t="shared" si="93"/>
        <v>-136.94800000000055</v>
      </c>
      <c r="G125" s="68">
        <f t="shared" si="93"/>
        <v>1563.3853700000004</v>
      </c>
      <c r="H125" s="61">
        <f t="shared" si="93"/>
        <v>9297.1191331167465</v>
      </c>
      <c r="I125" s="61">
        <f t="shared" si="93"/>
        <v>15180.361569162087</v>
      </c>
      <c r="J125" s="61">
        <f t="shared" si="93"/>
        <v>18957.241517100018</v>
      </c>
      <c r="K125" s="61">
        <f t="shared" si="93"/>
        <v>23959.419557999987</v>
      </c>
      <c r="L125" s="61">
        <f t="shared" si="93"/>
        <v>31154.82815429999</v>
      </c>
      <c r="N125" s="73" t="str">
        <f t="shared" ref="N125" si="94">IFERROR(RATE($G$108-$D$108,0,-$D125,$G125),"N/A")</f>
        <v>N/A</v>
      </c>
      <c r="O125" s="74">
        <f t="shared" ref="O125" si="95">IFERROR(RATE($L$108-$H$108,0,-$H125,$L125),"N/A")</f>
        <v>0.35298892298633788</v>
      </c>
    </row>
    <row r="126" spans="2:15" ht="24" customHeight="1" x14ac:dyDescent="0.35">
      <c r="B126" s="16" t="s">
        <v>51</v>
      </c>
      <c r="D126" s="20"/>
      <c r="E126" s="87" t="str">
        <f>IF(E125/E$112&lt;0,"NM",E125/E$112)</f>
        <v>NM</v>
      </c>
      <c r="F126" s="87" t="str">
        <f t="shared" ref="F126" si="96">IF(F125/F$112&lt;0,"NM",F125/F$112)</f>
        <v>NM</v>
      </c>
      <c r="G126" s="50">
        <f t="shared" ref="G126" si="97">IF(G125/G$112&lt;0,"NM",G125/G$112)</f>
        <v>0.13096428947033864</v>
      </c>
      <c r="H126" s="21">
        <f t="shared" ref="H126" si="98">IF(H125/H$112&lt;0,"NM",H125/H$112)</f>
        <v>0.54964874934723529</v>
      </c>
      <c r="I126" s="21">
        <f t="shared" ref="I126" si="99">IF(I125/I$112&lt;0,"NM",I125/I$112)</f>
        <v>0.61376952125347051</v>
      </c>
      <c r="J126" s="21">
        <f t="shared" ref="J126" si="100">IF(J125/J$112&lt;0,"NM",J125/J$112)</f>
        <v>0.38950417523234326</v>
      </c>
      <c r="K126" s="21">
        <f t="shared" ref="K126" si="101">IF(K125/K$112&lt;0,"NM",K125/K$112)</f>
        <v>0.32948356688809183</v>
      </c>
      <c r="L126" s="21">
        <f t="shared" ref="L126" si="102">IF(L125/L$112&lt;0,"NM",L125/L$112)</f>
        <v>0.29681202561528242</v>
      </c>
      <c r="N126" s="77"/>
      <c r="O126" s="78"/>
    </row>
    <row r="127" spans="2:15" ht="24" customHeight="1" x14ac:dyDescent="0.35">
      <c r="G127" s="47"/>
      <c r="N127" s="77"/>
      <c r="O127" s="78"/>
    </row>
    <row r="128" spans="2:15" ht="24" customHeight="1" x14ac:dyDescent="0.35">
      <c r="B128" s="11" t="s">
        <v>52</v>
      </c>
      <c r="G128" s="47"/>
      <c r="N128" s="77"/>
      <c r="O128" s="78"/>
    </row>
    <row r="129" spans="2:15" ht="24" customHeight="1" x14ac:dyDescent="0.35">
      <c r="B129" s="22" t="s">
        <v>54</v>
      </c>
      <c r="D129" s="54">
        <v>-6340.5861500000001</v>
      </c>
      <c r="E129" s="54">
        <v>-11467.27555</v>
      </c>
      <c r="F129" s="54">
        <v>-16185.352129999999</v>
      </c>
      <c r="G129" s="55">
        <v>-25229.878349999999</v>
      </c>
      <c r="H129" s="54">
        <f>-PRODUCT(H$38,H$115)</f>
        <v>-28327.954960000003</v>
      </c>
      <c r="I129" s="54">
        <f>-PRODUCT(I$38,I$115)</f>
        <v>-32011.485901690001</v>
      </c>
      <c r="J129" s="54">
        <f>-PRODUCT(J$38,J$115)</f>
        <v>-40312.830124949993</v>
      </c>
      <c r="K129" s="54">
        <f>-PRODUCT(K$38,K$115)</f>
        <v>-50972.618505630002</v>
      </c>
      <c r="L129" s="54">
        <f>-PRODUCT(L$38,L$115)</f>
        <v>-63256.731515030013</v>
      </c>
      <c r="N129" s="73">
        <f t="shared" ref="N129:N131" si="103">IFERROR(RATE($G$108-$D$108,0,-$D129,$G129),"N/A")</f>
        <v>0.58463258789628403</v>
      </c>
      <c r="O129" s="74">
        <f t="shared" ref="O129:O131" si="104">IFERROR(RATE($L$108-$H$108,0,-$H129,$L129),"N/A")</f>
        <v>0.22242685229038681</v>
      </c>
    </row>
    <row r="130" spans="2:15" ht="24" customHeight="1" x14ac:dyDescent="0.35">
      <c r="B130" s="22" t="s">
        <v>63</v>
      </c>
      <c r="D130" s="14">
        <v>-10059.775589999999</v>
      </c>
      <c r="E130" s="14">
        <v>-5057.2005099999997</v>
      </c>
      <c r="F130" s="14">
        <v>-7954.0113100000008</v>
      </c>
      <c r="G130" s="48">
        <v>-9387.2908099999986</v>
      </c>
      <c r="H130" s="14">
        <f>-PRODUCT(H$39,H$115)</f>
        <v>-10414.902170000001</v>
      </c>
      <c r="I130" s="14">
        <f>-PRODUCT(I$39,I$115)</f>
        <v>-12670.9728923</v>
      </c>
      <c r="J130" s="14">
        <f>-PRODUCT(J$39,J$115)</f>
        <v>-14650.68140166</v>
      </c>
      <c r="K130" s="14">
        <f>-PRODUCT(K$39,K$115)</f>
        <v>-16892.155355499999</v>
      </c>
      <c r="L130" s="14">
        <f>-PRODUCT(L$39,L$115)</f>
        <v>-19324.916680010003</v>
      </c>
      <c r="N130" s="73">
        <f t="shared" si="103"/>
        <v>-2.2798796582141484E-2</v>
      </c>
      <c r="O130" s="74">
        <f t="shared" si="104"/>
        <v>0.16712026211742351</v>
      </c>
    </row>
    <row r="131" spans="2:15" ht="24" customHeight="1" x14ac:dyDescent="0.35">
      <c r="B131" s="98" t="s">
        <v>53</v>
      </c>
      <c r="C131" s="92"/>
      <c r="D131" s="93">
        <f>SUM(D129:D130)</f>
        <v>-16400.36174</v>
      </c>
      <c r="E131" s="93">
        <f>SUM(E129:E130)</f>
        <v>-16524.476060000001</v>
      </c>
      <c r="F131" s="93">
        <f>SUM(F129:F130)</f>
        <v>-24139.363440000001</v>
      </c>
      <c r="G131" s="94">
        <f>SUM(G129:G130)</f>
        <v>-34617.169159999998</v>
      </c>
      <c r="H131" s="93">
        <f>SUM(H129:H130)</f>
        <v>-38742.857130000004</v>
      </c>
      <c r="I131" s="93">
        <f t="shared" ref="I131:L131" si="105">SUM(I129:I130)</f>
        <v>-44682.458793990001</v>
      </c>
      <c r="J131" s="93">
        <f t="shared" si="105"/>
        <v>-54963.511526609989</v>
      </c>
      <c r="K131" s="93">
        <f t="shared" si="105"/>
        <v>-67864.773861130001</v>
      </c>
      <c r="L131" s="93">
        <f t="shared" si="105"/>
        <v>-82581.648195040019</v>
      </c>
      <c r="N131" s="75">
        <f t="shared" si="103"/>
        <v>0.28276186680136139</v>
      </c>
      <c r="O131" s="76">
        <f t="shared" si="104"/>
        <v>0.20829499165005858</v>
      </c>
    </row>
    <row r="132" spans="2:15" ht="24" customHeight="1" x14ac:dyDescent="0.35">
      <c r="B132" s="44" t="s">
        <v>11</v>
      </c>
      <c r="E132" s="21">
        <f>E131/D131-1</f>
        <v>7.5677794165533996E-3</v>
      </c>
      <c r="F132" s="21">
        <f t="shared" ref="F132:L132" si="106">F131/E131-1</f>
        <v>0.46082473975879878</v>
      </c>
      <c r="G132" s="50">
        <f t="shared" si="106"/>
        <v>0.43405476478463401</v>
      </c>
      <c r="H132" s="21">
        <f t="shared" si="106"/>
        <v>0.11918039718762508</v>
      </c>
      <c r="I132" s="21">
        <f t="shared" si="106"/>
        <v>0.15330830258749151</v>
      </c>
      <c r="J132" s="21">
        <f t="shared" si="106"/>
        <v>0.23009147236102501</v>
      </c>
      <c r="K132" s="21">
        <f t="shared" si="106"/>
        <v>0.23472412835693746</v>
      </c>
      <c r="L132" s="21">
        <f t="shared" si="106"/>
        <v>0.21685586640316212</v>
      </c>
      <c r="N132" s="77"/>
      <c r="O132" s="78"/>
    </row>
    <row r="133" spans="2:15" ht="24" customHeight="1" x14ac:dyDescent="0.35">
      <c r="B133" s="44" t="s">
        <v>56</v>
      </c>
      <c r="D133" s="21">
        <f>-D131/D115</f>
        <v>1.5914325507539344</v>
      </c>
      <c r="E133" s="21">
        <f t="shared" ref="E133:L133" si="107">-E131/E115</f>
        <v>1.574971002458653</v>
      </c>
      <c r="F133" s="21">
        <f t="shared" si="107"/>
        <v>1.8672947646605071</v>
      </c>
      <c r="G133" s="50">
        <f t="shared" si="107"/>
        <v>2.166065013872466</v>
      </c>
      <c r="H133" s="21">
        <f t="shared" si="107"/>
        <v>1.3174628676282683</v>
      </c>
      <c r="I133" s="21">
        <f t="shared" si="107"/>
        <v>1.0141735619862455</v>
      </c>
      <c r="J133" s="21">
        <f t="shared" si="107"/>
        <v>0.72028033926100932</v>
      </c>
      <c r="K133" s="21">
        <f t="shared" si="107"/>
        <v>0.62426421923462727</v>
      </c>
      <c r="L133" s="21">
        <f t="shared" si="107"/>
        <v>0.54095481712660332</v>
      </c>
      <c r="N133" s="77"/>
      <c r="O133" s="78"/>
    </row>
    <row r="134" spans="2:15" ht="24" customHeight="1" x14ac:dyDescent="0.35">
      <c r="B134" s="44" t="s">
        <v>58</v>
      </c>
      <c r="D134" s="36">
        <f>D131/D136</f>
        <v>-315.39157192307692</v>
      </c>
      <c r="E134" s="36">
        <f t="shared" ref="E134:L134" si="108">E131/E136</f>
        <v>-211.8522571794872</v>
      </c>
      <c r="F134" s="36">
        <f t="shared" si="108"/>
        <v>-194.67228580645161</v>
      </c>
      <c r="G134" s="88">
        <f t="shared" si="108"/>
        <v>-237.10389835616436</v>
      </c>
      <c r="H134" s="36">
        <f t="shared" si="108"/>
        <v>-237.68624006134971</v>
      </c>
      <c r="I134" s="36">
        <f t="shared" si="108"/>
        <v>-215.85728885985509</v>
      </c>
      <c r="J134" s="36">
        <f t="shared" si="108"/>
        <v>-208.19511941897724</v>
      </c>
      <c r="K134" s="36">
        <f t="shared" si="108"/>
        <v>-206.90479835710366</v>
      </c>
      <c r="L134" s="36">
        <f t="shared" si="108"/>
        <v>-207.49157837949753</v>
      </c>
      <c r="N134" s="77"/>
      <c r="O134" s="78"/>
    </row>
    <row r="135" spans="2:15" ht="24" customHeight="1" x14ac:dyDescent="0.35">
      <c r="G135" s="47"/>
      <c r="N135" s="77"/>
      <c r="O135" s="78"/>
    </row>
    <row r="136" spans="2:15" ht="24" customHeight="1" x14ac:dyDescent="0.35">
      <c r="B136" s="90" t="s">
        <v>57</v>
      </c>
      <c r="D136" s="14">
        <v>52</v>
      </c>
      <c r="E136" s="14">
        <v>78</v>
      </c>
      <c r="F136" s="14">
        <v>124</v>
      </c>
      <c r="G136" s="48">
        <v>146</v>
      </c>
      <c r="H136" s="14">
        <v>163</v>
      </c>
      <c r="I136" s="14">
        <v>207</v>
      </c>
      <c r="J136" s="14">
        <v>264</v>
      </c>
      <c r="K136" s="14">
        <v>328</v>
      </c>
      <c r="L136" s="14">
        <v>398</v>
      </c>
      <c r="N136" s="73">
        <f t="shared" ref="N136" si="109">IFERROR(RATE($G$108-$D$108,0,-$D136,$G136),"N/A")</f>
        <v>0.41074928029404867</v>
      </c>
      <c r="O136" s="74">
        <f t="shared" ref="O136" si="110">IFERROR(RATE($L$108-$H$108,0,-$H136,$L136),"N/A")</f>
        <v>0.25003987539251499</v>
      </c>
    </row>
    <row r="137" spans="2:15" ht="24" customHeight="1" x14ac:dyDescent="0.35">
      <c r="G137" s="47"/>
      <c r="N137" s="77"/>
      <c r="O137" s="78"/>
    </row>
    <row r="138" spans="2:15" ht="24" customHeight="1" x14ac:dyDescent="0.35">
      <c r="B138" s="1" t="s">
        <v>48</v>
      </c>
      <c r="D138" s="61">
        <f>D119</f>
        <v>6595.2424300000002</v>
      </c>
      <c r="E138" s="61">
        <f t="shared" ref="E138:L138" si="111">E119</f>
        <v>6545.4200000000019</v>
      </c>
      <c r="F138" s="61">
        <f t="shared" si="111"/>
        <v>6747.43</v>
      </c>
      <c r="G138" s="68">
        <f t="shared" si="111"/>
        <v>9661.9392009999974</v>
      </c>
      <c r="H138" s="61">
        <f t="shared" si="111"/>
        <v>18670.451081450086</v>
      </c>
      <c r="I138" s="61">
        <f t="shared" si="111"/>
        <v>28777.420975162095</v>
      </c>
      <c r="J138" s="61">
        <f t="shared" si="111"/>
        <v>51690.521511000006</v>
      </c>
      <c r="K138" s="61">
        <f t="shared" si="111"/>
        <v>76176.270853800001</v>
      </c>
      <c r="L138" s="61">
        <f t="shared" si="111"/>
        <v>109165.7113966</v>
      </c>
      <c r="N138" s="77"/>
      <c r="O138" s="78"/>
    </row>
    <row r="139" spans="2:15" ht="24" customHeight="1" x14ac:dyDescent="0.35">
      <c r="B139" s="1" t="s">
        <v>61</v>
      </c>
      <c r="D139" s="13">
        <f>D129</f>
        <v>-6340.5861500000001</v>
      </c>
      <c r="E139" s="13">
        <f t="shared" ref="E139:L140" si="112">E129</f>
        <v>-11467.27555</v>
      </c>
      <c r="F139" s="13">
        <f t="shared" si="112"/>
        <v>-16185.352129999999</v>
      </c>
      <c r="G139" s="69">
        <f t="shared" si="112"/>
        <v>-25229.878349999999</v>
      </c>
      <c r="H139" s="13">
        <f t="shared" si="112"/>
        <v>-28327.954960000003</v>
      </c>
      <c r="I139" s="13">
        <f t="shared" si="112"/>
        <v>-32011.485901690001</v>
      </c>
      <c r="J139" s="13">
        <f t="shared" si="112"/>
        <v>-40312.830124949993</v>
      </c>
      <c r="K139" s="13">
        <f t="shared" si="112"/>
        <v>-50972.618505630002</v>
      </c>
      <c r="L139" s="13">
        <f t="shared" si="112"/>
        <v>-63256.731515030013</v>
      </c>
      <c r="N139" s="77"/>
      <c r="O139" s="78"/>
    </row>
    <row r="140" spans="2:15" ht="24" customHeight="1" x14ac:dyDescent="0.35">
      <c r="B140" s="1" t="s">
        <v>62</v>
      </c>
      <c r="D140" s="13">
        <f>D130</f>
        <v>-10059.775589999999</v>
      </c>
      <c r="E140" s="13">
        <f t="shared" si="112"/>
        <v>-5057.2005099999997</v>
      </c>
      <c r="F140" s="13">
        <f t="shared" si="112"/>
        <v>-7954.0113100000008</v>
      </c>
      <c r="G140" s="69">
        <f t="shared" si="112"/>
        <v>-9387.2908099999986</v>
      </c>
      <c r="H140" s="13">
        <f t="shared" si="112"/>
        <v>-10414.902170000001</v>
      </c>
      <c r="I140" s="13">
        <f t="shared" si="112"/>
        <v>-12670.9728923</v>
      </c>
      <c r="J140" s="13">
        <f t="shared" si="112"/>
        <v>-14650.68140166</v>
      </c>
      <c r="K140" s="13">
        <f t="shared" si="112"/>
        <v>-16892.155355499999</v>
      </c>
      <c r="L140" s="13">
        <f t="shared" si="112"/>
        <v>-19324.916680010003</v>
      </c>
      <c r="N140" s="77"/>
      <c r="O140" s="78"/>
    </row>
    <row r="141" spans="2:15" ht="24" customHeight="1" x14ac:dyDescent="0.35">
      <c r="B141" s="91" t="s">
        <v>65</v>
      </c>
      <c r="C141" s="92"/>
      <c r="D141" s="93">
        <f>SUM(D138:D140)</f>
        <v>-9805.1193099999982</v>
      </c>
      <c r="E141" s="93">
        <f t="shared" ref="E141:L141" si="113">SUM(E138:E140)</f>
        <v>-9979.056059999999</v>
      </c>
      <c r="F141" s="93">
        <f t="shared" si="113"/>
        <v>-17391.933440000001</v>
      </c>
      <c r="G141" s="94">
        <f t="shared" si="113"/>
        <v>-24955.229959</v>
      </c>
      <c r="H141" s="93">
        <f t="shared" si="113"/>
        <v>-20072.406048549918</v>
      </c>
      <c r="I141" s="93">
        <f t="shared" si="113"/>
        <v>-15905.037818827906</v>
      </c>
      <c r="J141" s="93">
        <f t="shared" si="113"/>
        <v>-3272.9900156099866</v>
      </c>
      <c r="K141" s="93">
        <f t="shared" si="113"/>
        <v>8311.4969926699996</v>
      </c>
      <c r="L141" s="93">
        <f t="shared" si="113"/>
        <v>26584.063201559988</v>
      </c>
      <c r="N141" s="81"/>
      <c r="O141" s="82"/>
    </row>
    <row r="142" spans="2:15" ht="24" customHeight="1" thickBot="1" x14ac:dyDescent="0.4">
      <c r="B142" s="16" t="s">
        <v>66</v>
      </c>
      <c r="D142" s="87" t="str">
        <f>IF(D141/D$115&lt;0,"NM",D141/D$115)</f>
        <v>NM</v>
      </c>
      <c r="E142" s="87" t="str">
        <f t="shared" ref="E142:L142" si="114">IF(E141/E$115&lt;0,"NM",E141/E$115)</f>
        <v>NM</v>
      </c>
      <c r="F142" s="87" t="str">
        <f t="shared" si="114"/>
        <v>NM</v>
      </c>
      <c r="G142" s="89" t="str">
        <f t="shared" si="114"/>
        <v>NM</v>
      </c>
      <c r="H142" s="87" t="str">
        <f t="shared" si="114"/>
        <v>NM</v>
      </c>
      <c r="I142" s="87" t="str">
        <f t="shared" si="114"/>
        <v>NM</v>
      </c>
      <c r="J142" s="87" t="str">
        <f t="shared" si="114"/>
        <v>NM</v>
      </c>
      <c r="K142" s="87">
        <f t="shared" si="114"/>
        <v>7.6454541665715012E-2</v>
      </c>
      <c r="L142" s="87">
        <f t="shared" si="114"/>
        <v>0.17414010693656368</v>
      </c>
      <c r="N142" s="99"/>
      <c r="O142" s="100"/>
    </row>
    <row r="144" spans="2:15" ht="24" customHeight="1" x14ac:dyDescent="0.35">
      <c r="B144" s="4" t="s">
        <v>67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2:15" ht="6" customHeight="1" x14ac:dyDescent="0.35"/>
    <row r="146" spans="2:15" ht="24" customHeight="1" x14ac:dyDescent="0.35">
      <c r="D146" s="147" t="s">
        <v>7</v>
      </c>
      <c r="E146" s="147"/>
      <c r="F146" s="147"/>
      <c r="G146" s="148"/>
      <c r="H146" s="147" t="s">
        <v>14</v>
      </c>
      <c r="I146" s="147"/>
      <c r="J146" s="147"/>
      <c r="K146" s="147"/>
      <c r="L146" s="147"/>
      <c r="M146" s="9"/>
      <c r="N146" s="9"/>
      <c r="O146" s="9"/>
    </row>
    <row r="147" spans="2:15" ht="24" customHeight="1" x14ac:dyDescent="0.35">
      <c r="D147" s="10">
        <v>42735</v>
      </c>
      <c r="E147" s="6">
        <f>EOMONTH(D147,12)</f>
        <v>43100</v>
      </c>
      <c r="F147" s="6">
        <f>EOMONTH(E147,12)</f>
        <v>43465</v>
      </c>
      <c r="G147" s="25">
        <f>EOMONTH(F147,12)</f>
        <v>43830</v>
      </c>
      <c r="H147" s="6">
        <f>EOMONTH(G147,12)</f>
        <v>44196</v>
      </c>
      <c r="I147" s="6">
        <f t="shared" ref="I147:L147" si="115">EOMONTH(H147,12)</f>
        <v>44561</v>
      </c>
      <c r="J147" s="6">
        <f t="shared" si="115"/>
        <v>44926</v>
      </c>
      <c r="K147" s="6">
        <f t="shared" si="115"/>
        <v>45291</v>
      </c>
      <c r="L147" s="6">
        <f t="shared" si="115"/>
        <v>45657</v>
      </c>
      <c r="M147" s="10"/>
      <c r="N147" s="38" t="str">
        <f>"'16A - '19A"</f>
        <v>'16A - '19A</v>
      </c>
      <c r="O147" s="38" t="str">
        <f>"'20E - '24E"</f>
        <v>'20E - '24E</v>
      </c>
    </row>
    <row r="148" spans="2:15" ht="24" customHeight="1" thickBot="1" x14ac:dyDescent="0.4">
      <c r="B148" s="7"/>
      <c r="C148" s="7"/>
      <c r="D148" s="7">
        <f>YEAR(D147)</f>
        <v>2016</v>
      </c>
      <c r="E148" s="7">
        <f>YEAR(E147)</f>
        <v>2017</v>
      </c>
      <c r="F148" s="7">
        <f>YEAR(F147)</f>
        <v>2018</v>
      </c>
      <c r="G148" s="8">
        <f>YEAR(G147)</f>
        <v>2019</v>
      </c>
      <c r="H148" s="24">
        <f>YEAR(H147)</f>
        <v>2020</v>
      </c>
      <c r="I148" s="24">
        <f t="shared" ref="I148" si="116">YEAR(I147)</f>
        <v>2021</v>
      </c>
      <c r="J148" s="24">
        <f t="shared" ref="J148" si="117">YEAR(J147)</f>
        <v>2022</v>
      </c>
      <c r="K148" s="24">
        <f t="shared" ref="K148" si="118">YEAR(K147)</f>
        <v>2023</v>
      </c>
      <c r="L148" s="24">
        <f t="shared" ref="L148" si="119">YEAR(L147)</f>
        <v>2024</v>
      </c>
      <c r="M148" s="24"/>
      <c r="N148" s="39" t="s">
        <v>25</v>
      </c>
      <c r="O148" s="39" t="s">
        <v>25</v>
      </c>
    </row>
    <row r="149" spans="2:15" ht="6" customHeight="1" thickTop="1" thickBot="1" x14ac:dyDescent="0.4">
      <c r="G149" s="45"/>
    </row>
    <row r="150" spans="2:15" ht="24" customHeight="1" x14ac:dyDescent="0.35">
      <c r="B150" s="1" t="s">
        <v>68</v>
      </c>
      <c r="D150" s="61">
        <f>D59</f>
        <v>10583</v>
      </c>
      <c r="E150" s="61">
        <f t="shared" ref="E150:L150" si="120">E59</f>
        <v>13462</v>
      </c>
      <c r="F150" s="61">
        <f t="shared" si="120"/>
        <v>13698</v>
      </c>
      <c r="G150" s="68">
        <f t="shared" si="120"/>
        <v>14334.922500000001</v>
      </c>
      <c r="H150" s="61">
        <f t="shared" si="120"/>
        <v>25086.356000000003</v>
      </c>
      <c r="I150" s="61">
        <f t="shared" si="120"/>
        <v>44780.93499999999</v>
      </c>
      <c r="J150" s="61">
        <f t="shared" si="120"/>
        <v>66322.846409999998</v>
      </c>
      <c r="K150" s="61">
        <f t="shared" si="120"/>
        <v>98798.763493999999</v>
      </c>
      <c r="L150" s="61">
        <f t="shared" si="120"/>
        <v>137301.22279699999</v>
      </c>
      <c r="N150" s="71">
        <f>IFERROR(RATE($G$148-$D$148,0,-$D150,$G150),"N/A")</f>
        <v>0.10644250455756603</v>
      </c>
      <c r="O150" s="72">
        <f>IFERROR(RATE($L$148-$H$148,0,-$H150,$L150),"N/A")</f>
        <v>0.52953424880909039</v>
      </c>
    </row>
    <row r="151" spans="2:15" ht="24" customHeight="1" x14ac:dyDescent="0.35">
      <c r="B151" s="1" t="s">
        <v>78</v>
      </c>
      <c r="D151" s="13">
        <f t="shared" ref="D151:L152" si="121">D60</f>
        <v>304</v>
      </c>
      <c r="E151" s="13">
        <f t="shared" si="121"/>
        <v>1197</v>
      </c>
      <c r="F151" s="13">
        <f t="shared" si="121"/>
        <v>2481</v>
      </c>
      <c r="G151" s="69">
        <f t="shared" si="121"/>
        <v>10615.65</v>
      </c>
      <c r="H151" s="13">
        <f t="shared" si="121"/>
        <v>16931.044000000002</v>
      </c>
      <c r="I151" s="13">
        <f t="shared" si="121"/>
        <v>26725</v>
      </c>
      <c r="J151" s="13">
        <f t="shared" si="121"/>
        <v>35636.661840000001</v>
      </c>
      <c r="K151" s="13">
        <f t="shared" si="121"/>
        <v>46493.535762</v>
      </c>
      <c r="L151" s="13">
        <f t="shared" si="121"/>
        <v>58843.381199000003</v>
      </c>
      <c r="N151" s="73">
        <f t="shared" ref="N151:N153" si="122">IFERROR(RATE($G$148-$D$148,0,-$D151,$G151),"N/A")</f>
        <v>2.2685690889163967</v>
      </c>
      <c r="O151" s="74">
        <f t="shared" ref="O151:O153" si="123">IFERROR(RATE($L$148-$H$148,0,-$H151,$L151),"N/A")</f>
        <v>0.36537979033201484</v>
      </c>
    </row>
    <row r="152" spans="2:15" ht="24" customHeight="1" x14ac:dyDescent="0.35">
      <c r="B152" s="1" t="s">
        <v>79</v>
      </c>
      <c r="D152" s="13">
        <f t="shared" si="121"/>
        <v>0</v>
      </c>
      <c r="E152" s="13">
        <f t="shared" si="121"/>
        <v>147.86499999999967</v>
      </c>
      <c r="F152" s="13">
        <f t="shared" si="121"/>
        <v>337.70000000000039</v>
      </c>
      <c r="G152" s="69">
        <f t="shared" si="121"/>
        <v>0.5</v>
      </c>
      <c r="H152" s="13">
        <f t="shared" si="121"/>
        <v>0</v>
      </c>
      <c r="I152" s="13">
        <f t="shared" si="121"/>
        <v>0</v>
      </c>
      <c r="J152" s="13">
        <f t="shared" si="121"/>
        <v>0</v>
      </c>
      <c r="K152" s="13">
        <f t="shared" si="121"/>
        <v>0</v>
      </c>
      <c r="L152" s="13">
        <f t="shared" si="121"/>
        <v>0</v>
      </c>
      <c r="N152" s="73" t="str">
        <f t="shared" si="122"/>
        <v>N/A</v>
      </c>
      <c r="O152" s="74" t="str">
        <f t="shared" si="123"/>
        <v>N/A</v>
      </c>
    </row>
    <row r="153" spans="2:15" ht="24" customHeight="1" x14ac:dyDescent="0.35">
      <c r="B153" s="91" t="s">
        <v>10</v>
      </c>
      <c r="C153" s="92"/>
      <c r="D153" s="93">
        <f>SUM(D150:D152)</f>
        <v>10887</v>
      </c>
      <c r="E153" s="93">
        <f t="shared" ref="E153:L153" si="124">SUM(E150:E152)</f>
        <v>14806.865</v>
      </c>
      <c r="F153" s="93">
        <f t="shared" si="124"/>
        <v>16516.7</v>
      </c>
      <c r="G153" s="94">
        <f t="shared" si="124"/>
        <v>24951.072500000002</v>
      </c>
      <c r="H153" s="93">
        <f t="shared" si="124"/>
        <v>42017.400000000009</v>
      </c>
      <c r="I153" s="93">
        <f t="shared" si="124"/>
        <v>71505.934999999998</v>
      </c>
      <c r="J153" s="93">
        <f t="shared" si="124"/>
        <v>101959.50825</v>
      </c>
      <c r="K153" s="93">
        <f t="shared" si="124"/>
        <v>145292.299256</v>
      </c>
      <c r="L153" s="93">
        <f t="shared" si="124"/>
        <v>196144.60399599999</v>
      </c>
      <c r="N153" s="75">
        <f t="shared" si="122"/>
        <v>0.31843988212733754</v>
      </c>
      <c r="O153" s="76">
        <f t="shared" si="123"/>
        <v>0.46989664107270096</v>
      </c>
    </row>
    <row r="154" spans="2:15" ht="24" customHeight="1" x14ac:dyDescent="0.35">
      <c r="B154" s="16" t="s">
        <v>11</v>
      </c>
      <c r="E154" s="20">
        <f>E153/D153-1</f>
        <v>0.36005005970423443</v>
      </c>
      <c r="F154" s="20">
        <f t="shared" ref="F154:L154" si="125">F153/E153-1</f>
        <v>0.11547582827289915</v>
      </c>
      <c r="G154" s="70">
        <f t="shared" si="125"/>
        <v>0.51065724388043621</v>
      </c>
      <c r="H154" s="20">
        <f t="shared" si="125"/>
        <v>0.68399174023481368</v>
      </c>
      <c r="I154" s="20">
        <f t="shared" si="125"/>
        <v>0.70181722334080598</v>
      </c>
      <c r="J154" s="20">
        <f t="shared" si="125"/>
        <v>0.42588874965413703</v>
      </c>
      <c r="K154" s="20">
        <f t="shared" si="125"/>
        <v>0.42499999999754801</v>
      </c>
      <c r="L154" s="20">
        <f t="shared" si="125"/>
        <v>0.350000000002753</v>
      </c>
      <c r="N154" s="77"/>
      <c r="O154" s="78"/>
    </row>
    <row r="155" spans="2:15" ht="24" customHeight="1" x14ac:dyDescent="0.35">
      <c r="B155" s="16"/>
      <c r="G155" s="47"/>
      <c r="N155" s="77"/>
      <c r="O155" s="78"/>
    </row>
    <row r="156" spans="2:15" ht="24" customHeight="1" x14ac:dyDescent="0.35">
      <c r="B156" s="1" t="s">
        <v>23</v>
      </c>
      <c r="D156" s="13">
        <f>D68</f>
        <v>6</v>
      </c>
      <c r="E156" s="13">
        <f t="shared" ref="E156:L156" si="126">E68</f>
        <v>8</v>
      </c>
      <c r="F156" s="13">
        <f t="shared" si="126"/>
        <v>8</v>
      </c>
      <c r="G156" s="69">
        <f t="shared" si="126"/>
        <v>13</v>
      </c>
      <c r="H156" s="13">
        <f t="shared" si="126"/>
        <v>26</v>
      </c>
      <c r="I156" s="13">
        <f t="shared" si="126"/>
        <v>49</v>
      </c>
      <c r="J156" s="13">
        <f t="shared" si="126"/>
        <v>73</v>
      </c>
      <c r="K156" s="13">
        <f t="shared" si="126"/>
        <v>96</v>
      </c>
      <c r="L156" s="13">
        <f t="shared" si="126"/>
        <v>111</v>
      </c>
      <c r="N156" s="73">
        <f t="shared" ref="N156:N157" si="127">IFERROR(RATE($G$148-$D$148,0,-$D156,$G156),"N/A")</f>
        <v>0.29398934610938432</v>
      </c>
      <c r="O156" s="74">
        <f t="shared" ref="O156:O157" si="128">IFERROR(RATE($L$148-$H$148,0,-$H156,$L156),"N/A")</f>
        <v>0.43743232715986458</v>
      </c>
    </row>
    <row r="157" spans="2:15" ht="24" customHeight="1" x14ac:dyDescent="0.35">
      <c r="B157" s="1" t="s">
        <v>80</v>
      </c>
      <c r="D157" s="13">
        <f>D70</f>
        <v>4</v>
      </c>
      <c r="E157" s="13">
        <f t="shared" ref="E157:L157" si="129">E70</f>
        <v>6</v>
      </c>
      <c r="F157" s="13">
        <f t="shared" si="129"/>
        <v>7</v>
      </c>
      <c r="G157" s="69">
        <f t="shared" si="129"/>
        <v>11</v>
      </c>
      <c r="H157" s="13">
        <f t="shared" si="129"/>
        <v>21</v>
      </c>
      <c r="I157" s="13">
        <f t="shared" si="129"/>
        <v>40</v>
      </c>
      <c r="J157" s="13">
        <f t="shared" si="129"/>
        <v>59</v>
      </c>
      <c r="K157" s="13">
        <f t="shared" si="129"/>
        <v>77</v>
      </c>
      <c r="L157" s="13">
        <f t="shared" si="129"/>
        <v>89</v>
      </c>
      <c r="N157" s="73">
        <f t="shared" si="127"/>
        <v>0.40101966532740135</v>
      </c>
      <c r="O157" s="74">
        <f t="shared" si="128"/>
        <v>0.43480432783151818</v>
      </c>
    </row>
    <row r="158" spans="2:15" ht="24" customHeight="1" x14ac:dyDescent="0.35">
      <c r="B158" s="16" t="s">
        <v>81</v>
      </c>
      <c r="D158" s="21">
        <f>D157/D156</f>
        <v>0.66666666666666663</v>
      </c>
      <c r="E158" s="21">
        <f t="shared" ref="E158:L158" si="130">E157/E156</f>
        <v>0.75</v>
      </c>
      <c r="F158" s="21">
        <f t="shared" si="130"/>
        <v>0.875</v>
      </c>
      <c r="G158" s="50">
        <f t="shared" si="130"/>
        <v>0.84615384615384615</v>
      </c>
      <c r="H158" s="21">
        <f t="shared" si="130"/>
        <v>0.80769230769230771</v>
      </c>
      <c r="I158" s="21">
        <f t="shared" si="130"/>
        <v>0.81632653061224492</v>
      </c>
      <c r="J158" s="21">
        <f t="shared" si="130"/>
        <v>0.80821917808219179</v>
      </c>
      <c r="K158" s="21">
        <f t="shared" si="130"/>
        <v>0.80208333333333337</v>
      </c>
      <c r="L158" s="21">
        <f t="shared" si="130"/>
        <v>0.80180180180180183</v>
      </c>
      <c r="N158" s="77"/>
      <c r="O158" s="78"/>
    </row>
    <row r="159" spans="2:15" ht="24" customHeight="1" x14ac:dyDescent="0.35">
      <c r="G159" s="47"/>
      <c r="N159" s="77"/>
      <c r="O159" s="78"/>
    </row>
    <row r="160" spans="2:15" ht="24" customHeight="1" x14ac:dyDescent="0.35">
      <c r="B160" s="1" t="s">
        <v>46</v>
      </c>
      <c r="D160" s="61">
        <f>D112</f>
        <v>6452.9480454500917</v>
      </c>
      <c r="E160" s="61">
        <f t="shared" ref="E160:L160" si="131">E112</f>
        <v>9384.0249999999996</v>
      </c>
      <c r="F160" s="61">
        <f t="shared" si="131"/>
        <v>11241.66</v>
      </c>
      <c r="G160" s="68">
        <f t="shared" si="131"/>
        <v>11937.493619999997</v>
      </c>
      <c r="H160" s="61">
        <f t="shared" si="131"/>
        <v>16914.655303333333</v>
      </c>
      <c r="I160" s="61">
        <f t="shared" si="131"/>
        <v>24733</v>
      </c>
      <c r="J160" s="61">
        <f t="shared" si="131"/>
        <v>48670.188209899999</v>
      </c>
      <c r="K160" s="61">
        <f t="shared" si="131"/>
        <v>72718.101798799995</v>
      </c>
      <c r="L160" s="61">
        <f t="shared" si="131"/>
        <v>104964.8446343</v>
      </c>
      <c r="N160" s="73">
        <f t="shared" ref="N160:N163" si="132">IFERROR(RATE($G$148-$D$148,0,-$D160,$G160),"N/A")</f>
        <v>0.22758524939749555</v>
      </c>
      <c r="O160" s="74">
        <f t="shared" ref="O160:O163" si="133">IFERROR(RATE($L$148-$H$148,0,-$H160,$L160),"N/A")</f>
        <v>0.57832043262164745</v>
      </c>
    </row>
    <row r="161" spans="2:15" ht="24" customHeight="1" x14ac:dyDescent="0.35">
      <c r="B161" s="1" t="s">
        <v>74</v>
      </c>
      <c r="D161" s="13">
        <f t="shared" ref="D161:L161" si="134">D113</f>
        <v>3852.4599545499077</v>
      </c>
      <c r="E161" s="13">
        <f t="shared" si="134"/>
        <v>1107.8990000000006</v>
      </c>
      <c r="F161" s="13">
        <f t="shared" si="134"/>
        <v>1685.7919999999995</v>
      </c>
      <c r="G161" s="69">
        <f t="shared" si="134"/>
        <v>4044.09924</v>
      </c>
      <c r="H161" s="13">
        <f t="shared" si="134"/>
        <v>12492.516680000001</v>
      </c>
      <c r="I161" s="13">
        <f t="shared" si="134"/>
        <v>19325</v>
      </c>
      <c r="J161" s="13">
        <f t="shared" si="134"/>
        <v>27638.310760100019</v>
      </c>
      <c r="K161" s="13">
        <f t="shared" si="134"/>
        <v>35993.517048000002</v>
      </c>
      <c r="L161" s="13">
        <f t="shared" si="134"/>
        <v>47694.204847299996</v>
      </c>
      <c r="N161" s="73">
        <f t="shared" si="132"/>
        <v>1.6313958617078541E-2</v>
      </c>
      <c r="O161" s="74">
        <f t="shared" si="133"/>
        <v>0.39782858920317593</v>
      </c>
    </row>
    <row r="162" spans="2:15" ht="24" customHeight="1" x14ac:dyDescent="0.35">
      <c r="B162" s="1" t="s">
        <v>75</v>
      </c>
      <c r="D162" s="13">
        <f t="shared" ref="D162:L162" si="135">D114</f>
        <v>0</v>
      </c>
      <c r="E162" s="13">
        <f t="shared" si="135"/>
        <v>0</v>
      </c>
      <c r="F162" s="13">
        <f t="shared" si="135"/>
        <v>0</v>
      </c>
      <c r="G162" s="69">
        <f t="shared" si="135"/>
        <v>0</v>
      </c>
      <c r="H162" s="13">
        <f t="shared" si="135"/>
        <v>0</v>
      </c>
      <c r="I162" s="13">
        <f t="shared" si="135"/>
        <v>0</v>
      </c>
      <c r="J162" s="13">
        <f t="shared" si="135"/>
        <v>0</v>
      </c>
      <c r="K162" s="13">
        <f t="shared" si="135"/>
        <v>0</v>
      </c>
      <c r="L162" s="13">
        <f t="shared" si="135"/>
        <v>0</v>
      </c>
      <c r="N162" s="73" t="str">
        <f t="shared" si="132"/>
        <v>N/A</v>
      </c>
      <c r="O162" s="74" t="str">
        <f t="shared" si="133"/>
        <v>N/A</v>
      </c>
    </row>
    <row r="163" spans="2:15" ht="24" customHeight="1" x14ac:dyDescent="0.35">
      <c r="B163" s="91" t="s">
        <v>3</v>
      </c>
      <c r="C163" s="91"/>
      <c r="D163" s="93">
        <f>SUM(D160:D162)</f>
        <v>10305.407999999999</v>
      </c>
      <c r="E163" s="93">
        <f t="shared" ref="E163:L163" si="136">SUM(E160:E162)</f>
        <v>10491.924000000001</v>
      </c>
      <c r="F163" s="93">
        <f t="shared" si="136"/>
        <v>12927.451999999999</v>
      </c>
      <c r="G163" s="94">
        <f t="shared" si="136"/>
        <v>15981.592859999997</v>
      </c>
      <c r="H163" s="93">
        <f t="shared" si="136"/>
        <v>29407.171983333334</v>
      </c>
      <c r="I163" s="93">
        <f t="shared" si="136"/>
        <v>44058</v>
      </c>
      <c r="J163" s="93">
        <f t="shared" si="136"/>
        <v>76308.498970000015</v>
      </c>
      <c r="K163" s="93">
        <f t="shared" si="136"/>
        <v>108711.6188468</v>
      </c>
      <c r="L163" s="93">
        <f t="shared" si="136"/>
        <v>152659.0494816</v>
      </c>
      <c r="N163" s="75">
        <f t="shared" si="132"/>
        <v>0.15749277984395885</v>
      </c>
      <c r="O163" s="76">
        <f t="shared" si="133"/>
        <v>0.5094451041478093</v>
      </c>
    </row>
    <row r="164" spans="2:15" ht="24" customHeight="1" x14ac:dyDescent="0.35">
      <c r="B164" s="16" t="s">
        <v>11</v>
      </c>
      <c r="D164" s="61"/>
      <c r="E164" s="21">
        <f>E163/D163-1</f>
        <v>1.8098846741439134E-2</v>
      </c>
      <c r="F164" s="21">
        <f t="shared" ref="F164" si="137">F163/E163-1</f>
        <v>0.23213359151286239</v>
      </c>
      <c r="G164" s="50">
        <f t="shared" ref="G164" si="138">G163/F163-1</f>
        <v>0.23625234578322152</v>
      </c>
      <c r="H164" s="21">
        <f t="shared" ref="H164" si="139">H163/G163-1</f>
        <v>0.84006514500415941</v>
      </c>
      <c r="I164" s="21">
        <f t="shared" ref="I164" si="140">I163/H163-1</f>
        <v>0.49820594870428536</v>
      </c>
      <c r="J164" s="21">
        <f t="shared" ref="J164" si="141">J163/I163-1</f>
        <v>0.73200097530527986</v>
      </c>
      <c r="K164" s="21">
        <f t="shared" ref="K164" si="142">K163/J163-1</f>
        <v>0.4246331708023634</v>
      </c>
      <c r="L164" s="21">
        <f t="shared" ref="L164" si="143">L163/K163-1</f>
        <v>0.40425697916183334</v>
      </c>
      <c r="N164" s="77"/>
      <c r="O164" s="78"/>
    </row>
    <row r="165" spans="2:15" ht="6" customHeight="1" x14ac:dyDescent="0.35">
      <c r="D165" s="61"/>
      <c r="E165" s="61"/>
      <c r="F165" s="61"/>
      <c r="G165" s="68"/>
      <c r="H165" s="61"/>
      <c r="I165" s="61"/>
      <c r="J165" s="61"/>
      <c r="K165" s="61"/>
      <c r="L165" s="61"/>
      <c r="N165" s="77"/>
      <c r="O165" s="78"/>
    </row>
    <row r="166" spans="2:15" ht="24" customHeight="1" x14ac:dyDescent="0.35">
      <c r="B166" s="1" t="s">
        <v>44</v>
      </c>
      <c r="D166" s="13">
        <f>D116</f>
        <v>0</v>
      </c>
      <c r="E166" s="13">
        <f t="shared" ref="E166:L166" si="144">E116</f>
        <v>-2926</v>
      </c>
      <c r="F166" s="13">
        <f t="shared" si="144"/>
        <v>-4706.26</v>
      </c>
      <c r="G166" s="69">
        <f t="shared" si="144"/>
        <v>-3838.953649</v>
      </c>
      <c r="H166" s="13">
        <f t="shared" si="144"/>
        <v>-7433.3233549999932</v>
      </c>
      <c r="I166" s="13">
        <f t="shared" si="144"/>
        <v>-11135.95445399999</v>
      </c>
      <c r="J166" s="13">
        <f t="shared" si="144"/>
        <v>-15936.922076000008</v>
      </c>
      <c r="K166" s="13">
        <f t="shared" si="144"/>
        <v>-20501.264362999998</v>
      </c>
      <c r="L166" s="13">
        <f t="shared" si="144"/>
        <v>-26953.975252</v>
      </c>
      <c r="N166" s="77"/>
      <c r="O166" s="78"/>
    </row>
    <row r="167" spans="2:15" ht="24" customHeight="1" x14ac:dyDescent="0.35">
      <c r="B167" s="1" t="s">
        <v>45</v>
      </c>
      <c r="D167" s="13">
        <f t="shared" ref="D167:L168" si="145">D117</f>
        <v>0</v>
      </c>
      <c r="E167" s="13">
        <f t="shared" si="145"/>
        <v>-1323.9</v>
      </c>
      <c r="F167" s="13">
        <f t="shared" si="145"/>
        <v>-1822.74</v>
      </c>
      <c r="G167" s="69">
        <f t="shared" si="145"/>
        <v>-2480.7138699999996</v>
      </c>
      <c r="H167" s="13">
        <f t="shared" si="145"/>
        <v>-3195.3975468832546</v>
      </c>
      <c r="I167" s="13">
        <f t="shared" si="145"/>
        <v>-4144.6384308379129</v>
      </c>
      <c r="J167" s="13">
        <f t="shared" si="145"/>
        <v>-8681.0692429999999</v>
      </c>
      <c r="K167" s="13">
        <f t="shared" si="145"/>
        <v>-12034.097490000013</v>
      </c>
      <c r="L167" s="13">
        <f t="shared" si="145"/>
        <v>-16539.376693000006</v>
      </c>
      <c r="N167" s="77"/>
      <c r="O167" s="78"/>
    </row>
    <row r="168" spans="2:15" ht="24" customHeight="1" x14ac:dyDescent="0.35">
      <c r="B168" s="1" t="s">
        <v>43</v>
      </c>
      <c r="D168" s="13">
        <f t="shared" si="145"/>
        <v>-3710.1655699999992</v>
      </c>
      <c r="E168" s="13">
        <f t="shared" si="145"/>
        <v>303.39600000000087</v>
      </c>
      <c r="F168" s="13">
        <f t="shared" si="145"/>
        <v>348.97800000000097</v>
      </c>
      <c r="G168" s="69">
        <f t="shared" si="145"/>
        <v>1.3859999999624506E-2</v>
      </c>
      <c r="H168" s="13">
        <f t="shared" si="145"/>
        <v>-108</v>
      </c>
      <c r="I168" s="13">
        <f t="shared" si="145"/>
        <v>1.3859999999624506E-2</v>
      </c>
      <c r="J168" s="13">
        <f t="shared" si="145"/>
        <v>1.3859999999624506E-2</v>
      </c>
      <c r="K168" s="13">
        <f t="shared" si="145"/>
        <v>1.3859999999624506E-2</v>
      </c>
      <c r="L168" s="13">
        <f t="shared" si="145"/>
        <v>1.3859999999624506E-2</v>
      </c>
      <c r="N168" s="77"/>
      <c r="O168" s="78"/>
    </row>
    <row r="169" spans="2:15" ht="24" customHeight="1" x14ac:dyDescent="0.35">
      <c r="B169" s="91" t="s">
        <v>48</v>
      </c>
      <c r="C169" s="91"/>
      <c r="D169" s="93">
        <f>SUM(D163,D166:D168)</f>
        <v>6595.2424300000002</v>
      </c>
      <c r="E169" s="93">
        <f t="shared" ref="E169:L169" si="146">SUM(E163,E166:E168)</f>
        <v>6545.4200000000019</v>
      </c>
      <c r="F169" s="93">
        <f t="shared" si="146"/>
        <v>6747.43</v>
      </c>
      <c r="G169" s="94">
        <f t="shared" si="146"/>
        <v>9661.9392009999974</v>
      </c>
      <c r="H169" s="93">
        <f t="shared" si="146"/>
        <v>18670.451081450086</v>
      </c>
      <c r="I169" s="93">
        <f t="shared" si="146"/>
        <v>28777.420975162095</v>
      </c>
      <c r="J169" s="93">
        <f t="shared" si="146"/>
        <v>51690.521511000006</v>
      </c>
      <c r="K169" s="93">
        <f t="shared" si="146"/>
        <v>76176.270853800001</v>
      </c>
      <c r="L169" s="93">
        <f t="shared" si="146"/>
        <v>109165.7113966</v>
      </c>
      <c r="N169" s="75">
        <f t="shared" ref="N169" si="147">IFERROR(RATE($G$148-$D$148,0,-$D169,$G169),"N/A")</f>
        <v>0.13573718555443839</v>
      </c>
      <c r="O169" s="76">
        <f t="shared" ref="O169" si="148">IFERROR(RATE($L$148-$H$148,0,-$H169,$L169),"N/A")</f>
        <v>0.55500883057990469</v>
      </c>
    </row>
    <row r="170" spans="2:15" ht="24" customHeight="1" x14ac:dyDescent="0.35">
      <c r="B170" s="16" t="s">
        <v>42</v>
      </c>
      <c r="D170" s="21">
        <f>D169/D163</f>
        <v>0.63997877910316614</v>
      </c>
      <c r="E170" s="21">
        <f t="shared" ref="E170:L170" si="149">E169/E163</f>
        <v>0.62385316553951409</v>
      </c>
      <c r="F170" s="21">
        <f t="shared" si="149"/>
        <v>0.52194585599699006</v>
      </c>
      <c r="G170" s="50">
        <f t="shared" si="149"/>
        <v>0.60456672158021674</v>
      </c>
      <c r="H170" s="21">
        <f t="shared" si="149"/>
        <v>0.63489447717147574</v>
      </c>
      <c r="I170" s="21">
        <f t="shared" si="149"/>
        <v>0.65317129636302362</v>
      </c>
      <c r="J170" s="21">
        <f t="shared" si="149"/>
        <v>0.67738878642235723</v>
      </c>
      <c r="K170" s="21">
        <f t="shared" si="149"/>
        <v>0.70071876090034235</v>
      </c>
      <c r="L170" s="21">
        <f t="shared" si="149"/>
        <v>0.71509492406316699</v>
      </c>
      <c r="N170" s="77"/>
      <c r="O170" s="78"/>
    </row>
    <row r="171" spans="2:15" ht="6" customHeight="1" x14ac:dyDescent="0.35">
      <c r="G171" s="47"/>
      <c r="N171" s="77"/>
      <c r="O171" s="78"/>
    </row>
    <row r="172" spans="2:15" ht="24" customHeight="1" x14ac:dyDescent="0.35">
      <c r="B172" s="1" t="s">
        <v>61</v>
      </c>
      <c r="D172" s="13">
        <f>D139</f>
        <v>-6340.5861500000001</v>
      </c>
      <c r="E172" s="13">
        <f t="shared" ref="E172:L172" si="150">E139</f>
        <v>-11467.27555</v>
      </c>
      <c r="F172" s="13">
        <f t="shared" si="150"/>
        <v>-16185.352129999999</v>
      </c>
      <c r="G172" s="69">
        <f t="shared" si="150"/>
        <v>-25229.878349999999</v>
      </c>
      <c r="H172" s="13">
        <f t="shared" si="150"/>
        <v>-28327.954960000003</v>
      </c>
      <c r="I172" s="13">
        <f t="shared" si="150"/>
        <v>-32011.485901690001</v>
      </c>
      <c r="J172" s="13">
        <f t="shared" si="150"/>
        <v>-40312.830124949993</v>
      </c>
      <c r="K172" s="13">
        <f t="shared" si="150"/>
        <v>-50972.618505630002</v>
      </c>
      <c r="L172" s="13">
        <f t="shared" si="150"/>
        <v>-63256.731515030013</v>
      </c>
      <c r="N172" s="77"/>
      <c r="O172" s="78"/>
    </row>
    <row r="173" spans="2:15" ht="24" customHeight="1" x14ac:dyDescent="0.35">
      <c r="B173" s="1" t="s">
        <v>62</v>
      </c>
      <c r="D173" s="13">
        <f>D140</f>
        <v>-10059.775589999999</v>
      </c>
      <c r="E173" s="13">
        <f t="shared" ref="E173:L173" si="151">E140</f>
        <v>-5057.2005099999997</v>
      </c>
      <c r="F173" s="13">
        <f t="shared" si="151"/>
        <v>-7954.0113100000008</v>
      </c>
      <c r="G173" s="69">
        <f t="shared" si="151"/>
        <v>-9387.2908099999986</v>
      </c>
      <c r="H173" s="13">
        <f t="shared" si="151"/>
        <v>-10414.902170000001</v>
      </c>
      <c r="I173" s="13">
        <f t="shared" si="151"/>
        <v>-12670.9728923</v>
      </c>
      <c r="J173" s="13">
        <f t="shared" si="151"/>
        <v>-14650.68140166</v>
      </c>
      <c r="K173" s="13">
        <f t="shared" si="151"/>
        <v>-16892.155355499999</v>
      </c>
      <c r="L173" s="13">
        <f t="shared" si="151"/>
        <v>-19324.916680010003</v>
      </c>
      <c r="N173" s="77"/>
      <c r="O173" s="78"/>
    </row>
    <row r="174" spans="2:15" ht="24" customHeight="1" x14ac:dyDescent="0.35">
      <c r="B174" s="91" t="s">
        <v>65</v>
      </c>
      <c r="C174" s="91"/>
      <c r="D174" s="93">
        <f>SUM(D169,D172:D173)</f>
        <v>-9805.1193099999982</v>
      </c>
      <c r="E174" s="93">
        <f t="shared" ref="E174:L174" si="152">SUM(E169,E172:E173)</f>
        <v>-9979.056059999999</v>
      </c>
      <c r="F174" s="93">
        <f t="shared" si="152"/>
        <v>-17391.933440000001</v>
      </c>
      <c r="G174" s="94">
        <f t="shared" si="152"/>
        <v>-24955.229959</v>
      </c>
      <c r="H174" s="93">
        <f t="shared" si="152"/>
        <v>-20072.406048549918</v>
      </c>
      <c r="I174" s="93">
        <f t="shared" si="152"/>
        <v>-15905.037818827906</v>
      </c>
      <c r="J174" s="93">
        <f t="shared" si="152"/>
        <v>-3272.9900156099866</v>
      </c>
      <c r="K174" s="93">
        <f t="shared" si="152"/>
        <v>8311.4969926699996</v>
      </c>
      <c r="L174" s="93">
        <f t="shared" si="152"/>
        <v>26584.063201559988</v>
      </c>
      <c r="N174" s="75"/>
      <c r="O174" s="76"/>
    </row>
    <row r="175" spans="2:15" ht="24" customHeight="1" thickBot="1" x14ac:dyDescent="0.4">
      <c r="B175" s="16" t="s">
        <v>66</v>
      </c>
      <c r="D175" s="87" t="str">
        <f>IF(D174/D$163&lt;0,"NM",D174/D$163)</f>
        <v>NM</v>
      </c>
      <c r="E175" s="87" t="str">
        <f t="shared" ref="E175:L175" si="153">IF(E174/E$163&lt;0,"NM",E174/E$163)</f>
        <v>NM</v>
      </c>
      <c r="F175" s="87" t="str">
        <f t="shared" si="153"/>
        <v>NM</v>
      </c>
      <c r="G175" s="89" t="str">
        <f t="shared" si="153"/>
        <v>NM</v>
      </c>
      <c r="H175" s="87" t="str">
        <f t="shared" si="153"/>
        <v>NM</v>
      </c>
      <c r="I175" s="87" t="str">
        <f t="shared" si="153"/>
        <v>NM</v>
      </c>
      <c r="J175" s="87" t="str">
        <f t="shared" si="153"/>
        <v>NM</v>
      </c>
      <c r="K175" s="87">
        <f t="shared" si="153"/>
        <v>7.6454541665715012E-2</v>
      </c>
      <c r="L175" s="87">
        <f t="shared" si="153"/>
        <v>0.17414010693656368</v>
      </c>
      <c r="N175" s="99"/>
      <c r="O175" s="100"/>
    </row>
    <row r="177" spans="1:16" ht="24" customHeight="1" x14ac:dyDescent="0.35">
      <c r="A177" s="9" t="s">
        <v>33</v>
      </c>
      <c r="B177" s="3" t="s">
        <v>69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9" t="s">
        <v>33</v>
      </c>
    </row>
    <row r="178" spans="1:16" ht="6" customHeight="1" x14ac:dyDescent="0.35"/>
    <row r="179" spans="1:16" ht="24" customHeight="1" x14ac:dyDescent="0.35">
      <c r="D179" s="147" t="s">
        <v>7</v>
      </c>
      <c r="E179" s="147"/>
      <c r="F179" s="147"/>
      <c r="G179" s="148"/>
      <c r="H179" s="147" t="s">
        <v>14</v>
      </c>
      <c r="I179" s="147"/>
      <c r="J179" s="147"/>
      <c r="K179" s="147"/>
      <c r="L179" s="147"/>
    </row>
    <row r="180" spans="1:16" ht="24" customHeight="1" x14ac:dyDescent="0.35">
      <c r="D180" s="10">
        <v>42735</v>
      </c>
      <c r="E180" s="6">
        <f>EOMONTH(D180,12)</f>
        <v>43100</v>
      </c>
      <c r="F180" s="6">
        <f>EOMONTH(E180,12)</f>
        <v>43465</v>
      </c>
      <c r="G180" s="25">
        <f>EOMONTH(F180,12)</f>
        <v>43830</v>
      </c>
      <c r="H180" s="6">
        <f>EOMONTH(G180,12)</f>
        <v>44196</v>
      </c>
      <c r="I180" s="6">
        <f t="shared" ref="I180:L180" si="154">EOMONTH(H180,12)</f>
        <v>44561</v>
      </c>
      <c r="J180" s="6">
        <f t="shared" si="154"/>
        <v>44926</v>
      </c>
      <c r="K180" s="6">
        <f t="shared" si="154"/>
        <v>45291</v>
      </c>
      <c r="L180" s="6">
        <f t="shared" si="154"/>
        <v>45657</v>
      </c>
      <c r="M180" s="10"/>
    </row>
    <row r="181" spans="1:16" ht="24" customHeight="1" thickBot="1" x14ac:dyDescent="0.4">
      <c r="B181" s="7"/>
      <c r="C181" s="7"/>
      <c r="D181" s="7">
        <f>YEAR(D180)</f>
        <v>2016</v>
      </c>
      <c r="E181" s="7">
        <f>YEAR(E180)</f>
        <v>2017</v>
      </c>
      <c r="F181" s="7">
        <f>YEAR(F180)</f>
        <v>2018</v>
      </c>
      <c r="G181" s="8">
        <f>YEAR(G180)</f>
        <v>2019</v>
      </c>
      <c r="H181" s="24">
        <f>YEAR(H180)</f>
        <v>2020</v>
      </c>
      <c r="I181" s="24">
        <f t="shared" ref="I181" si="155">YEAR(I180)</f>
        <v>2021</v>
      </c>
      <c r="J181" s="24">
        <f t="shared" ref="J181" si="156">YEAR(J180)</f>
        <v>2022</v>
      </c>
      <c r="K181" s="24">
        <f t="shared" ref="K181" si="157">YEAR(K180)</f>
        <v>2023</v>
      </c>
      <c r="L181" s="24">
        <f t="shared" ref="L181" si="158">YEAR(L180)</f>
        <v>2024</v>
      </c>
      <c r="M181" s="24"/>
      <c r="N181" s="24"/>
      <c r="O181" s="24"/>
    </row>
    <row r="182" spans="1:16" ht="6" customHeight="1" thickTop="1" x14ac:dyDescent="0.35">
      <c r="G182" s="45"/>
    </row>
    <row r="183" spans="1:16" ht="24" customHeight="1" x14ac:dyDescent="0.35">
      <c r="B183" s="1" t="s">
        <v>65</v>
      </c>
      <c r="D183" s="61">
        <f>D174</f>
        <v>-9805.1193099999982</v>
      </c>
      <c r="E183" s="61">
        <f t="shared" ref="E183:L183" si="159">E174</f>
        <v>-9979.056059999999</v>
      </c>
      <c r="F183" s="61">
        <f t="shared" si="159"/>
        <v>-17391.933440000001</v>
      </c>
      <c r="G183" s="68">
        <f t="shared" si="159"/>
        <v>-24955.229959</v>
      </c>
      <c r="H183" s="61">
        <f t="shared" si="159"/>
        <v>-20072.406048549918</v>
      </c>
      <c r="I183" s="61">
        <f t="shared" si="159"/>
        <v>-15905.037818827906</v>
      </c>
      <c r="J183" s="61">
        <f t="shared" si="159"/>
        <v>-3272.9900156099866</v>
      </c>
      <c r="K183" s="61">
        <f t="shared" si="159"/>
        <v>8311.4969926699996</v>
      </c>
      <c r="L183" s="61">
        <f t="shared" si="159"/>
        <v>26584.063201559988</v>
      </c>
    </row>
    <row r="184" spans="1:16" ht="24" customHeight="1" x14ac:dyDescent="0.35">
      <c r="B184" s="1" t="s">
        <v>82</v>
      </c>
      <c r="D184" s="14">
        <v>-22.460999999999999</v>
      </c>
      <c r="E184" s="14">
        <v>-141.62899999999999</v>
      </c>
      <c r="F184" s="14">
        <v>-154.03299999999999</v>
      </c>
      <c r="G184" s="48">
        <v>-217.28181333333325</v>
      </c>
      <c r="H184" s="32">
        <f>-PRODUCT(H$163,H$45)</f>
        <v>-279.55731870641</v>
      </c>
      <c r="I184" s="32">
        <f t="shared" ref="I184:L184" si="160">-PRODUCT(I$163,I$45)</f>
        <v>-279.54990902473719</v>
      </c>
      <c r="J184" s="32">
        <f t="shared" si="160"/>
        <v>-279.54959999999994</v>
      </c>
      <c r="K184" s="32">
        <f t="shared" si="160"/>
        <v>-279.54959999999994</v>
      </c>
      <c r="L184" s="32">
        <f t="shared" si="160"/>
        <v>-279.54959999999994</v>
      </c>
    </row>
    <row r="185" spans="1:16" ht="24" customHeight="1" x14ac:dyDescent="0.35">
      <c r="B185" s="1" t="s">
        <v>85</v>
      </c>
      <c r="D185" s="14">
        <v>-154.63</v>
      </c>
      <c r="E185" s="14">
        <v>-251.85499999999999</v>
      </c>
      <c r="F185" s="14">
        <v>-699.85799999999995</v>
      </c>
      <c r="G185" s="48">
        <v>-1145</v>
      </c>
      <c r="H185" s="14">
        <v>-3000</v>
      </c>
      <c r="I185" s="14">
        <v>-3000</v>
      </c>
      <c r="J185" s="14">
        <v>-6000</v>
      </c>
      <c r="K185" s="14">
        <v>-6000</v>
      </c>
      <c r="L185" s="14">
        <v>-9000</v>
      </c>
    </row>
    <row r="186" spans="1:16" ht="24" customHeight="1" x14ac:dyDescent="0.35">
      <c r="B186" s="1" t="s">
        <v>86</v>
      </c>
      <c r="D186" s="14">
        <v>6340.5853100000004</v>
      </c>
      <c r="E186" s="14">
        <v>59.218059999996512</v>
      </c>
      <c r="F186" s="14">
        <v>-2.5599999996757106E-3</v>
      </c>
      <c r="G186" s="48">
        <v>-375.54141447482016</v>
      </c>
      <c r="H186" s="14">
        <v>-3.2634867717433735E-3</v>
      </c>
      <c r="I186" s="14">
        <v>0</v>
      </c>
      <c r="J186" s="14">
        <v>0</v>
      </c>
      <c r="K186" s="14">
        <v>0</v>
      </c>
      <c r="L186" s="14">
        <v>0</v>
      </c>
    </row>
    <row r="187" spans="1:16" ht="24" customHeight="1" x14ac:dyDescent="0.35">
      <c r="B187" s="17" t="s">
        <v>87</v>
      </c>
      <c r="C187" s="18"/>
      <c r="D187" s="57">
        <f>SUM(D183:D186)</f>
        <v>-3641.6249999999964</v>
      </c>
      <c r="E187" s="57">
        <f t="shared" ref="E187:L187" si="161">SUM(E183:E186)</f>
        <v>-10313.322000000004</v>
      </c>
      <c r="F187" s="57">
        <f t="shared" si="161"/>
        <v>-18245.827000000001</v>
      </c>
      <c r="G187" s="58">
        <f t="shared" si="161"/>
        <v>-26693.053186808156</v>
      </c>
      <c r="H187" s="57">
        <f t="shared" si="161"/>
        <v>-23351.9666307431</v>
      </c>
      <c r="I187" s="57">
        <f t="shared" si="161"/>
        <v>-19184.587727852646</v>
      </c>
      <c r="J187" s="57">
        <f t="shared" si="161"/>
        <v>-9552.5396156099869</v>
      </c>
      <c r="K187" s="57">
        <f t="shared" si="161"/>
        <v>2031.9473926699993</v>
      </c>
      <c r="L187" s="57">
        <f t="shared" si="161"/>
        <v>17304.513601559989</v>
      </c>
    </row>
    <row r="188" spans="1:16" ht="24" customHeight="1" x14ac:dyDescent="0.35">
      <c r="B188" s="1" t="s">
        <v>88</v>
      </c>
      <c r="D188" s="14">
        <v>-511.93299999999999</v>
      </c>
      <c r="E188" s="14">
        <v>-651.48598000000004</v>
      </c>
      <c r="F188" s="14">
        <v>-61.853210000000004</v>
      </c>
      <c r="G188" s="48">
        <v>-183.67752999999999</v>
      </c>
      <c r="H188" s="14">
        <v>-589</v>
      </c>
      <c r="I188" s="14">
        <v>0</v>
      </c>
      <c r="J188" s="14">
        <v>0</v>
      </c>
      <c r="K188" s="14">
        <v>0</v>
      </c>
      <c r="L188" s="14">
        <v>0</v>
      </c>
    </row>
    <row r="189" spans="1:16" ht="24" customHeight="1" x14ac:dyDescent="0.35">
      <c r="B189" s="1" t="s">
        <v>90</v>
      </c>
      <c r="D189" s="14">
        <v>0</v>
      </c>
      <c r="E189" s="14">
        <v>305.48198000000002</v>
      </c>
      <c r="F189" s="14">
        <v>51.990220000000001</v>
      </c>
      <c r="G189" s="48">
        <v>705.26704000000007</v>
      </c>
      <c r="H189" s="14">
        <v>64.720266412000015</v>
      </c>
      <c r="I189" s="14">
        <v>745.92894000000001</v>
      </c>
      <c r="J189" s="14">
        <v>729.13576</v>
      </c>
      <c r="K189" s="14">
        <v>731.28733</v>
      </c>
      <c r="L189" s="14">
        <v>1006.08566</v>
      </c>
    </row>
    <row r="190" spans="1:16" ht="24" customHeight="1" x14ac:dyDescent="0.35">
      <c r="B190" s="1" t="s">
        <v>91</v>
      </c>
      <c r="D190" s="14">
        <v>0</v>
      </c>
      <c r="E190" s="14">
        <v>0</v>
      </c>
      <c r="F190" s="14">
        <v>-19.8</v>
      </c>
      <c r="G190" s="48">
        <v>0.51824000000000003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</row>
    <row r="191" spans="1:16" ht="24" customHeight="1" x14ac:dyDescent="0.35">
      <c r="B191" s="17" t="s">
        <v>89</v>
      </c>
      <c r="C191" s="18"/>
      <c r="D191" s="57">
        <f>SUM(D187:D190)</f>
        <v>-4153.5579999999964</v>
      </c>
      <c r="E191" s="57">
        <f t="shared" ref="E191:L191" si="162">SUM(E187:E190)</f>
        <v>-10659.326000000003</v>
      </c>
      <c r="F191" s="57">
        <f t="shared" si="162"/>
        <v>-18275.489990000002</v>
      </c>
      <c r="G191" s="58">
        <f t="shared" si="162"/>
        <v>-26170.945436808157</v>
      </c>
      <c r="H191" s="57">
        <f t="shared" si="162"/>
        <v>-23876.246364331098</v>
      </c>
      <c r="I191" s="57">
        <f t="shared" si="162"/>
        <v>-18438.658787852644</v>
      </c>
      <c r="J191" s="57">
        <f t="shared" si="162"/>
        <v>-8823.4038556099877</v>
      </c>
      <c r="K191" s="57">
        <f t="shared" si="162"/>
        <v>2763.2347226699994</v>
      </c>
      <c r="L191" s="57">
        <f t="shared" si="162"/>
        <v>18310.59926155999</v>
      </c>
    </row>
    <row r="192" spans="1:16" ht="24" customHeight="1" x14ac:dyDescent="0.35">
      <c r="B192" s="1" t="s">
        <v>92</v>
      </c>
      <c r="D192" s="13">
        <f>-D184</f>
        <v>22.460999999999999</v>
      </c>
      <c r="E192" s="13">
        <f t="shared" ref="E192:L192" si="163">-E184</f>
        <v>141.62899999999999</v>
      </c>
      <c r="F192" s="13">
        <f t="shared" si="163"/>
        <v>154.03299999999999</v>
      </c>
      <c r="G192" s="69">
        <f t="shared" si="163"/>
        <v>217.28181333333325</v>
      </c>
      <c r="H192" s="13">
        <f t="shared" si="163"/>
        <v>279.55731870641</v>
      </c>
      <c r="I192" s="13">
        <f t="shared" si="163"/>
        <v>279.54990902473719</v>
      </c>
      <c r="J192" s="13">
        <f t="shared" si="163"/>
        <v>279.54959999999994</v>
      </c>
      <c r="K192" s="13">
        <f t="shared" si="163"/>
        <v>279.54959999999994</v>
      </c>
      <c r="L192" s="13">
        <f t="shared" si="163"/>
        <v>279.54959999999994</v>
      </c>
    </row>
    <row r="193" spans="1:16" ht="24" customHeight="1" x14ac:dyDescent="0.35">
      <c r="B193" s="1" t="s">
        <v>93</v>
      </c>
      <c r="D193" s="14">
        <v>1111.9100000000003</v>
      </c>
      <c r="E193" s="14">
        <v>-396.79179999999928</v>
      </c>
      <c r="F193" s="14">
        <v>1930.0770725000034</v>
      </c>
      <c r="G193" s="48">
        <v>3826.4537466666634</v>
      </c>
      <c r="H193" s="13">
        <f>PRODUCT(H$163,H$46)</f>
        <v>-697.8810413274532</v>
      </c>
      <c r="I193" s="13">
        <f t="shared" ref="I193:L193" si="164">PRODUCT(I$163,I$46)</f>
        <v>7545.166592992332</v>
      </c>
      <c r="J193" s="13">
        <f t="shared" si="164"/>
        <v>7311.5008700000408</v>
      </c>
      <c r="K193" s="13">
        <f t="shared" si="164"/>
        <v>6230.7729780130012</v>
      </c>
      <c r="L193" s="13">
        <f t="shared" si="164"/>
        <v>9344.2352333340059</v>
      </c>
    </row>
    <row r="194" spans="1:16" ht="24" customHeight="1" x14ac:dyDescent="0.35">
      <c r="B194" s="17" t="s">
        <v>94</v>
      </c>
      <c r="C194" s="18"/>
      <c r="D194" s="57">
        <f>SUM(D191:D193)</f>
        <v>-3019.1869999999958</v>
      </c>
      <c r="E194" s="57">
        <f t="shared" ref="E194:L194" si="165">SUM(E191:E193)</f>
        <v>-10914.488800000001</v>
      </c>
      <c r="F194" s="57">
        <f t="shared" si="165"/>
        <v>-16191.379917499999</v>
      </c>
      <c r="G194" s="58">
        <f t="shared" si="165"/>
        <v>-22127.20987680816</v>
      </c>
      <c r="H194" s="57">
        <f t="shared" si="165"/>
        <v>-24294.570086952139</v>
      </c>
      <c r="I194" s="57">
        <f t="shared" si="165"/>
        <v>-10613.942285835576</v>
      </c>
      <c r="J194" s="57">
        <f t="shared" si="165"/>
        <v>-1232.3533856099466</v>
      </c>
      <c r="K194" s="57">
        <f t="shared" si="165"/>
        <v>9273.557300683</v>
      </c>
      <c r="L194" s="57">
        <f t="shared" si="165"/>
        <v>27934.384094893994</v>
      </c>
    </row>
    <row r="195" spans="1:16" ht="24" customHeight="1" x14ac:dyDescent="0.35">
      <c r="B195" s="1" t="s">
        <v>95</v>
      </c>
      <c r="D195" s="14">
        <v>-94.977000000000004</v>
      </c>
      <c r="E195" s="14">
        <v>-156.6293</v>
      </c>
      <c r="F195" s="14">
        <v>-208.536</v>
      </c>
      <c r="G195" s="48">
        <v>-604.0656899999999</v>
      </c>
      <c r="H195" s="32">
        <f>-PRODUCT(H$47,H163)</f>
        <v>-1637.2442399999993</v>
      </c>
      <c r="I195" s="32">
        <f t="shared" ref="I195:L195" si="166">-PRODUCT(I$47,I163)</f>
        <v>-595.20000000000016</v>
      </c>
      <c r="J195" s="32">
        <f t="shared" si="166"/>
        <v>-2000.0000400000006</v>
      </c>
      <c r="K195" s="32">
        <f t="shared" si="166"/>
        <v>-3000</v>
      </c>
      <c r="L195" s="32">
        <f t="shared" si="166"/>
        <v>-3000</v>
      </c>
    </row>
    <row r="196" spans="1:16" ht="24" customHeight="1" x14ac:dyDescent="0.35">
      <c r="B196" s="1" t="s">
        <v>96</v>
      </c>
      <c r="D196" s="14">
        <v>0</v>
      </c>
      <c r="E196" s="14">
        <v>-307.42595999999912</v>
      </c>
      <c r="F196" s="14">
        <v>-40.771940000000939</v>
      </c>
      <c r="G196" s="48">
        <v>-168.5619500000023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</row>
    <row r="197" spans="1:16" ht="24" customHeight="1" x14ac:dyDescent="0.35">
      <c r="B197" s="91" t="s">
        <v>4</v>
      </c>
      <c r="C197" s="91"/>
      <c r="D197" s="93">
        <f>SUM(D194:D196)</f>
        <v>-3114.1639999999957</v>
      </c>
      <c r="E197" s="93">
        <f t="shared" ref="E197:L197" si="167">SUM(E194:E196)</f>
        <v>-11378.54406</v>
      </c>
      <c r="F197" s="93">
        <f t="shared" si="167"/>
        <v>-16440.687857500001</v>
      </c>
      <c r="G197" s="94">
        <f t="shared" si="167"/>
        <v>-22899.837516808162</v>
      </c>
      <c r="H197" s="93">
        <f t="shared" si="167"/>
        <v>-25931.814326952139</v>
      </c>
      <c r="I197" s="93">
        <f t="shared" si="167"/>
        <v>-11209.142285835576</v>
      </c>
      <c r="J197" s="93">
        <f t="shared" si="167"/>
        <v>-3232.3534256099474</v>
      </c>
      <c r="K197" s="93">
        <f t="shared" si="167"/>
        <v>6273.557300683</v>
      </c>
      <c r="L197" s="93">
        <f t="shared" si="167"/>
        <v>24934.384094893994</v>
      </c>
    </row>
    <row r="198" spans="1:16" ht="24" customHeight="1" x14ac:dyDescent="0.35">
      <c r="G198" s="47"/>
    </row>
    <row r="199" spans="1:16" ht="24" customHeight="1" x14ac:dyDescent="0.35">
      <c r="B199" s="1" t="s">
        <v>99</v>
      </c>
      <c r="F199" s="54">
        <v>4788.69794</v>
      </c>
      <c r="G199" s="68">
        <f>F202</f>
        <v>41131.6470825</v>
      </c>
      <c r="H199" s="61">
        <f>G202</f>
        <v>24379.336225691837</v>
      </c>
      <c r="I199" s="61">
        <f t="shared" ref="I199:L199" si="168">H202</f>
        <v>8947.5218987396984</v>
      </c>
      <c r="J199" s="61">
        <f t="shared" si="168"/>
        <v>40238.379612904122</v>
      </c>
      <c r="K199" s="61">
        <f t="shared" si="168"/>
        <v>37006.026187294177</v>
      </c>
      <c r="L199" s="61">
        <f t="shared" si="168"/>
        <v>43279.583487977179</v>
      </c>
    </row>
    <row r="200" spans="1:16" ht="24" customHeight="1" x14ac:dyDescent="0.35">
      <c r="B200" s="1" t="s">
        <v>100</v>
      </c>
      <c r="F200" s="61">
        <f>F197</f>
        <v>-16440.687857500001</v>
      </c>
      <c r="G200" s="68">
        <f t="shared" ref="G200:L200" si="169">G197</f>
        <v>-22899.837516808162</v>
      </c>
      <c r="H200" s="61">
        <f t="shared" si="169"/>
        <v>-25931.814326952139</v>
      </c>
      <c r="I200" s="61">
        <f t="shared" si="169"/>
        <v>-11209.142285835576</v>
      </c>
      <c r="J200" s="61">
        <f t="shared" si="169"/>
        <v>-3232.3534256099474</v>
      </c>
      <c r="K200" s="61">
        <f t="shared" si="169"/>
        <v>6273.557300683</v>
      </c>
      <c r="L200" s="61">
        <f t="shared" si="169"/>
        <v>24934.384094893994</v>
      </c>
    </row>
    <row r="201" spans="1:16" ht="24" customHeight="1" x14ac:dyDescent="0.35">
      <c r="B201" s="1" t="s">
        <v>101</v>
      </c>
      <c r="F201" s="14">
        <v>52783.637000000002</v>
      </c>
      <c r="G201" s="48">
        <v>6147.5266599999995</v>
      </c>
      <c r="H201" s="14">
        <v>10500</v>
      </c>
      <c r="I201" s="14">
        <v>42500</v>
      </c>
      <c r="J201" s="14">
        <v>0</v>
      </c>
      <c r="K201" s="14">
        <v>0</v>
      </c>
      <c r="L201" s="14">
        <v>0</v>
      </c>
    </row>
    <row r="202" spans="1:16" ht="24" customHeight="1" x14ac:dyDescent="0.35">
      <c r="A202" s="9" t="s">
        <v>33</v>
      </c>
      <c r="B202" s="91" t="s">
        <v>102</v>
      </c>
      <c r="C202" s="92"/>
      <c r="D202" s="92"/>
      <c r="E202" s="92"/>
      <c r="F202" s="93">
        <f>SUM(F199:F201)</f>
        <v>41131.6470825</v>
      </c>
      <c r="G202" s="94">
        <f>SUM(G199:G201)</f>
        <v>24379.336225691837</v>
      </c>
      <c r="H202" s="93">
        <f t="shared" ref="H202:L202" si="170">SUM(H199:H201)</f>
        <v>8947.5218987396984</v>
      </c>
      <c r="I202" s="93">
        <f t="shared" si="170"/>
        <v>40238.379612904122</v>
      </c>
      <c r="J202" s="93">
        <f t="shared" si="170"/>
        <v>37006.026187294177</v>
      </c>
      <c r="K202" s="93">
        <f t="shared" si="170"/>
        <v>43279.583487977179</v>
      </c>
      <c r="L202" s="93">
        <f t="shared" si="170"/>
        <v>68213.967582871177</v>
      </c>
      <c r="P202" s="9" t="s">
        <v>33</v>
      </c>
    </row>
  </sheetData>
  <mergeCells count="10">
    <mergeCell ref="D146:G146"/>
    <mergeCell ref="H146:L146"/>
    <mergeCell ref="D179:G179"/>
    <mergeCell ref="H179:L179"/>
    <mergeCell ref="D53:G53"/>
    <mergeCell ref="H53:L53"/>
    <mergeCell ref="D78:G78"/>
    <mergeCell ref="H78:L78"/>
    <mergeCell ref="D106:G106"/>
    <mergeCell ref="H106:L106"/>
  </mergeCells>
  <pageMargins left="0.7" right="0.7" top="0.75" bottom="0.75" header="0.3" footer="0.3"/>
  <pageSetup scale="37" fitToHeight="0" orientation="landscape" r:id="rId1"/>
  <colBreaks count="1" manualBreakCount="1">
    <brk id="15" max="20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 Annual Financials</vt:lpstr>
      <vt:lpstr>Operating Model</vt:lpstr>
      <vt:lpstr>'Operating Model'!Print_Area</vt:lpstr>
      <vt:lpstr>'Summary Annual Financials'!Print_Area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2026-01-21T22:52:57Z</dcterms:created>
  <dcterms:modified xsi:type="dcterms:W3CDTF">2026-02-24T17:30:27Z</dcterms:modified>
</cp:coreProperties>
</file>