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5"/>
  </bookViews>
  <sheets>
    <sheet r:id="rId1" name="Cover" sheetId="1"/>
    <sheet r:id="rId2" name="Historical Financials" sheetId="2"/>
    <sheet r:id="rId3" name="Capex &amp; NWC Drivers" sheetId="3"/>
    <sheet r:id="rId4" name="P&amp;L Drivers" sheetId="4"/>
    <sheet r:id="rId5" name="Returns Model" sheetId="5"/>
  </sheets>
  <definedNames>
    <definedName name="\0">#REF!</definedName>
    <definedName name="\i">#REF!</definedName>
    <definedName name="\L">#REF!</definedName>
    <definedName name="\m">#REF!</definedName>
    <definedName name="\R">#REF!</definedName>
    <definedName name="\t">#REF!</definedName>
    <definedName name="__FDS_HYPERLINK_TOGGLE_STATE__">"ON"</definedName>
    <definedName name="__FDS_UNIQUE_RANGE_ID_GENERATOR_COUNTER">1</definedName>
    <definedName name="_1">#REF!</definedName>
    <definedName name="_1__FDSAUDITLINK__">{"fdsup://IBCentral/FAT Viewer?action=UPDATE&amp;creator=factset&amp;DOC_NAME=fat:reuters_ytd_source_window.fat&amp;display_string=Audit&amp;DYN_ARGS=TRUE&amp;VAR:ID1=26000310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__FDSAUDITLINK__">{"fdsup://IBCentral/FAT Viewer?action=UPDATE&amp;creator=factset&amp;DOC_NAME=fat:reuters_qtrly_source_window.fat&amp;display_string=Audit&amp;DYN_ARGS=TRUE&amp;VAR:ID1=38410910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_FDSAUDITLINK__">{"fdsup://IBCentral/FAT Viewer?action=UPDATE&amp;creator=factset&amp;DOC_NAME=fat:reuters_semi_source_window.fat&amp;display_string=Audit&amp;DYN_ARGS=TRUE&amp;VAR:ID1=GGG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11_19th_Street">#REF!</definedName>
    <definedName name="_12__FDSAUDITLINK__">{"fdsup://IBCentral/FAT Viewer?action=UPDATE&amp;creator=factset&amp;DOC_NAME=fat:reuters_qtrly_source_window.fat&amp;display_string=Audit&amp;DYN_ARGS=TRUE&amp;VAR:ID1=26000310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_FDSAUDITLINK__">{"fdsup://IBCentral/FAT Viewer?action=UPDATE&amp;creator=factset&amp;DOC_NAME=fat:reuters_semi_source_window.fat&amp;display_string=Audit&amp;DYN_ARGS=TRUE&amp;VAR:ID1=DOV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4__FDSAUDITLINK__">{"fdsup://IBCentral/FAT Viewer?action=UPDATE&amp;creator=factset&amp;DOC_NAME=fat:reuters_qtrly_shs_src_window.fat&amp;display_string=Audit&amp;DYN_ARGS=TRUE&amp;VAR:ID1=77669610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180_Accumulated_Depreciation___Equipment________________Courtyard___Plano__TX______0000">#REF!</definedName>
    <definedName name="_14182_Accumulated_Depreciation___Equipment___Capital_Leas_Courtyard___Philadelphia___0000">#REF!</definedName>
    <definedName name="_15__FDSAUDITLINK__">{"fdsup://IBCentral/FAT Viewer?action=UPDATE&amp;creator=factset&amp;DOC_NAME=fat:reuters_ytd_source_window.fat&amp;display_string=Audit&amp;DYN_ARGS=TRUE&amp;VAR:ID1=45167R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__FDSAUDITLINK__">{"fdsup://IBCentral/FAT Viewer?action=UPDATE&amp;creator=factset&amp;DOC_NAME=fat:reuters_ytd_source_window.fat&amp;display_string=Audit&amp;DYN_ARGS=TRUE&amp;VAR:ID1=46625H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__FDSAUDITLINK__">{"fdsup://IBCentral/FAT Viewer?action=UPDATE&amp;creator=factset&amp;DOC_NAME=fat:reuters_ytd_source_window.fat&amp;display_string=Audit&amp;DYN_ARGS=TRUE&amp;VAR:ID1=46625H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__FDSAUDITLINK__">{"fdsup://IBCentral/FAT Viewer?action=UPDATE&amp;creator=factset&amp;DOC_NAME=fat:reuters_ytd_source_window.fat&amp;display_string=Audit&amp;DYN_ARGS=TRUE&amp;VAR:ID1=45167R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__FDSAUDITLINK__">{"fdsup://IBCentral/FAT Viewer?action=UPDATE&amp;creator=factset&amp;DOC_NAME=fat:reuters_ytd_source_window.fat&amp;display_string=Audit&amp;DYN_ARGS=TRUE&amp;VAR:ID1=77669610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__FDSAUDITLINK__">{"fdsup://IBCentral/FAT Viewer?action=UPDATE&amp;creator=factset&amp;DOC_NAME=fat:reuters_ytd_source_window.fat&amp;display_string=Audit&amp;DYN_ARGS=TRUE&amp;VAR:ID1=65566310&amp;VAR:RCODE=VRXP&amp;VAR:SDATE=20081099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__FDSAUDITLINK__">{"fdsup://IBCentral/FAT Viewer?action=UPDATE&amp;creator=factset&amp;DOC_NAME=fat:reuters_ytd_source_window.fat&amp;display_string=Audit&amp;DYN_ARGS=TRUE&amp;VAR:ID1=77669610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2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4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5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5_0">#REF!</definedName>
    <definedName name="_26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8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9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__FDSAUDITLINK__">{"fdsup://IBCentral/FAT Viewer?action=UPDATE&amp;creator=factset&amp;DOC_NAME=fat:reuters_ytd_source_window.fat&amp;display_string=Audit&amp;DYN_ARGS=TRUE&amp;VAR:ID1=38410910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30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2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4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6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7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8__FDSAUDITLINK__">{"fdsup://IBCentral/FAT Viewer?action=UPDATE&amp;creator=factset&amp;DOC_NAME=fat:reuters_semi_source_window.fat&amp;display_string=Audit&amp;DYN_ARGS=TRUE&amp;VAR:ID1=NUE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39__FDSAUDITLINK__">{"fdsup://IBCentral/FAT Viewer?action=UPDATE&amp;creator=factset&amp;DOC_NAME=fat:reuters_qtrly_source_window.fat&amp;display_string=Audit&amp;DYN_ARGS=TRUE&amp;VAR:ID1=67034610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">{"fdsup://IBCentral/FAT Viewer?action=UPDATE&amp;creator=factset&amp;DOC_NAME=fat:reuters_ytd_source_window.fat&amp;display_string=Audit&amp;DYN_ARGS=TRUE&amp;VAR:ID1=38410910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0__FDSAUDITLINK__">{"fdsup://IBCentral/FAT Viewer?action=UPDATE&amp;creator=factset&amp;DOC_NAME=fat:reuters_qtrly_source_window.fat&amp;display_string=Audit&amp;DYN_ARGS=TRUE&amp;VAR:ID1=00154710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1__FDSAUDITLINK__">{"fdsup://IBCentral/FAT Viewer?action=UPDATE&amp;creator=factset&amp;DOC_NAME=fat:reuters_semi_source_window.fat&amp;display_string=Audit&amp;DYN_ARGS=TRUE&amp;VAR:ID1=TK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43__FDSAUDITLINK__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__FDSAUDITLINK__">{"fdsup://IBCentral/FAT Viewer?action=UPDATE&amp;creator=factset&amp;DOC_NAME=fat:reuters_qtrly_shs_src_window.fat&amp;display_string=Audit&amp;DYN_ARGS=TRUE&amp;VAR:ID1=67034610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5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5STEP_UP">#REF!</definedName>
    <definedName name="_46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7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8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9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__FDSAUDITLINK__">{"fdsup://IBCentral/FAT Viewer?action=UPDATE&amp;creator=factset&amp;DOC_NAME=fat:reuters_ytd_source_window.fat&amp;display_string=Audit&amp;DYN_ARGS=TRUE&amp;VAR:ID1=26000310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0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00_Marquette">#REF!</definedName>
    <definedName name="_51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2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3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4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5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6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7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8__FDSAUDITLINK__">{"fdsup://IBCentral/FAT Viewer?action=UPDATE&amp;creator=factset&amp;DOC_NAME=fat:reuters_semi_shs_src_window.fat&amp;display_string=Audit&amp;DYN_ARGS=TRUE&amp;VAR:ID1=B1RZDL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__FDSAUDITLINK__">{"fdsup://IBCentral/FAT Viewer?action=UPDATE&amp;creator=factset&amp;DOC_NAME=fat:reuters_qtrly_source_window.fat&amp;display_string=Audit&amp;DYN_ARGS=TRUE&amp;VAR:ID1=91290910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0_Spear">#REF!</definedName>
    <definedName name="_61__FDSAUDITLINK__">{"fdsup://IBCentral/FAT Viewer?action=UPDATE&amp;creator=factset&amp;DOC_NAME=fat:reuters_semi_source_window.fat&amp;display_string=Audit&amp;DYN_ARGS=TRUE&amp;VAR:ID1=AK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62__FDSAUDITLINK__">{"fdsup://IBCentral/FAT Viewer?action=UPDATE&amp;creator=factset&amp;DOC_NAME=fat:reuters_qtrly_source_window.fat&amp;display_string=Audit&amp;DYN_ARGS=TRUE&amp;VAR:ID1=Y8564W10&amp;VAR:RCODE=STLD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4__FDSAUDITLINK__">{"fdsup://IBCentral/FAT Viewer?action=UPDATE&amp;creator=factset&amp;DOC_NAME=fat:reuters_qtrly_source_window.fat&amp;display_string=Audit&amp;DYN_ARGS=TRUE&amp;VAR:ID1=85206110&amp;VAR:RCODE=STLD&amp;VAR:SDATE=20090399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5__FDSAUDITLINK__">{"fdsup://IBCentral/FAT Viewer?action=UPDATE&amp;creator=factset&amp;DOC_NAME=fat:reuters_semi_source_window.fat&amp;display_string=Audit&amp;DYN_ARGS=TRUE&amp;VAR:ID1=S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66__FDSAUDITLINK__">{"fdsup://IBCentral/FAT Viewer?action=UPDATE&amp;creator=factset&amp;DOC_NAME=fat:reuters_semi_source_window.fat&amp;display_string=Audit&amp;DYN_ARGS=TRUE&amp;VAR:ID1=B1RZDL&amp;VAR:RCODE=STLD&amp;VAR:SDATE=20081299&amp;VAR:FREQ=FSA&amp;VAR:RELITEM=RP&amp;VAR:CURRENCY=&amp;VAR:CURRSOURCE=EXSHARE&amp;VAR",":NATFREQ=FSA&amp;VAR:RFIELD=FINALIZED&amp;VAR:DB_TYPE=&amp;VAR:UNITS=M&amp;window=popup&amp;width=450&amp;height=300&amp;START_MAXIMIZED=FALSE"}</definedName>
    <definedName name="_67__FDSAUDITLINK__">{"fdsup://IBCentral/FAT Viewer?action=UPDATE&amp;creator=factset&amp;DOC_NAME=fat:reuters_semi_source_window.fat&amp;display_string=Audit&amp;DYN_ARGS=TRUE&amp;VAR:ID1=B1RZDL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8__FDSAUDITLINK__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9__FDSAUDITLINK__">{"fdsup://IBCentral/FAT Viewer?action=UPDATE&amp;creator=factset&amp;DOC_NAME=fat:reuters_semi_source_window.fat&amp;display_string=Audit&amp;DYN_ARGS=TRUE&amp;VAR:ID1=B1RZDL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70__FDSAUDITLINK__">{"fdsup://IBCentral/FAT Viewer?action=UPDATE&amp;creator=factset&amp;DOC_NAME=fat:reuters_semi_shs_src_window.fat&amp;display_string=Audit&amp;DYN_ARGS=TRUE&amp;VAR:ID1=332520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4__FDSAUDITLINK__">{"fdsup://IBCentral/FAT Viewer?action=UPDATE&amp;creator=factset&amp;DOC_NAME=fat:reuters_semi_source_window.fat&amp;display_string=Audit&amp;DYN_ARGS=TRUE&amp;VAR:ID1=B1RZDL&amp;VAR:RCODE=STLD&amp;VAR:SDATE=20081299&amp;VAR:FREQ=FSA&amp;VAR:RELITEM=RP&amp;VAR:CURRENCY=&amp;VAR:CURRSOURCE=EXSHARE&amp;VAR",":NATFREQ=FSA&amp;VAR:RFIELD=FINALIZED&amp;VAR:DB_TYPE=&amp;VAR:UNITS=M&amp;window=popup&amp;width=450&amp;height=300&amp;START_MAXIMIZED=FALSE"}</definedName>
    <definedName name="_76__FDSAUDITLINK__">{"fdsup://IBCentral/FAT Viewer?action=UPDATE&amp;creator=factset&amp;DOC_NAME=fat:reuters_semi_shs_src_window.fat&amp;display_string=Audit&amp;DYN_ARGS=TRUE&amp;VAR:ID1=B1RZDL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8__FDSAUDITLINK__">{"fdsup://IBCentral/FAT Viewer?action=UPDATE&amp;creator=factset&amp;DOC_NAME=fat:reuters_qtrly_source_window.fat&amp;display_string=Audit&amp;DYN_ARGS=TRUE&amp;VAR:ID1=45167R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_FDSAUDITLINK__">{"fdsup://IBCentral/FAT Viewer?action=UPDATE&amp;creator=factset&amp;DOC_NAME=fat:reuters_semi_source_window.fat&amp;display_string=Audit&amp;DYN_ARGS=TRUE&amp;VAR:ID1=IEX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93__FDSAUDITLINK__">{"fdsup://IBCentral/FAT Viewer?action=UPDATE&amp;creator=factset&amp;DOC_NAME=fat:reuters_qtrly_shs_src_window.fat&amp;display_string=Audit&amp;DYN_ARGS=TRUE&amp;VAR:ID1=91290910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4__FDSAUDITLINK__">{"fdsup://IBCentral/FAT Viewer?action=UPDATE&amp;creator=factset&amp;DOC_NAME=fat:reuters_qtrly_source_window.fat&amp;display_string=Audit&amp;DYN_ARGS=TRUE&amp;VAR:ID1=91290910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5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bdm.028285451B4742929125DFB41D546413.edm">#REF!</definedName>
    <definedName name="_bdm.16AA9A3EFC28404BA85B049587C880C8.edm">#REF!</definedName>
    <definedName name="_bdm.1D26AA9B3391447F9A7D401C2A2957EC.edm">#REF!</definedName>
    <definedName name="_bdm.1F34719A23B34845A4C25E45C3DDF83D.edm">#REF!</definedName>
    <definedName name="_bdm.22432391224B438D8EFBF7683098DD3E.edm">#REF!</definedName>
    <definedName name="_bdm.23D8DF48031241CBB016C38B4F807196.edm">#REF!</definedName>
    <definedName name="_bdm.450AC11AD54948929B5DFCF6E68CAEE5.edm">#REF!</definedName>
    <definedName name="_bdm.5A8BDDFBFD3842C2ABEA35DD2CA102C7.edm">#REF!</definedName>
    <definedName name="_bdm.619D0A075BCE49F3AE2DFCAB7922D2FB.edm">#REF!</definedName>
    <definedName name="_bdm.6698C999A3DB4955B72A8DE986E8E059.edm">#REF!</definedName>
    <definedName name="_bdm.716E8AC41D7F44889A91B9561AB5E54A.edm">#REF!</definedName>
    <definedName name="_bdm.8664FDAB4C71436BBE09980F3B0196AB.edm">#REF!</definedName>
    <definedName name="_bdm.8AB906D8C9734F2286D5C9AF62741447.edm">#REF!</definedName>
    <definedName name="_bdm.9A173BE4CFF34FAE89F3FA5B0BC17717.edm">#REF!</definedName>
    <definedName name="_bdm.A5D1906AC03742F2A1DCEBD455574B86.edm">#REF!</definedName>
    <definedName name="_bdm.A9DB6556387A48C986268CFFA66D14C5.edm">#REF!</definedName>
    <definedName name="_bdm.B1CD14597A1448FBBAD91ADC116AA817.edm">#REF!</definedName>
    <definedName name="_bdm.BD200F3830E14C118FAEF247DA56A648.edm">#REF!</definedName>
    <definedName name="_bdm.BE01C6A9B87D4520B2B9A588797491FA.edm">#REF!</definedName>
    <definedName name="_bdm.CAF081D66FB74576B10C513AD7F2BD14.edm">#REF!</definedName>
    <definedName name="_bdm.CD342BFF8027460E98352C7B8C9343A6.edm">#REF!</definedName>
    <definedName name="_bdm.D84D0266F6A548778138E8EDADA2A502.edm">#REF!</definedName>
    <definedName name="_bdm.DC24C60BD8804AD3B3B483F23A282A8E.edm">#REF!</definedName>
    <definedName name="_bdm.DC5CF1FCF3F649CC85B6C35F227B6EE3.edm">#REF!</definedName>
    <definedName name="_bdm.ED95D5371F0B4032AE81D39228F05494.edm">#REF!</definedName>
    <definedName name="_bdm.F05EE0B050FD40D196B178505BC36B9D.edm">#REF!</definedName>
    <definedName name="_bdm.ToolkitBookmark.1_24_2004_11_15_31_PM.edm">#REF!</definedName>
    <definedName name="_bdm.ToolkitBookmark.1_24_2004_8_24_02_PM.edm">#REF!</definedName>
    <definedName name="_bdm.ToolkitBookmark.1_24_2004_8_54_41_PM.edm">#REF!</definedName>
    <definedName name="_bdm.ToolkitBookmark.1_25_2004_9_47_15_PM.edm">#REF!</definedName>
    <definedName name="_bdm.ToolkitBookmark.1_25_2004_9_47_23_PM.edm">#REF!</definedName>
    <definedName name="_DCF2">#REF!</definedName>
    <definedName name="_DCF22">#REF!</definedName>
    <definedName name="_Dev2000">#REF!,#REF!,#REF!,#REF!,#REF!,#REF!</definedName>
    <definedName name="_Dev98">#REF!,#REF!,#REF!,#REF!,#REF!,#REF!</definedName>
    <definedName name="_FAC05">#REF!</definedName>
    <definedName name="_FAC11">#REF!</definedName>
    <definedName name="_FAC12">#REF!</definedName>
    <definedName name="_FAC14">#REF!</definedName>
    <definedName name="_FAC16">#REF!</definedName>
    <definedName name="_FAC18">#REF!</definedName>
    <definedName name="_FFO1">#REF!</definedName>
    <definedName name="_FFO2">#REF!</definedName>
    <definedName name="_FFO3">#REF!</definedName>
    <definedName name="_FFO4">#REF!</definedName>
    <definedName name="_FG1">{"schedule1",#N/A,FALSE,"Sheet1";"schedule2",#N/A,FALSE,"Sheet1";"schedule3",#N/A,FALSE,"Sheet1";"schedule4",#N/A,FALSE,"Sheet1";"schedule5",#N/A,FALSE,"Sheet1";"schedule6",#N/A,FALSE,"Sheet1"}</definedName>
    <definedName name="_Fill">#REF!</definedName>
    <definedName name="_xlnm._FilterDatabase">#REF!</definedName>
    <definedName name="_FYE1">#REF!</definedName>
    <definedName name="_FYE2">#REF!</definedName>
    <definedName name="_FYE22">#REF!</definedName>
    <definedName name="_gas2">{#N/A,#N/A,FALSE,"Aging Summary";#N/A,#N/A,FALSE,"Ratio Analysis";#N/A,#N/A,FALSE,"Test 120 Day Accts";#N/A,#N/A,FALSE,"Tickmarks"}</definedName>
    <definedName name="_gas3">{#N/A,#N/A,FALSE,"Aging Summary";#N/A,#N/A,FALSE,"Ratio Analysis";#N/A,#N/A,FALSE,"Test 120 Day Accts";#N/A,#N/A,FALSE,"Tickmarks"}</definedName>
    <definedName name="_gla1">#REF!</definedName>
    <definedName name="_gla2">#REF!</definedName>
    <definedName name="_Key2">#REF!</definedName>
    <definedName name="_LTM2">#REF!</definedName>
    <definedName name="_MGM1997">#REF!</definedName>
    <definedName name="_MGM1998">#REF!</definedName>
    <definedName name="_MGM99">#REF!</definedName>
    <definedName name="_NAV_Selection">#REF!</definedName>
    <definedName name="_OLD2">#REF!</definedName>
    <definedName name="_OP1">#REF!</definedName>
    <definedName name="_OP2">#REF!</definedName>
    <definedName name="_OP3">#REF!</definedName>
    <definedName name="_OP4">#REF!</definedName>
    <definedName name="_Order1">255</definedName>
    <definedName name="_Order2">0</definedName>
    <definedName name="_pel1">#N/A</definedName>
    <definedName name="_pel2">#N/A</definedName>
    <definedName name="_pg1">#N/A</definedName>
    <definedName name="_pg2">#N/A</definedName>
    <definedName name="_pg3">#N/A</definedName>
    <definedName name="_pr1">#N/A</definedName>
    <definedName name="_pr2">#N/A</definedName>
    <definedName name="_s2">{"'Expirations'!$A$1:$L$65"}</definedName>
    <definedName name="_Sort">#REF!</definedName>
    <definedName name="_SYN1">#REF!</definedName>
    <definedName name="_SYN2">#REF!</definedName>
    <definedName name="_SYN3">#REF!</definedName>
    <definedName name="_SYN4">#REF!</definedName>
    <definedName name="_SYN5">#REF!</definedName>
    <definedName name="_Table2_In1">#REF!</definedName>
    <definedName name="_Table2_In2">#REF!</definedName>
    <definedName name="_Table2_Out">#REF!</definedName>
    <definedName name="_Table3_In2">#REF!</definedName>
    <definedName name="_urs2">#REF!</definedName>
    <definedName name="_usr2">#REF!</definedName>
    <definedName name="_ust10">#REF!</definedName>
    <definedName name="_ust2">#REF!</definedName>
    <definedName name="_ust3">#REF!</definedName>
    <definedName name="_ust5">#REF!</definedName>
    <definedName name="_wrn1">{"schedule1",#N/A,FALSE,"Sheet1";"schedule2",#N/A,FALSE,"Sheet1";"schedule3",#N/A,FALSE,"Sheet1";"schedule4",#N/A,FALSE,"Sheet1";"schedule5",#N/A,FALSE,"Sheet1";"schedule6",#N/A,FALSE,"Sheet1"}</definedName>
    <definedName name="_YE2000">#REF!</definedName>
    <definedName name="A">{"FOschedule1",#N/A,FALSE,"Sheet1";"FOschedule2",#N/A,FALSE,"Sheet1";"FOschedule3",#N/A,FALSE,"Sheet1"}</definedName>
    <definedName name="a_123_error_1">#REF!</definedName>
    <definedName name="a_123_error_10">#REF!</definedName>
    <definedName name="a_123_error_11">#REF!</definedName>
    <definedName name="a_123_error_12">#REF!</definedName>
    <definedName name="a_123_error_13">#REF!</definedName>
    <definedName name="a_123_error_14">#REF!,#REF!,#REF!,#REF!,#REF!,#REF!</definedName>
    <definedName name="a_123_error_2">#REF!</definedName>
    <definedName name="a_123_error_3">#REF!,#REF!,#REF!</definedName>
    <definedName name="a_123_error_4">#REF!,#REF!</definedName>
    <definedName name="a_123_error_5">#REF!,#REF!</definedName>
    <definedName name="a_123_error_6">#REF!</definedName>
    <definedName name="a_123_error_7">#REF!,#REF!</definedName>
    <definedName name="a_123_error_8">#REF!</definedName>
    <definedName name="a_123_error_9">#REF!</definedName>
    <definedName name="A_BS">#N/A</definedName>
    <definedName name="A_CF">#N/A</definedName>
    <definedName name="A_is">#N/A</definedName>
    <definedName name="a_ticker">#REF!</definedName>
    <definedName name="a_z_error_1">#REF!,#REF!,#REF!,#REF!,#REF!,#REF!,#REF!,#REF!</definedName>
    <definedName name="a_z_error_10">#REF!,#REF!,#REF!,#REF!,#REF!,#REF!,#REF!,#REF!,#REF!,#REF!,#REF!,#REF!</definedName>
    <definedName name="a_z_error_11">#REF!,#REF!,#REF!,#REF!,#REF!,#REF!</definedName>
    <definedName name="a_z_error_12">#REF!,#REF!,#REF!,#REF!,#REF!,#REF!,#REF!,#REF!,#REF!,#REF!,#REF!,#REF!,#REF!,#REF!,#REF!,#REF!,#REF!,#REF!,#REF!,#REF!,#REF!,#REF!,#REF!,#REF!,#REF!,#REF!,#REF!,#REF!,#REF!</definedName>
    <definedName name="a_z_error_13">#REF!,#REF!,#REF!,#REF!,#REF!,#REF!,#REF!,#REF!,#REF!,#REF!,#REF!,#REF!,#REF!,#REF!</definedName>
    <definedName name="a_z_error_14">#REF!,#REF!,#REF!,#REF!,#REF!,#REF!,#REF!,#REF!,#REF!,#REF!</definedName>
    <definedName name="a_z_error_2">#REF!</definedName>
    <definedName name="a_z_error_3">#REF!,#REF!,#REF!,#REF!,#REF!,#REF!</definedName>
    <definedName name="a_z_error_4">#REF!,#REF!,#REF!</definedName>
    <definedName name="a_z_error_5">#REF!,#REF!,#REF!</definedName>
    <definedName name="a_z_error_6">#REF!,#REF!,#REF!,#REF!,#REF!,#REF!,#REF!,#REF!,#REF!,#REF!,#REF!,#REF!,#REF!,#REF!,#REF!</definedName>
    <definedName name="a_z_error_7">#REF!,#REF!,#REF!,#REF!,#REF!,#REF!,#REF!,#REF!,#REF!,#REF!,#REF!,#REF!,#REF!,#REF!,#REF!,#REF!,#REF!,#REF!,#REF!,#REF!,#REF!,#REF!,#REF!,#REF!,#REF!,#REF!,#REF!,#REF!,#REF!,#REF!</definedName>
    <definedName name="a_z_error_8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_z_error_9">#REF!,#REF!,#REF!,#REF!,#REF!,#REF!,#REF!,#REF!,#REF!,#REF!,#REF!,#REF!,#REF!,#REF!,#REF!</definedName>
    <definedName name="AA">#REF!</definedName>
    <definedName name="aaa">#REF!</definedName>
    <definedName name="AAA_DOCTOPS">"AAA_SET"</definedName>
    <definedName name="AAA_duser">"OFF"</definedName>
    <definedName name="AAB_Addin5">"AAB_Description for addin 5,Description for addin 5,Description for addin 5,Description for addin 5,Description for addin 5,Description for addin 5"</definedName>
    <definedName name="aamountfo05">#REF!</definedName>
    <definedName name="AbbrevQtr">#REF!</definedName>
    <definedName name="ABRIL">#REF!</definedName>
    <definedName name="accdil2">accdil2</definedName>
    <definedName name="account">#N/A</definedName>
    <definedName name="accum_dep_build">#REF!</definedName>
    <definedName name="accum_dep_caplease">#REF!</definedName>
    <definedName name="accum_dep_equip">#REF!</definedName>
    <definedName name="accum_dep_landimp">#REF!</definedName>
    <definedName name="acdil2">acdil2</definedName>
    <definedName name="acdil3">acdil3</definedName>
    <definedName name="acdil4">acdil4</definedName>
    <definedName name="acdl">acdl</definedName>
    <definedName name="acdl5">acdl5</definedName>
    <definedName name="ACEECY">#REF!</definedName>
    <definedName name="ACEENY">#REF!</definedName>
    <definedName name="ACNICY">#REF!</definedName>
    <definedName name="ACNINY">#REF!</definedName>
    <definedName name="Acq.LTM.EBITDA">#REF!</definedName>
    <definedName name="acq.price">#REF!</definedName>
    <definedName name="acq.synergies">#REF!</definedName>
    <definedName name="acq_cap">#REF!</definedName>
    <definedName name="acq_cap1">#REF!</definedName>
    <definedName name="acq_cap2">#REF!</definedName>
    <definedName name="acq_cap95">#REF!</definedName>
    <definedName name="Acq_Currency">#REF!</definedName>
    <definedName name="ACQ_SHPRICE">#REF!</definedName>
    <definedName name="acqltmebitda">#REF!</definedName>
    <definedName name="AcqPrice2">#REF!</definedName>
    <definedName name="acquirer">#REF!</definedName>
    <definedName name="ACQUIROR_NAME">#REF!</definedName>
    <definedName name="ACQUIROR_SHARES">#REF!</definedName>
    <definedName name="ACQUIROR_SUM">#REF!</definedName>
    <definedName name="AcquirorQuarters">#REF!</definedName>
    <definedName name="Acres">#REF!</definedName>
    <definedName name="ACYDilutedShares">#REF!</definedName>
    <definedName name="ad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_growth">#REF!</definedName>
    <definedName name="ADD_FWD">#REF!</definedName>
    <definedName name="adfa">{"cap_structure",#N/A,FALSE,"Graph-Mkt Cap";"price",#N/A,FALSE,"Graph-Price";"ebit",#N/A,FALSE,"Graph-EBITDA";"ebitda",#N/A,FALSE,"Graph-EBITDA"}</definedName>
    <definedName name="ADFWAE">{"summary1",#N/A,TRUE,"Comps";"summary2",#N/A,TRUE,"Comps";"summary3",#N/A,TRUE,"Comps"}</definedName>
    <definedName name="adgad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justedCost">#REF!</definedName>
    <definedName name="ads">{"inputs raw data",#N/A,TRUE,"INPUT"}</definedName>
    <definedName name="ADSFA">{"inputs raw data",#N/A,TRUE,"INPUT"}</definedName>
    <definedName name="AEECY">#REF!</definedName>
    <definedName name="AEENY">#REF!</definedName>
    <definedName name="AeroScen">#REF!</definedName>
    <definedName name="AEWEW">{"inputs raw data",#N/A,TRUE,"INPUT"}</definedName>
    <definedName name="affo">#REF!</definedName>
    <definedName name="AFFO_2004">#REF!</definedName>
    <definedName name="AFFO_2005">#REF!</definedName>
    <definedName name="AFFO_2006">#REF!</definedName>
    <definedName name="Agcy_Assump_PurchAmt">#REF!</definedName>
    <definedName name="Agcy_Assump_PurchFreq">#REF!</definedName>
    <definedName name="Agcy_Assump_PurchNum">#REF!</definedName>
    <definedName name="Agcy_Assump_ReinvHorizon">#REF!</definedName>
    <definedName name="Agcy_Model_IssuanceMo">#REF!</definedName>
    <definedName name="Agcy_Model_PurchType">#REF!</definedName>
    <definedName name="agin">{#N/A,#N/A,FALSE,"Aging Summary";#N/A,#N/A,FALSE,"Ratio Analysis";#N/A,#N/A,FALSE,"Test 120 Day Accts";#N/A,#N/A,FALSE,"Tickmarks"}</definedName>
    <definedName name="AGOSTO">#REF!</definedName>
    <definedName name="AInterestRate">#REF!</definedName>
    <definedName name="All_Assump_RatesLookup">#REF!</definedName>
    <definedName name="All_tables">{4}</definedName>
    <definedName name="allinfo04">#REF!</definedName>
    <definedName name="AllTables">{4}</definedName>
    <definedName name="Alltabless">{4}</definedName>
    <definedName name="ALM_monthly2">#REF!</definedName>
    <definedName name="ALTMEBITDA">#REF!</definedName>
    <definedName name="AMC">#REF!</definedName>
    <definedName name="amort">#REF!</definedName>
    <definedName name="AmortPeriod">#REF!</definedName>
    <definedName name="amount">#REF!</definedName>
    <definedName name="amountfo04">#REF!</definedName>
    <definedName name="amountfo05">#REF!</definedName>
    <definedName name="AMVE">#REF!</definedName>
    <definedName name="aname">#REF!</definedName>
    <definedName name="anchora2">#REF!</definedName>
    <definedName name="anchorat">#REF!</definedName>
    <definedName name="anchorb2">#REF!</definedName>
    <definedName name="anchorbt">#REF!</definedName>
    <definedName name="ANetDebt">#REF!</definedName>
    <definedName name="ANICY">#REF!</definedName>
    <definedName name="ANINY">#REF!</definedName>
    <definedName name="Annual_Earnings_Model">#REF!</definedName>
    <definedName name="Annual_interest_rate">#REF!</definedName>
    <definedName name="anscount">1</definedName>
    <definedName name="ANYDilutedShares">#REF!</definedName>
    <definedName name="APrice">#REF!</definedName>
    <definedName name="arew">{"cap_structure",#N/A,FALSE,"Graph-Mkt Cap";"price",#N/A,FALSE,"Graph-Price";"ebit",#N/A,FALSE,"Graph-EBITDA";"ebitda",#N/A,FALSE,"Graph-EBITDA"}</definedName>
    <definedName name="arg">{"inputs raw data",#N/A,TRUE,"INPUT"}</definedName>
    <definedName name="Argentina">#REF!</definedName>
    <definedName name="as">{"FCB_ALL",#N/A,FALSE,"FCB"}</definedName>
    <definedName name="AS2DocOpenMode">"AS2DocumentEdit"</definedName>
    <definedName name="AS2NamedRange">3</definedName>
    <definedName name="asdf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ASDFSAD">#REF!</definedName>
    <definedName name="asdfwqscv">asdfwqscv</definedName>
    <definedName name="AShares">#REF!</definedName>
    <definedName name="ASHE">#REF!</definedName>
    <definedName name="ASSET1">#REF!</definedName>
    <definedName name="ASSETS">#REF!</definedName>
    <definedName name="Assum_Titles">#REF!,#REF!</definedName>
    <definedName name="Assumptions">#REF!</definedName>
    <definedName name="ATaxRate">#REF!</definedName>
    <definedName name="Atrium_Towers">#REF!</definedName>
    <definedName name="AUM_monthly">#REF!</definedName>
    <definedName name="AUM1Y">#REF!</definedName>
    <definedName name="AUM2Y">#REF!</definedName>
    <definedName name="AUM3Y">#REF!</definedName>
    <definedName name="AUM4Y">#REF!</definedName>
    <definedName name="AUM5Y">#REF!</definedName>
    <definedName name="AvgSF">#REF!</definedName>
    <definedName name="AxesFormat">AxesFormat</definedName>
    <definedName name="b">[0]!b</definedName>
    <definedName name="BACKUP">#REF!</definedName>
    <definedName name="BadLink">#REF!</definedName>
    <definedName name="BAL">#REF!</definedName>
    <definedName name="BALANCE_SHEET">#REF!</definedName>
    <definedName name="balance_type">1</definedName>
    <definedName name="BANQUET">#REF!</definedName>
    <definedName name="Barton_Oaks">#REF!</definedName>
    <definedName name="BASE_YEAR">#REF!</definedName>
    <definedName name="basefee">#REF!</definedName>
    <definedName name="Beg.Bal">IF(#REF!&lt;&gt;"",#REF!,"")</definedName>
    <definedName name="bIsCircular">#REF!</definedName>
    <definedName name="bIsLBOCircular">#REF!</definedName>
    <definedName name="blah">{#N/A,#N/A,TRUE,"10 Yr Hold";#N/A,#N/A,TRUE,"7 Yr Hold";#N/A,#N/A,TRUE,"5 Yr Hold";#N/A,#N/A,TRUE,"3 Yr Hold"}</definedName>
    <definedName name="blah1">{"schedule1",#N/A,FALSE,"Sheet1";"schedule2",#N/A,FALSE,"Sheet1";"schedule3",#N/A,FALSE,"Sheet1";"schedule4",#N/A,FALSE,"Sheet1";"schedule5",#N/A,FALSE,"Sheet1";"schedule6",#N/A,FALSE,"Sheet1"}</definedName>
    <definedName name="bldg">#REF!</definedName>
    <definedName name="blnHideRow">IF(SUM(ABS(IF(ISERROR(HistForc),0,IF(ISTEXT(HistForc),0,HistForc))))&gt;0.00001,1,TRUE)</definedName>
    <definedName name="bname">#REF!</definedName>
    <definedName name="Book_Value_Land">#REF!</definedName>
    <definedName name="BOR">#REF!</definedName>
    <definedName name="BREAK">#REF!</definedName>
    <definedName name="BS_A">#REF!</definedName>
    <definedName name="BS_ALE">#REF!</definedName>
    <definedName name="BS_LE">#REF!</definedName>
    <definedName name="budget1">#REF!</definedName>
    <definedName name="budget5">#REF!</definedName>
    <definedName name="Bullish">#REF!</definedName>
    <definedName name="buyback">#REF!</definedName>
    <definedName name="C_BS">#N/A</definedName>
    <definedName name="C_CF">#N/A</definedName>
    <definedName name="C_IS">#N/A</definedName>
    <definedName name="CAGR">#REF!</definedName>
    <definedName name="calc">1</definedName>
    <definedName name="Calculated_payment">#REF!</definedName>
    <definedName name="CALCULATIONS">#REF!</definedName>
    <definedName name="calendar">#REF!</definedName>
    <definedName name="CandF">#REF!</definedName>
    <definedName name="Cap">#REF!</definedName>
    <definedName name="cap_dev">#REF!</definedName>
    <definedName name="cap_lease">#REF!</definedName>
    <definedName name="cap_rate_assumptions">#REF!</definedName>
    <definedName name="CAPEX">#N/A</definedName>
    <definedName name="Capex_PSF">#REF!</definedName>
    <definedName name="capid">#REF!</definedName>
    <definedName name="CapitalStructure">#REF!</definedName>
    <definedName name="CASE">#REF!</definedName>
    <definedName name="CASE1">#REF!</definedName>
    <definedName name="cash">#REF!</definedName>
    <definedName name="Cash_Pivot">#REF!</definedName>
    <definedName name="CASH1">#REF!</definedName>
    <definedName name="Cash2">#REF!</definedName>
    <definedName name="Cashflow">#REF!</definedName>
    <definedName name="cashrate">#REF!</definedName>
    <definedName name="category">#REF!</definedName>
    <definedName name="cb_sChart41E9A35_opts">"1, 9, 1, False, 2, False, False, , 0, False, True, 1, 1"</definedName>
    <definedName name="CCIF">{#N/A,#N/A,FALSE,"Aging Summary";#N/A,#N/A,FALSE,"Ratio Analysis";#N/A,#N/A,FALSE,"Test 120 Day Accts";#N/A,#N/A,FALSE,"Tickmarks"}</definedName>
    <definedName name="Central">#REF!</definedName>
    <definedName name="chart">"Chart 1"</definedName>
    <definedName name="ChartDates">#REF!</definedName>
    <definedName name="ChartPrice">#REF!</definedName>
    <definedName name="charts_tnx_and_spread">#REF!</definedName>
    <definedName name="Charts1">#REF!</definedName>
    <definedName name="Charts2">#REF!</definedName>
    <definedName name="chg_nwc">#REF!</definedName>
    <definedName name="Chile1">#REF!</definedName>
    <definedName name="Chile2">#REF!</definedName>
    <definedName name="CIGNA_Center">#REF!</definedName>
    <definedName name="cir">[0]!cir</definedName>
    <definedName name="CIRC">#REF!</definedName>
    <definedName name="Closed_End">#REF!</definedName>
    <definedName name="ClosePrint">ClosePrint</definedName>
    <definedName name="ClosingCost">#REF!</definedName>
    <definedName name="co">100</definedName>
    <definedName name="COL1STYR">7</definedName>
    <definedName name="ColDiff">COLUMN()-COL1STYR</definedName>
    <definedName name="COLLAR_CENTER">#REF!</definedName>
    <definedName name="COLLAR_LEFT">#REF!</definedName>
    <definedName name="COLLAR_RIGHT">#REF!</definedName>
    <definedName name="COMB">#REF!</definedName>
    <definedName name="COMMON">#REF!</definedName>
    <definedName name="COMMON_PAID">#REF!</definedName>
    <definedName name="COMP">#REF!</definedName>
    <definedName name="Comp_Analysis">#REF!</definedName>
    <definedName name="COMP_TAXES">#REF!</definedName>
    <definedName name="COMPANIES">#REF!</definedName>
    <definedName name="COMPANY2">#REF!</definedName>
    <definedName name="CompanyDirectoryNames">#REF!</definedName>
    <definedName name="CompanyFileNames">#REF!</definedName>
    <definedName name="COMPS">#REF!</definedName>
    <definedName name="compsetdata">#REF!</definedName>
    <definedName name="CONCBAL">#REF!</definedName>
    <definedName name="confin">#REF!</definedName>
    <definedName name="confin2">#REF!</definedName>
    <definedName name="Consideration">#REF!</definedName>
    <definedName name="consolidate?">#REF!</definedName>
    <definedName name="ConsolidatedBS">#REF!</definedName>
    <definedName name="ConsolidatedCF">#REF!</definedName>
    <definedName name="ConsolidatedDS">#REF!</definedName>
    <definedName name="ConsolidatedIS">#REF!</definedName>
    <definedName name="ConsolidatedNOL">#REF!</definedName>
    <definedName name="CONTRACT_PD">#REF!</definedName>
    <definedName name="ContributionInputs">#REF!</definedName>
    <definedName name="control">#N/A</definedName>
    <definedName name="CONV_RATE">#REF!</definedName>
    <definedName name="conv_raterise">#REF!</definedName>
    <definedName name="CONV_RISE">#REF!</definedName>
    <definedName name="convert1">#REF!</definedName>
    <definedName name="convert2">#REF!</definedName>
    <definedName name="convp">#REF!</definedName>
    <definedName name="Copy_Data">Copy_Data</definedName>
    <definedName name="corp">{#N/A,#N/A,FALSE,"ZellLurieFinSummary";#N/A,#N/A,FALSE,"FirstCapFinSummary";#N/A,#N/A,FALSE,"ZM I-III Consol FinSummary"}</definedName>
    <definedName name="cost">#REF!</definedName>
    <definedName name="COUNTER">#REF!</definedName>
    <definedName name="Coupon">#REF!</definedName>
    <definedName name="COVER">#N/A</definedName>
    <definedName name="coverpage">#REF!</definedName>
    <definedName name="cp">[0]!cp</definedName>
    <definedName name="cpi">#REF!</definedName>
    <definedName name="cpi_index">#REF!</definedName>
    <definedName name="cpiindex">#REF!</definedName>
    <definedName name="create_pay">create_pay</definedName>
    <definedName name="Create_Pays">Create_Pays</definedName>
    <definedName name="creditdata">#REF!</definedName>
    <definedName name="_xlnm.Criteria">#REF!</definedName>
    <definedName name="Criteria2">#REF!</definedName>
    <definedName name="csDesignMode">1</definedName>
    <definedName name="cSum">9</definedName>
    <definedName name="Cum.Interest">IF(#REF!&lt;&gt;"",#REF!+#REF!,"")</definedName>
    <definedName name="Cwvu.GREY_ALL.">#REF!</definedName>
    <definedName name="d">{"summary1",#N/A,TRUE,"Comps";"summary2",#N/A,TRUE,"Comps";"summary3",#N/A,TRUE,"Comps"}</definedName>
    <definedName name="d_a">#REF!</definedName>
    <definedName name="DAFAD">{"cap_structure",#N/A,FALSE,"Graph-Mkt Cap";"price",#N/A,FALSE,"Graph-Price";"ebit",#N/A,FALSE,"Graph-EBITDA";"ebitda",#N/A,FALSE,"Graph-EBITDA"}</definedName>
    <definedName name="DailyWin">#REF!</definedName>
    <definedName name="DailyWinGraph">#REF!</definedName>
    <definedName name="Data_Table">#REF!</definedName>
    <definedName name="database2">#REF!</definedName>
    <definedName name="Date">#REF!</definedName>
    <definedName name="Date1">#REF!</definedName>
    <definedName name="Date10">#REF!</definedName>
    <definedName name="Date2">#REF!</definedName>
    <definedName name="Date3">#REF!</definedName>
    <definedName name="Date4">#REF!</definedName>
    <definedName name="Date5">#REF!</definedName>
    <definedName name="Date6">#REF!</definedName>
    <definedName name="Date7">#REF!</definedName>
    <definedName name="Date8">#REF!</definedName>
    <definedName name="Date9">#REF!</definedName>
    <definedName name="datefo04">#REF!</definedName>
    <definedName name="daysfo04">#REF!</definedName>
    <definedName name="db_2002NOIRange">#REF!</definedName>
    <definedName name="db_2003NOIRange">#REF!</definedName>
    <definedName name="db_2004NOIRange">#REF!</definedName>
    <definedName name="db_2005NOIRange">#REF!</definedName>
    <definedName name="db_marketrange">#REF!</definedName>
    <definedName name="db_propertytype">#REF!</definedName>
    <definedName name="DCF_A">#REF!</definedName>
    <definedName name="DCF_L">#REF!</definedName>
    <definedName name="dcfyear">#REF!</definedName>
    <definedName name="DCR2_L">#REF!</definedName>
    <definedName name="dddd">#REF!</definedName>
    <definedName name="ddsd">{#N/A,#N/A,FALSE,"Aging Summary";#N/A,#N/A,FALSE,"Ratio Analysis";#N/A,#N/A,FALSE,"Test 120 Day Accts";#N/A,#N/A,FALSE,"Tickmarks"}</definedName>
    <definedName name="deal">deal</definedName>
    <definedName name="debt">#REF!</definedName>
    <definedName name="debt_98">#REF!</definedName>
    <definedName name="debt_rate2">#REF!</definedName>
    <definedName name="DEBT_REFIN">#REF!</definedName>
    <definedName name="Debt2">{"'Expirations'!$A$1:$L$65"}</definedName>
    <definedName name="debt98">#REF!</definedName>
    <definedName name="debtamort">#REF!</definedName>
    <definedName name="DEDUCTIBLE_GW">#REF!</definedName>
    <definedName name="defeas_date">#REF!</definedName>
    <definedName name="DelExpYr">#REF!</definedName>
    <definedName name="DelOccupYr">#REF!</definedName>
    <definedName name="dem">#REF!</definedName>
    <definedName name="dep">#REF!</definedName>
    <definedName name="Depr_Amort_Lookup">#REF!</definedName>
    <definedName name="Depr_Amort_NonDebt_Lookup">#REF!</definedName>
    <definedName name="Depr_and_Amort_Nondebt_Pivot">#REF!</definedName>
    <definedName name="Depr_Subs_Pivot">#REF!</definedName>
    <definedName name="DEPTS">#REF!</definedName>
    <definedName name="detail">#REF!</definedName>
    <definedName name="detail1">#REF!</definedName>
    <definedName name="dev_cap">#REF!</definedName>
    <definedName name="Development_NOI_Yield">#REF!</definedName>
    <definedName name="dexcase">#REF!</definedName>
    <definedName name="df">#REF!</definedName>
    <definedName name="dfd">{"FCB_ALL",#N/A,FALSE,"FCB";"GREY_ALL",#N/A,FALSE,"GREY"}</definedName>
    <definedName name="dfdas">{"FCB_ALL",#N/A,FALSE,"FCB";"GREY_ALL",#N/A,FALSE,"GREY"}</definedName>
    <definedName name="dfdfd">{"FCB_ALL",#N/A,FALSE,"FCB";"GREY_ALL",#N/A,FALSE,"GREY"}</definedName>
    <definedName name="dfdfdfd">{"FCB_ALL",#N/A,FALSE,"FCB"}</definedName>
    <definedName name="dfgh4tt">dfgh4tt</definedName>
    <definedName name="DHG">{"cap_structure",#N/A,FALSE,"Graph-Mkt Cap";"price",#N/A,FALSE,"Graph-Price";"ebit",#N/A,FALSE,"Graph-EBITDA";"ebitda",#N/A,FALSE,"Graph-EBITDA"}</definedName>
    <definedName name="DICIEMBRE">#REF!</definedName>
    <definedName name="dics">{#N/A,#N/A,FALSE,"Aging Summary";#N/A,#N/A,FALSE,"Ratio Analysis";#N/A,#N/A,FALSE,"Test 120 Day Accts";#N/A,#N/A,FALSE,"Tickmarks"}</definedName>
    <definedName name="Dil_Titles">#REF!,#REF!</definedName>
    <definedName name="diluted.shares">#REF!</definedName>
    <definedName name="Dilution">#REF!</definedName>
    <definedName name="DIR">#REF!</definedName>
    <definedName name="Discount_Rate">#REF!</definedName>
    <definedName name="DisE1M2">#REF!</definedName>
    <definedName name="DisplaySelectedSheetsMacroButton">#REF!</definedName>
    <definedName name="dispositions">#REF!</definedName>
    <definedName name="Division">#REF!</definedName>
    <definedName name="DocType">Word</definedName>
    <definedName name="documenttype">#REF!</definedName>
    <definedName name="Domestic_REITS_Lead_Arranger_LT">#REF!</definedName>
    <definedName name="Domestic_REITS_Lead_Arranger_Underliers">#REF!</definedName>
    <definedName name="Dominion_Tower">#REF!</definedName>
    <definedName name="drumm">#REF!</definedName>
    <definedName name="drumq">#REF!</definedName>
    <definedName name="dsa">#REF!</definedName>
    <definedName name="dshares">#REF!</definedName>
    <definedName name="dues_growth">#REF!</definedName>
    <definedName name="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BIT95">#REF!</definedName>
    <definedName name="ebitda">#REF!</definedName>
    <definedName name="EBITDA1">#REF!</definedName>
    <definedName name="EBITSENS">#REF!</definedName>
    <definedName name="EDO">#REF!</definedName>
    <definedName name="end">#REF!</definedName>
    <definedName name="Ending.Balance">IF(#REF!&lt;&gt;"",#REF!-#REF!,"")</definedName>
    <definedName name="ENERO">#REF!</definedName>
    <definedName name="Entered_payment">#REF!</definedName>
    <definedName name="EPS">#N/A</definedName>
    <definedName name="EPS_RECONCILE">#REF!</definedName>
    <definedName name="Equip">#REF!</definedName>
    <definedName name="EQUITY">#REF!</definedName>
    <definedName name="equity_1">#REF!</definedName>
    <definedName name="equity_old">#REF!</definedName>
    <definedName name="Equity_Pivot">#REF!</definedName>
    <definedName name="equity2">#REF!</definedName>
    <definedName name="equity3">#REF!</definedName>
    <definedName name="equityA">#REF!</definedName>
    <definedName name="EquityB">#REF!</definedName>
    <definedName name="equityc">#REF!</definedName>
    <definedName name="er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scl_fac">#REF!</definedName>
    <definedName name="ev.Calculation">-4135</definedName>
    <definedName name="ev.Initialized">FALSE</definedName>
    <definedName name="EX_INCREMENT">#REF!</definedName>
    <definedName name="exc">#REF!</definedName>
    <definedName name="exchange.rate">#REF!</definedName>
    <definedName name="EXCHANGE_RATIO">#REF!</definedName>
    <definedName name="Exp1stYr">#REF!</definedName>
    <definedName name="ExpandOutputs">ExpandOutputs</definedName>
    <definedName name="ExpandVPeriods">ExpandVPeriods</definedName>
    <definedName name="Expense_Lookup">#REF!</definedName>
    <definedName name="ExportFile">ExportFile</definedName>
    <definedName name="ExportFile2">ExportFile2</definedName>
    <definedName name="ExpRowDiff">ROW()-7</definedName>
    <definedName name="EXTRACASH">#REF!</definedName>
    <definedName name="f">{"inputs raw data",#N/A,TRUE,"INPUT"}</definedName>
    <definedName name="FAC06B">#REF!</definedName>
    <definedName name="FAC09A">#REF!</definedName>
    <definedName name="FAC09B">#REF!</definedName>
    <definedName name="fadsf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cst_1999Format">#REF!</definedName>
    <definedName name="fdgad">{"inputs raw data",#N/A,TRUE,"INPUT"}</definedName>
    <definedName name="feb">{#N/A,#N/A,FALSE,"Aging Summary";#N/A,#N/A,FALSE,"Ratio Analysis";#N/A,#N/A,FALSE,"Test 120 Day Accts";#N/A,#N/A,FALSE,"Tickmarks"}</definedName>
    <definedName name="FEBRERO">#REF!</definedName>
    <definedName name="Fee">#REF!</definedName>
    <definedName name="ffe">#REF!</definedName>
    <definedName name="ffffffffff">ffffffffff</definedName>
    <definedName name="ffo">#REF!</definedName>
    <definedName name="FFO_2004">#REF!</definedName>
    <definedName name="FFO_2005">#REF!</definedName>
    <definedName name="FFO_2006">#REF!</definedName>
    <definedName name="ffo_est">#REF!</definedName>
    <definedName name="fg">{"schedule1",#N/A,FALSE,"Sheet1";"schedule2",#N/A,FALSE,"Sheet1";"schedule3",#N/A,FALSE,"Sheet1";"schedule4",#N/A,FALSE,"Sheet1";"schedule5",#N/A,FALSE,"Sheet1";"schedule6",#N/A,FALSE,"Sheet1"}</definedName>
    <definedName name="fgh34tgdfgbsdrfg">fgh34tgdfgbsdrfg</definedName>
    <definedName name="fhg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LE_TYPE">#N/A</definedName>
    <definedName name="Fill">#REF!</definedName>
    <definedName name="finance">#REF!</definedName>
    <definedName name="Financing">#REF!</definedName>
    <definedName name="FinancingStructure1">#REF!</definedName>
    <definedName name="FinancingStructure2">#REF!</definedName>
    <definedName name="FinancingStructure3">#REF!</definedName>
    <definedName name="FINANS">#REF!</definedName>
    <definedName name="First_payment_due">#REF!</definedName>
    <definedName name="First_payment_no">#REF!</definedName>
    <definedName name="First_Union">#REF!</definedName>
    <definedName name="FISCAL">#REF!</definedName>
    <definedName name="five">#REF!</definedName>
    <definedName name="FIVE_YEAR">#REF!</definedName>
    <definedName name="FIXED">#REF!</definedName>
    <definedName name="FIXED_COLLAR">#REF!</definedName>
    <definedName name="FIXED_EX_RATIO">#REF!</definedName>
    <definedName name="Fixed_Floating_Setting">#REF!</definedName>
    <definedName name="FIXED_ISSUE">#REF!</definedName>
    <definedName name="flag1">#REF!</definedName>
    <definedName name="flag2">#REF!</definedName>
    <definedName name="FLOAT_OFFER">#REF!</definedName>
    <definedName name="floatfo04">#REF!</definedName>
    <definedName name="FLOATING_COLLAR">#REF!</definedName>
    <definedName name="FLU">#REF!</definedName>
    <definedName name="fm">{"summary1",#N/A,TRUE,"Comps";"summary2",#N/A,TRUE,"Comps";"summary3",#N/A,TRUE,"Comps"}</definedName>
    <definedName name="FNAME">#REF!</definedName>
    <definedName name="FOLT05">#REF!</definedName>
    <definedName name="foot">#REF!</definedName>
    <definedName name="FORM">#REF!</definedName>
    <definedName name="Format3">#REF!</definedName>
    <definedName name="forwardMonth">#REF!</definedName>
    <definedName name="forwardRates">#REF!</definedName>
    <definedName name="Four_Forest">#REF!</definedName>
    <definedName name="fourQacq">#REF!</definedName>
    <definedName name="FROM_MERGER">#REF!</definedName>
    <definedName name="FXVAR_TOP">#REF!</definedName>
    <definedName name="FY">2000</definedName>
    <definedName name="GAAPIS">#REF!</definedName>
    <definedName name="gamidx">#REF!</definedName>
    <definedName name="gd">#REF!</definedName>
    <definedName name="GenVacancy">#REF!</definedName>
    <definedName name="gfhs">{"summary1",#N/A,TRUE,"Comps";"summary2",#N/A,TRUE,"Comps";"summary3",#N/A,TRUE,"Comps"}</definedName>
    <definedName name="GGG">#REF!</definedName>
    <definedName name="gggggggggggggg">gggggggggggggg</definedName>
    <definedName name="GKU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at">#REF!</definedName>
    <definedName name="glat2">#REF!</definedName>
    <definedName name="gold">#REF!</definedName>
    <definedName name="gold_print">operating,multiples,elvis,graceland,balance,pro_income,dcf_comb,valuation</definedName>
    <definedName name="gold_print2">operating,multiples,elvis,graceland,balance,pro_income,dcf_comb,valuation</definedName>
    <definedName name="Goodwill">#REF!</definedName>
    <definedName name="google">#REF!</definedName>
    <definedName name="GRAPH">#REF!</definedName>
    <definedName name="Green">#REF!</definedName>
    <definedName name="GreenStreet">#REF!</definedName>
    <definedName name="gross">#REF!</definedName>
    <definedName name="growth.rate">#REF!</definedName>
    <definedName name="GW_AMORT_BOOK">#REF!</definedName>
    <definedName name="GW_AMORT_TAX">#REF!</definedName>
    <definedName name="gwamort">#REF!</definedName>
    <definedName name="gwdeduct">#REF!</definedName>
    <definedName name="h">#REF!</definedName>
    <definedName name="HD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lp">{#N/A,#N/A,FALSE,"ZLDebtMaturity";#N/A,#N/A,FALSE,"FCDebtMaturity";#N/A,#N/A,FALSE,"ZM3DebtMaturity";#N/A,#N/A,FALSE,"ZM2DebtMaturity";#N/A,#N/A,FALSE,"zm1DebtMaturity";#N/A,#N/A,FALSE,"ConsZM123DebtMaturity"}</definedName>
    <definedName name="help1">{#N/A,#N/A,FALSE,"ZLDebtMaturity";#N/A,#N/A,FALSE,"FCDebtMaturity";#N/A,#N/A,FALSE,"ZM3DebtMaturity";#N/A,#N/A,FALSE,"ZM2DebtMaturity";#N/A,#N/A,FALSE,"zm1DebtMaturity";#N/A,#N/A,FALSE,"ConsZM123DebtMaturity"}</definedName>
    <definedName name="High">#N/A</definedName>
    <definedName name="HIST_TAX_RATE">#REF!</definedName>
    <definedName name="hjf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LT_97CasinoEBITDA">#REF!</definedName>
    <definedName name="HLT_97CasinoRev">#REF!</definedName>
    <definedName name="HLT_97Combined">#REF!</definedName>
    <definedName name="HLT_97Hotel_Rev_EBITDA">#REF!</definedName>
    <definedName name="hn.ExtDb">FALSE</definedName>
    <definedName name="hn.ModelType">"DEAL"</definedName>
    <definedName name="hn.ModelVersion">1</definedName>
    <definedName name="hn.NoUpload">0</definedName>
    <definedName name="hn.Version">"Version 2.14"</definedName>
    <definedName name="hn.YearLabel">#REF!</definedName>
    <definedName name="HOJA1">#REF!</definedName>
    <definedName name="HOJA2">#REF!</definedName>
    <definedName name="HOJA3">#REF!</definedName>
    <definedName name="hold">#REF!</definedName>
    <definedName name="hold_cap">#REF!</definedName>
    <definedName name="hotel">#REF!</definedName>
    <definedName name="hotel_acq">#REF!</definedName>
    <definedName name="HotelFFEAR">#REF!</definedName>
    <definedName name="HotelNOI">#REF!</definedName>
    <definedName name="htg">#REF!</definedName>
    <definedName name="HTML_CodePage">1252</definedName>
    <definedName name="HTML_Control">{"'Expirations'!$A$1:$L$65"}</definedName>
    <definedName name="HTML_Control2">{"'Expirations'!$A$1:$L$65"}</definedName>
    <definedName name="HTML_Description">""</definedName>
    <definedName name="HTML_Email">""</definedName>
    <definedName name="HTML_Header">""</definedName>
    <definedName name="HTML_LastUpdate">"9/21/98"</definedName>
    <definedName name="HTML_LineAfter">FALSE</definedName>
    <definedName name="HTML_LineBefore">FALSE</definedName>
    <definedName name="HTML_Name">"Hugh Esleeck"</definedName>
    <definedName name="HTML_OBDlg2">TRUE</definedName>
    <definedName name="HTML_OBDlg3">TRUE</definedName>
    <definedName name="HTML_OBDlg4">TRUE</definedName>
    <definedName name="HTML_OS">0</definedName>
    <definedName name="HTML_PathFile">"D:\zsupl\HTML.htm"</definedName>
    <definedName name="HTML_PathTemplate">"J:\REIT\Dec 00\html\Bs09-00.htm"</definedName>
    <definedName name="HTML_Title">""</definedName>
    <definedName name="Hunter1A_Bottom">#REF!</definedName>
    <definedName name="Hunter1A_Top">#REF!</definedName>
    <definedName name="Hunter1B_Bottom">#REF!</definedName>
    <definedName name="Hunter1B_Top">#REF!</definedName>
    <definedName name="hus">#REF!</definedName>
    <definedName name="i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i_copycount">#REF!</definedName>
    <definedName name="i_currentcount">#REF!</definedName>
    <definedName name="I_JVPropertyTypeSelector">#REF!</definedName>
    <definedName name="IDENTIFIER">#REF!</definedName>
    <definedName name="III">{#N/A,#N/A,FALSE,"Sheet1"}</definedName>
    <definedName name="imf">#REF!</definedName>
    <definedName name="ImportFile">ImportFile</definedName>
    <definedName name="ImportFile2">ImportFile2</definedName>
    <definedName name="in_cap">#REF!</definedName>
    <definedName name="IncludeSweepInInterest">#REF!</definedName>
    <definedName name="Income_97">#REF!</definedName>
    <definedName name="income93_94quarter">#REF!</definedName>
    <definedName name="INCOME94_95">#REF!</definedName>
    <definedName name="income95_96quarter">#REF!</definedName>
    <definedName name="INCOME95_99">#REF!</definedName>
    <definedName name="income96_97">#REF!</definedName>
    <definedName name="income97_01">#REF!</definedName>
    <definedName name="INCREMENT">#REF!</definedName>
    <definedName name="INCREMENTAL">#N/A</definedName>
    <definedName name="ind">#REF!</definedName>
    <definedName name="ind_acq">#REF!</definedName>
    <definedName name="Inflation">#REF!</definedName>
    <definedName name="infopage">#REF!</definedName>
    <definedName name="INPUT">#REF!</definedName>
    <definedName name="int_exp">#REF!</definedName>
    <definedName name="Intercontinental_Center">#REF!</definedName>
    <definedName name="Interest">IF(#REF!&lt;&gt;"",#REF!*Periodic_rate,"")</definedName>
    <definedName name="Invest_in_Subs_Budg_Pivot">#REF!</definedName>
    <definedName name="Investment">#N/A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ACQUIRED_BY_REPORTING_BANK_FDIC">"c6535"</definedName>
    <definedName name="IQ_ADDIN">"AUTO"</definedName>
    <definedName name="IQ_ADDITIONAL_NON_INT_INC_FDIC">"c6574"</definedName>
    <definedName name="IQ_ADJUSTABLE_RATE_LOANS_FDIC">"c6375"</definedName>
    <definedName name="IQ_AE_BR">"c10"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MENDED_BALANCE_PREVIOUS_YR_FDIC">"c6499"</definedName>
    <definedName name="IQ_AMORT_EXPENSE_FDIC">"c6677"</definedName>
    <definedName name="IQ_AMORTIZED_COST_FDIC">"c6426"</definedName>
    <definedName name="IQ_AP_BR">"c34"</definedName>
    <definedName name="IQ_AR_BR">"c41"</definedName>
    <definedName name="IQ_ASSET_BACKED_FDIC">"c6301"</definedName>
    <definedName name="IQ_ASSET_WRITEDOWN_BR">"c50"</definedName>
    <definedName name="IQ_ASSET_WRITEDOWN_CF_BR">"c53"</definedName>
    <definedName name="IQ_ASSETS_HELD_FDIC">"c6305"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PRICE_TARGET">"c82"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ROKERED_DEPOSITS_FDIC">"c6486"</definedName>
    <definedName name="IQ_CAPEX_BR">"c111"</definedName>
    <definedName name="IQ_CASH_DIVIDENDS_NET_INCOME_FDIC">"c6738"</definedName>
    <definedName name="IQ_CASH_IN_PROCESS_FDIC">"c6386"</definedName>
    <definedName name="IQ_CCE_FDIC">"c6296"</definedName>
    <definedName name="IQ_CH">110000</definedName>
    <definedName name="IQ_CHANGE_AP_BR">"c135"</definedName>
    <definedName name="IQ_CHANGE_AR_BR">"c142"</definedName>
    <definedName name="IQ_CHANGE_OTHER_WORK_CAP_BR">"c154"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MO_FDIC">"c6406"</definedName>
    <definedName name="IQ_COLLECTION_DOMESTIC_FDIC">"c6387"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_APIC_BR">"c185"</definedName>
    <definedName name="IQ_COMMON_FDIC">"c6350"</definedName>
    <definedName name="IQ_COMMON_ISSUED_BR">"c199"</definedName>
    <definedName name="IQ_COMMON_REP_BR">"c208"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TRACTS_OTHER_COMMODITIES_EQUITIES_FDIC">"c6522"</definedName>
    <definedName name="IQ_CONV_RATE">"c2192"</definedName>
    <definedName name="IQ_CONVEYED_TO_OTHERS_FDIC">"c6534"</definedName>
    <definedName name="IQ_CORE_CAPITAL_RATIO_FDIC">"c6745"</definedName>
    <definedName name="IQ_COST_OF_FUNDING_ASSETS_FDIC">"c6725"</definedName>
    <definedName name="IQ_CQ">5000</definedName>
    <definedName name="IQ_CREDIT_CARD_CHARGE_OFFS_FDIC">"c6652"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LOSS_PROVISION_NET_CHARGE_OFFS_FDIC">"c6734"</definedName>
    <definedName name="IQ_CURRENCY_COIN_DOMESTIC_FDIC">"c6388"</definedName>
    <definedName name="IQ_CURRENCY_GAIN_BR">"c236"</definedName>
    <definedName name="IQ_CURRENT_PORT_DEBT_BR">"c1567"</definedName>
    <definedName name="IQ_CY">10000</definedName>
    <definedName name="IQ_DA_BR">"c248"</definedName>
    <definedName name="IQ_DA_CF_BR">"c251"</definedName>
    <definedName name="IQ_DA_SUPPL_BR">"c260"</definedName>
    <definedName name="IQ_DA_SUPPL_CF_BR">"c263"</definedName>
    <definedName name="IQ_DAILY">500000</definedName>
    <definedName name="IQ_DEF_AMORT_BR">"c278"</definedName>
    <definedName name="IQ_DEF_CHARGES_BR">"c288"</definedName>
    <definedName name="IQ_DEF_CHARGES_LT_BR">"c294"</definedName>
    <definedName name="IQ_DEF_TAX_ASSET_LT_BR">"c304"</definedName>
    <definedName name="IQ_DEF_TAX_LIAB_LT_BR">"c315"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HELD_DOMESTIC_FDIC">"c6340"</definedName>
    <definedName name="IQ_DEPOSITS_HELD_FOREIGN_FDIC">"c6341"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RIVATIVES_FDIC">"c6523"</definedName>
    <definedName name="IQ_DIVIDENDS_DECLARED_COMMON_FDIC">"c6659"</definedName>
    <definedName name="IQ_DIVIDENDS_DECLARED_PREFERRED_FDIC">"c6658"</definedName>
    <definedName name="IQ_DIVIDENDS_FDIC">"c6660"</definedName>
    <definedName name="IQ_DNTM">700000</definedName>
    <definedName name="IQ_EARNING_ASSETS_FDIC">"c6360"</definedName>
    <definedName name="IQ_EARNING_ASSETS_YIELD_FDIC">"c6724"</definedName>
    <definedName name="IQ_EARNINGS_COVERAGE_NET_CHARGE_OFFS_FDIC">"c6735"</definedName>
    <definedName name="IQ_EBT_BR">"c378"</definedName>
    <definedName name="IQ_EBT_EXCL_BR">"c381"</definedName>
    <definedName name="IQ_EFFICIENCY_RATIO_FDIC">"c6736"</definedName>
    <definedName name="IQ_EQUITY_CAPITAL_ASSETS_FDIC">"c6744"</definedName>
    <definedName name="IQ_EQUITY_FDIC">"c6353"</definedName>
    <definedName name="IQ_EQUITY_SECURITIES_FDIC">"c6304"</definedName>
    <definedName name="IQ_EQUITY_SECURITY_EXPOSURES_FDIC">"c6664"</definedName>
    <definedName name="IQ_ESTIMATED_ASSESSABLE_DEPOSITS_FDIC">"c6490"</definedName>
    <definedName name="IQ_ESTIMATED_INSURED_DEPOSITS_FDIC">"c6491"</definedName>
    <definedName name="IQ_EXPENSE_CODE_">"019803900"</definedName>
    <definedName name="IQ_EXTRA_ACC_ITEMS_BR">"c412"</definedName>
    <definedName name="IQ_EXTRAORDINARY_GAINS_FDIC">"c6586"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ED_FUNDS_PURCHASED_FDIC">"c6343"</definedName>
    <definedName name="IQ_FED_FUNDS_SOLD_FDIC">"c6307"</definedName>
    <definedName name="IQ_FH">100000</definedName>
    <definedName name="IQ_FHLB_ADVANCES_FDIC">"c6366"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N_DIV_CURRENT_PORT_DEBT_TOTAL">"c5524"</definedName>
    <definedName name="IQ_FIN_DIV_CURRENT_PORT_LEASES_TOTAL">"c5523"</definedName>
    <definedName name="IQ_FIN_DIV_DEBT_LT_TOTAL">"c5526"</definedName>
    <definedName name="IQ_FIN_DIV_LEASES_LT_TOTAL">"c5525"</definedName>
    <definedName name="IQ_FIN_DIV_NOTES_PAY_TOTAL">"c5522"</definedName>
    <definedName name="IQ_FIVE_YEAR_FIXED_AND_FLOATING_RATE_FDIC">"c6422"</definedName>
    <definedName name="IQ_FIVE_YEAR_MORTGAGE_PASS_THROUGHS_FDIC">"c6414"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OSITS_NONTRANSACTION_ACCOUNTS_FDIC">"c6549"</definedName>
    <definedName name="IQ_FOREIGN_DEPOSITS_TRANSACTION_ACCOUNTS_FDIC">"c6541"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Q">500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_CONTRACTS_FDIC">"c6517"</definedName>
    <definedName name="IQ_FX_CONTRACTS_SPOT_FDIC">"c6356"</definedName>
    <definedName name="IQ_FY">1000</definedName>
    <definedName name="IQ_GAIN_ASSETS_BR">"c454"</definedName>
    <definedName name="IQ_GAIN_ASSETS_CF_BR">"c457"</definedName>
    <definedName name="IQ_GAIN_ASSETS_REV_BR">"c474"</definedName>
    <definedName name="IQ_GAIN_INVEST_BR">"c1464"</definedName>
    <definedName name="IQ_GAIN_INVEST_CF_BR">"c482"</definedName>
    <definedName name="IQ_GAIN_INVEST_REV_BR">"c496"</definedName>
    <definedName name="IQ_GAIN_SALE_LOANS_FDIC">"c6673"</definedName>
    <definedName name="IQ_GAIN_SALE_RE_FDIC">"c6674"</definedName>
    <definedName name="IQ_GAINS_SALE_ASSETS_FDIC">"c6675"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W_AMORT_BR">"c532"</definedName>
    <definedName name="IQ_GW_INTAN_AMORT_BR">"c1470"</definedName>
    <definedName name="IQ_GW_INTAN_AMORT_CF_BR">"c1473"</definedName>
    <definedName name="IQ_HELD_MATURITY_FDIC">"c6408"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INC_EQUITY_BR">"c550"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S_SETTLE_BR">"c572"</definedName>
    <definedName name="IQ_INSIDER_LOANS_FDIC">"c6365"</definedName>
    <definedName name="IQ_INSTITUTIONS_EARNINGS_GAINS_FDIC">"c6723"</definedName>
    <definedName name="IQ_INSURANCE_COMMISSION_FEES_FDIC">"c6670"</definedName>
    <definedName name="IQ_INSURANCE_UNDERWRITING_INCOME_FDIC">"c6671"</definedName>
    <definedName name="IQ_INT_DEMAND_NOTES_FDIC">"c6567"</definedName>
    <definedName name="IQ_INT_DOMESTIC_DEPOSITS_FDIC">"c6564"</definedName>
    <definedName name="IQ_INT_EXP_BR">"c586"</definedName>
    <definedName name="IQ_INT_EXP_TOTAL_FDIC">"c6569"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OREIGN_LOANS_FDIC">"c6556"</definedName>
    <definedName name="IQ_INT_INC_LEASE_RECEIVABLES_FDIC">"c6557"</definedName>
    <definedName name="IQ_INT_INC_OTHER_FDIC">"c6562"</definedName>
    <definedName name="IQ_INT_INC_SECURITIES_FDIC">"c6559"</definedName>
    <definedName name="IQ_INT_INC_TOTAL_FDIC">"c6563"</definedName>
    <definedName name="IQ_INT_INC_TRADING_ACCOUNTS_FDIC">"c6560"</definedName>
    <definedName name="IQ_INT_SUB_NOTES_FDIC">"c6568"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RATE_CONTRACTS_FDIC">"c6512"</definedName>
    <definedName name="IQ_INTEREST_RATE_EXPOSURES_FDIC">"c6662"</definedName>
    <definedName name="IQ_INVEST_LOANS_CF_BR">"c630"</definedName>
    <definedName name="IQ_INVEST_SECURITY_CF_BR">"c639"</definedName>
    <definedName name="IQ_INVESTMENT_BANKING_OTHER_FEES_FDIC">"c6666"</definedName>
    <definedName name="IQ_IRA_KEOGH_ACCOUNTS_FDIC">"c6496"</definedName>
    <definedName name="IQ_ISSUED_GUARANTEED_US_FDIC">"c6404"</definedName>
    <definedName name="IQ_LATESTK">1000</definedName>
    <definedName name="IQ_LATESTQ">500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_BR">"c649"</definedName>
    <definedName name="IQ_LIFE_INSURANCE_ASSETS_FDIC">"c6372"</definedName>
    <definedName name="IQ_LOAN_COMMITMENTS_REVOLVING_FDIC">"c6524"</definedName>
    <definedName name="IQ_LOAN_LOSS_ALLOW_FDIC">"c6326"</definedName>
    <definedName name="IQ_LOAN_LOSS_ALLOWANCE_NONCURRENT_LOANS_FDIC">"c6740"</definedName>
    <definedName name="IQ_LOAN_LOSSES_FDIC">"c6580"</definedName>
    <definedName name="IQ_LOANS_AND_LEASES_HELD_FDIC">"c6367"</definedName>
    <definedName name="IQ_LOANS_CF_BR">"c661"</definedName>
    <definedName name="IQ_LOANS_DEPOSITORY_INSTITUTIONS_FDIC">"c6382"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SS_ALLOWANCE_LOANS_FDIC">"c6739"</definedName>
    <definedName name="IQ_LT_DEBT_BR">"c676"</definedName>
    <definedName name="IQ_LT_DEBT_ISSUED_BR">"c683"</definedName>
    <definedName name="IQ_LT_DEBT_REPAID_BR">"c691"</definedName>
    <definedName name="IQ_LT_INVEST_BR">"c698"</definedName>
    <definedName name="IQ_LTM">2000</definedName>
    <definedName name="IQ_LTMMONTH">120000</definedName>
    <definedName name="IQ_MATURITY_ONE_YEAR_LESS_FDIC">"c6425"</definedName>
    <definedName name="IQ_MERGER_BR">"c715"</definedName>
    <definedName name="IQ_MERGER_RESTRUCTURE_BR">"c721"</definedName>
    <definedName name="IQ_MINORITY_INTEREST_BR">"c729"</definedName>
    <definedName name="IQ_MONEY_MARKET_DEPOSIT_ACCOUNTS_FDIC">"c6553"</definedName>
    <definedName name="IQ_MONTH">15000</definedName>
    <definedName name="IQ_MORTGAGE_BACKED_SECURITIES_FDIC">"c6402"</definedName>
    <definedName name="IQ_MORTGAGE_SERVICING_FDIC">"c6335"</definedName>
    <definedName name="IQ_MTD">800000</definedName>
    <definedName name="IQ_MULTIFAMILY_RESIDENTIAL_LOANS_FDIC">"c6311"</definedName>
    <definedName name="IQ_NAMES_REVISION_DATE_">41910.8998726852</definedName>
    <definedName name="IQ_NAV_ACT_OR_EST">"c2225"</definedName>
    <definedName name="IQ_NET_CHARGE_OFFS_FDIC">"c6641"</definedName>
    <definedName name="IQ_NET_CHARGE_OFFS_LOANS_FDIC">"c6751"</definedName>
    <definedName name="IQ_NET_DEBT_ISSUED_BR">"c753"</definedName>
    <definedName name="IQ_NET_INCOME_FDIC">"c6587"</definedName>
    <definedName name="IQ_NET_INT_INC_BNK_FDIC">"c6570"</definedName>
    <definedName name="IQ_NET_INT_INC_BR">"c765"</definedName>
    <definedName name="IQ_NET_INTEREST_MARGIN_FDIC">"c6726"</definedName>
    <definedName name="IQ_NET_LOANS_LEASES_CORE_DEPOSITS_FDIC">"c6743"</definedName>
    <definedName name="IQ_NET_LOANS_LEASES_DEPOSITS_FDIC">"c6742"</definedName>
    <definedName name="IQ_NET_OPERATING_INCOME_ASSETS_FDIC">"c6729"</definedName>
    <definedName name="IQ_NET_SECURITIZATION_INCOME_FDIC">"c6669"</definedName>
    <definedName name="IQ_NET_SERVICING_FEES_FDIC">"c6668"</definedName>
    <definedName name="IQ_NON_INT_EXP_FDIC">"c6579"</definedName>
    <definedName name="IQ_NON_INT_INC_FDIC">"c6575"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TRANSACTION_ACCOUNTS_FDIC">"c6552"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TM">6000</definedName>
    <definedName name="IQ_NUMBER_DEPOSITS_LESS_THAN_100K_FDIC">"c6495"</definedName>
    <definedName name="IQ_NUMBER_DEPOSITS_MORE_THAN_100K_FDIC">"c6493"</definedName>
    <definedName name="IQ_OBLIGATIONS_OF_STATES_TOTAL_LOANS_FOREIGN_FDIC">"c6447"</definedName>
    <definedName name="IQ_OBLIGATIONS_STATES_FDIC">"c6431"</definedName>
    <definedName name="IQ_OG_TOTAL_OIL_PRODUCTON">"c2059"</definedName>
    <definedName name="IQ_OPER_INC_BR">"c850"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SSETS_BR">"c862"</definedName>
    <definedName name="IQ_OTHER_ASSETS_FDIC">"c6338"</definedName>
    <definedName name="IQ_OTHER_BORROWED_FUNDS_FDIC">"c6345"</definedName>
    <definedName name="IQ_OTHER_CA_SUPPL_BR">"c871"</definedName>
    <definedName name="IQ_OTHER_CL_SUPPL_BR">"c880"</definedName>
    <definedName name="IQ_OTHER_COMPREHENSIVE_INCOME_FDIC">"c6503"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QUITY_BR">"c888"</definedName>
    <definedName name="IQ_OTHER_FINANCE_ACT_BR">"c895"</definedName>
    <definedName name="IQ_OTHER_FINANCE_ACT_SUPPL_BR">"c901"</definedName>
    <definedName name="IQ_OTHER_INSURANCE_FEES_FDIC">"c6672"</definedName>
    <definedName name="IQ_OTHER_INTAN_BR">"c909"</definedName>
    <definedName name="IQ_OTHER_INTANGIBLE_FDIC">"c6337"</definedName>
    <definedName name="IQ_OTHER_INVEST_ACT_BR">"c918"</definedName>
    <definedName name="IQ_OTHER_INVEST_ACT_SUPPL_BR">"c924"</definedName>
    <definedName name="IQ_OTHER_LIAB_BR">"c932"</definedName>
    <definedName name="IQ_OTHER_LIAB_LT_BR">"c937"</definedName>
    <definedName name="IQ_OTHER_LIABILITIES_FDIC">"c6347"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T_ASSETS_BR">"c948"</definedName>
    <definedName name="IQ_OTHER_NON_INT_EXP_FDIC">"c6578"</definedName>
    <definedName name="IQ_OTHER_NON_INT_EXPENSE_FDIC">"c6679"</definedName>
    <definedName name="IQ_OTHER_NON_INT_INC_FDIC">"c6676"</definedName>
    <definedName name="IQ_OTHER_NON_OPER_EXP_BR">"c957"</definedName>
    <definedName name="IQ_OTHER_NON_OPER_EXP_SUPPL_BR">"c962"</definedName>
    <definedName name="IQ_OTHER_OFF_BS_LIAB_FDIC">"c6533"</definedName>
    <definedName name="IQ_OTHER_OPER_ACT_BR">"c985"</definedName>
    <definedName name="IQ_OTHER_OPER_BR">"c990"</definedName>
    <definedName name="IQ_OTHER_OPER_SUPPL_BR">"c994"</definedName>
    <definedName name="IQ_OTHER_OPER_TOT_BR">"c1000"</definedName>
    <definedName name="IQ_OTHER_RE_OWNED_FDIC">"c6330"</definedName>
    <definedName name="IQ_OTHER_REV_BR">"c1011"</definedName>
    <definedName name="IQ_OTHER_REV_SUPPL_BR">"c1016"</definedName>
    <definedName name="IQ_OTHER_SAVINGS_DEPOSITS_FDIC">"c6554"</definedName>
    <definedName name="IQ_OTHER_TRANSACTIONS_FDIC">"c6504"</definedName>
    <definedName name="IQ_OTHER_UNUSED_COMMITMENTS_FDIC">"c6530"</definedName>
    <definedName name="IQ_OTHER_UNUSUAL_BR">"c1561"</definedName>
    <definedName name="IQ_OTHER_UNUSUAL_SUPPL_BR">"c1496"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PARTICIPATION_POOLS_RESIDENTIAL_MORTGAGES_FDIC">"c6403"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C_WRITTEN">"c1027"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INSURED_FDIC">"c6374"</definedName>
    <definedName name="IQ_PERIODDATE_FDIC">"c13646"</definedName>
    <definedName name="IQ_PLEDGED_SECURITIES_FDIC">"c6401"</definedName>
    <definedName name="IQ_PRE_TAX_INCOME_FDIC">"c6581"</definedName>
    <definedName name="IQ_PREF_ISSUED_BR">"c1047"</definedName>
    <definedName name="IQ_PREF_OTHER_BR">"c1055"</definedName>
    <definedName name="IQ_PREF_REP_BR">"c1062"</definedName>
    <definedName name="IQ_PREFERRED_FDIC">"c6349"</definedName>
    <definedName name="IQ_PREMISES_EQUIPMENT_FDIC">"c6577"</definedName>
    <definedName name="IQ_PRETAX_RETURN_ASSETS_FDIC">"c6731"</definedName>
    <definedName name="IQ_PRIVATELY_ISSUED_MORTGAGE_BACKED_SECURITIES_FDIC">"c6407"</definedName>
    <definedName name="IQ_PRIVATELY_ISSUED_MORTGAGE_PASS_THROUGHS_FDIC">"c6405"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QTD">750000</definedName>
    <definedName name="IQ_RE_FORECLOSURE_FDIC">"c6332"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LATED_PLANS_FDIC">"c6320"</definedName>
    <definedName name="IQ_RESIDENTIAL_LOANS">"c1102"</definedName>
    <definedName name="IQ_RESTATEMENTS_NET_FDIC">"c6500"</definedName>
    <definedName name="IQ_RESTRUCTURE_BR">"c1106"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DEPOSITS_FDIC">"c6488"</definedName>
    <definedName name="IQ_RETAINED_EARNINGS_AVERAGE_EQUITY_FDIC">"c6733"</definedName>
    <definedName name="IQ_RETURN_ASSETS_BROK">"c1115"</definedName>
    <definedName name="IQ_RETURN_ASSETS_FDIC">"c6730"</definedName>
    <definedName name="IQ_RETURN_EQUITY_BROK">"c1120"</definedName>
    <definedName name="IQ_RETURN_EQUITY_FDIC">"c6732"</definedName>
    <definedName name="IQ_REVALUATION_GAINS_FDIC">"c6428"</definedName>
    <definedName name="IQ_REVALUATION_LOSSES_FDIC">"c6429"</definedName>
    <definedName name="IQ_RISK_WEIGHTED_ASSETS_FDIC">"c6370"</definedName>
    <definedName name="IQ_SALARY_FDIC">"c6576"</definedName>
    <definedName name="IQ_SALE_CONVERSION_RETIREMENT_STOCK_FDIC">"c6661"</definedName>
    <definedName name="IQ_SALE_INTAN_CF_BR">"c1133"</definedName>
    <definedName name="IQ_SALE_PPE_CF_BR">"c1139"</definedName>
    <definedName name="IQ_SALE_REAL_ESTATE_CF_BR">"c1145"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RVICE_CHARGES_FDIC">"c6572"</definedName>
    <definedName name="IQ_SHAREOUTSTANDING">"c1347"</definedName>
    <definedName name="IQ_SPECIAL_DIV_CF_BR">"c1171"</definedName>
    <definedName name="IQ_ST_DEBT_BR">"c1178"</definedName>
    <definedName name="IQ_ST_DEBT_ISSUED_BR">"c1183"</definedName>
    <definedName name="IQ_ST_DEBT_REPAID_BR">"c1191"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UB_DEBT_FDIC">"c6346"</definedName>
    <definedName name="IQ_SURPLUS_FDIC">"c6351"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FDIC">"c6369"</definedName>
    <definedName name="IQ_TIME_DEPOSITS_LESS_THAN_100K_FDIC">"c6465"</definedName>
    <definedName name="IQ_TIME_DEPOSITS_MORE_THAN_100K_FDIC">"c6470"</definedName>
    <definedName name="IQ_TODAY">0</definedName>
    <definedName name="IQ_TOTAL_AR_BR">"c1231"</definedName>
    <definedName name="IQ_TOTAL_ASSETS_FDIC">"c6339"</definedName>
    <definedName name="IQ_TOTAL_CHARGE_OFFS_FDIC">"c6603"</definedName>
    <definedName name="IQ_TOTAL_DEBT_ISSUED_BR">"c1253"</definedName>
    <definedName name="IQ_TOTAL_DEBT_REPAID_BR">"c1260"</definedName>
    <definedName name="IQ_TOTAL_DEBT_SECURITIES_FDIC">"c6410"</definedName>
    <definedName name="IQ_TOTAL_DEPOSITS_FDIC">"c6342"</definedName>
    <definedName name="IQ_TOTAL_EMPLOYEES_FDIC">"c6355"</definedName>
    <definedName name="IQ_TOTAL_LIAB_BR">"c1278"</definedName>
    <definedName name="IQ_TOTAL_LIAB_EQUITY_FDIC">"c6354"</definedName>
    <definedName name="IQ_TOTAL_LIABILITIES_FDIC">"c6348"</definedName>
    <definedName name="IQ_TOTAL_OPER_EXP_BR">"c1284"</definedName>
    <definedName name="IQ_TOTAL_PENSION_OBLIGATION">"c1292"</definedName>
    <definedName name="IQ_TOTAL_RECOVERIES_FDIC">"c6622"</definedName>
    <definedName name="IQ_TOTAL_REV_BNK_FDIC">"c6786"</definedName>
    <definedName name="IQ_TOTAL_REV_BR">"c1303"</definedName>
    <definedName name="IQ_TOTAL_RISK_BASED_CAPITAL_RATIO_FDIC">"c6747"</definedName>
    <definedName name="IQ_TOTAL_SECURITIES_FDIC">"c6306"</definedName>
    <definedName name="IQ_TOTAL_TIME_DEPOSITS_FDIC">"c6497"</definedName>
    <definedName name="IQ_TOTAL_TIME_SAVINGS_DEPOSITS_FDIC">"c6498"</definedName>
    <definedName name="IQ_TOTAL_UNUSED_COMMITMENTS_FDIC">"c6536"</definedName>
    <definedName name="IQ_TRADING_ACCOUNT_GAINS_FEES_FDIC">"c6573"</definedName>
    <definedName name="IQ_TRADING_ASSETS_FDIC">"c6328"</definedName>
    <definedName name="IQ_TRADING_LIABILITIES_FDIC">"c6344"</definedName>
    <definedName name="IQ_TRANSACTION_ACCOUNTS_FDIC">"c6544"</definedName>
    <definedName name="IQ_TREASURY_OTHER_EQUITY_BR">"c1314"</definedName>
    <definedName name="IQ_TREASURY_STOCK_TRANSACTIONS_FDIC">"c6501"</definedName>
    <definedName name="IQ_TWELVE_MONTHS_FIXED_AND_FLOATING_FDIC">"c6420"</definedName>
    <definedName name="IQ_TWELVE_MONTHS_MORTGAGE_PASS_THROUGHS_FDIC">"c6412"</definedName>
    <definedName name="IQ_UNDIVIDED_PROFITS_FDIC">"c6352"</definedName>
    <definedName name="IQ_UNEARN_REV_CURRENT_BR">"c1324"</definedName>
    <definedName name="IQ_UNEARNED_INCOME_FDIC">"c6324"</definedName>
    <definedName name="IQ_UNEARNED_INCOME_FOREIGN_FDIC">"c6385"</definedName>
    <definedName name="IQ_UNPROFITABLE_INSTITUTIONS_FDIC">"c6722"</definedName>
    <definedName name="IQ_UNUSED_LOAN_COMMITMENTS_FDIC">"c6368"</definedName>
    <definedName name="IQ_US_BRANCHES_FOREIGN_BANK_LOANS_FDIC">"c6435"</definedName>
    <definedName name="IQ_US_BRANCHES_FOREIGN_BANKS_FDIC">"c6390"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VALUATION_ALLOWANCES_FDIC">"c6400"</definedName>
    <definedName name="IQ_VC_REVENUE_FDIC">"c6667"</definedName>
    <definedName name="IQ_VOLATILE_LIABILITIES_FDIC">"c6364"</definedName>
    <definedName name="IQ_WEEK">50000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YTD">3000</definedName>
    <definedName name="IQ_YTDMONTH">130000</definedName>
    <definedName name="irent_incr">#REF!</definedName>
    <definedName name="irent_incr2">#REF!</definedName>
    <definedName name="irent_incr3">#REF!</definedName>
    <definedName name="irent_incr4">#REF!</definedName>
    <definedName name="is_1">#REF!</definedName>
    <definedName name="IsColHidden">FALSE</definedName>
    <definedName name="IsLTMColHidden">FALSE</definedName>
    <definedName name="ISS_OFF_FIXED">#REF!</definedName>
    <definedName name="ISS_OFF_LINE1">#REF!</definedName>
    <definedName name="ISS_OFF_LOOP">#REF!</definedName>
    <definedName name="ISS_OFF_RANGE">#REF!</definedName>
    <definedName name="ISS_OFF_RESULTS">#REF!</definedName>
    <definedName name="ISS_OFF_RUN">#REF!</definedName>
    <definedName name="ISS_OFF_SENSE">#REF!</definedName>
    <definedName name="ISS_PRICE_LOOK">#REF!</definedName>
    <definedName name="IsSimpleTaxes">#REF!</definedName>
    <definedName name="ISSUE_COL_HIGH">#REF!</definedName>
    <definedName name="ISSUE_COL_LOW">#REF!</definedName>
    <definedName name="ISSUE_PRICE">#REF!</definedName>
    <definedName name="iti">#REF!</definedName>
    <definedName name="itservDic2004">{#N/A,#N/A,FALSE,"Aging Summary";#N/A,#N/A,FALSE,"Ratio Analysis";#N/A,#N/A,FALSE,"Test 120 Day Accts";#N/A,#N/A,FALSE,"Tickmarks"}</definedName>
    <definedName name="jb">{"summary1",#N/A,TRUE,"Comps";"summary2",#N/A,TRUE,"Comps";"summary3",#N/A,TRUE,"Comps"}</definedName>
    <definedName name="jjj">#REF!</definedName>
    <definedName name="jk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OE">#REF!</definedName>
    <definedName name="JointVenture">#REF!</definedName>
    <definedName name="JULIO">#REF!</definedName>
    <definedName name="JUNIO">#REF!</definedName>
    <definedName name="junk">#REF!</definedName>
    <definedName name="JV">#REF!</definedName>
    <definedName name="jz">#REF!</definedName>
    <definedName name="KeepA">#REF!</definedName>
    <definedName name="KeepB">#REF!</definedName>
    <definedName name="KeepC">#REF!</definedName>
    <definedName name="KeepD">#REF!</definedName>
    <definedName name="KeepE">#REF!</definedName>
    <definedName name="KeepF">#REF!</definedName>
    <definedName name="KeepG">#REF!</definedName>
    <definedName name="KeepH">#REF!</definedName>
    <definedName name="KGKHJ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hgfd6ytre">kjhgfd6ytre</definedName>
    <definedName name="kyd.ChngCell.01.">#REF!</definedName>
    <definedName name="kyd.CounterLimitCell.01.">"x"</definedName>
    <definedName name="kyd.Dim.01.">"toad:Company"</definedName>
    <definedName name="kyd.ElementList.01.">#REF!</definedName>
    <definedName name="kyd.ElementType.01.">3</definedName>
    <definedName name="kyd.ItemType.01.">2</definedName>
    <definedName name="kyd.NumLevels.01.">999</definedName>
    <definedName name="kyd.ParentName.01.">""</definedName>
    <definedName name="kyd.PrintParent.01.">TRUE</definedName>
    <definedName name="kyd.SelectString.01.">"*"</definedName>
    <definedName name="L">#REF!</definedName>
    <definedName name="Land_Sale_Proceeds">#REF!</definedName>
    <definedName name="land1">#REF!</definedName>
    <definedName name="land2">#REF!</definedName>
    <definedName name="landt">#REF!</definedName>
    <definedName name="last_qtr">#REF!</definedName>
    <definedName name="LBO_L">#REF!</definedName>
    <definedName name="lbycan">#REF!</definedName>
    <definedName name="lbydebt1">#REF!</definedName>
    <definedName name="lead">#REF!</definedName>
    <definedName name="leverage">#REF!</definedName>
    <definedName name="libor">#REF!</definedName>
    <definedName name="libor180d">#REF!</definedName>
    <definedName name="libor360d">#REF!</definedName>
    <definedName name="LiborToggle">#REF!</definedName>
    <definedName name="liborx">#REF!</definedName>
    <definedName name="ListSheetsMacroButton">#REF!</definedName>
    <definedName name="ll">{#N/A,#N/A,FALSE,"Sheet1"}</definedName>
    <definedName name="Loan_amount">#REF!</definedName>
    <definedName name="locala2">#REF!</definedName>
    <definedName name="localat">#REF!</definedName>
    <definedName name="localb2">#REF!</definedName>
    <definedName name="localbt">#REF!</definedName>
    <definedName name="locpage">#REF!</definedName>
    <definedName name="LODGING_PD">#REF!</definedName>
    <definedName name="London">#REF!</definedName>
    <definedName name="LOOP">#REF!</definedName>
    <definedName name="Low">#N/A</definedName>
    <definedName name="LPRICE">#REF!</definedName>
    <definedName name="LSITE">#REF!</definedName>
    <definedName name="ltd">#REF!</definedName>
    <definedName name="LTTM">#REF!</definedName>
    <definedName name="LTTQ">#REF!</definedName>
    <definedName name="ltv">#REF!</definedName>
    <definedName name="macro">#REF!</definedName>
    <definedName name="Macro3">Macro3</definedName>
    <definedName name="Macro5">Macro5</definedName>
    <definedName name="Mall_Table">#REF!</definedName>
    <definedName name="margin.switch">#REF!</definedName>
    <definedName name="marketdata">#REF!</definedName>
    <definedName name="MARZO">#REF!</definedName>
    <definedName name="MATRIX">#REF!</definedName>
    <definedName name="MAYO">#REF!</definedName>
    <definedName name="mcs03g.ReqArray">{"Price","PAYX","LC120","N","0","0","H"}</definedName>
    <definedName name="me">"Button 5"</definedName>
    <definedName name="MergerPremium">#REF!</definedName>
    <definedName name="MergerPrice">#REF!</definedName>
    <definedName name="MergerPurchasePrice">#REF!</definedName>
    <definedName name="MergerShares">#REF!</definedName>
    <definedName name="MergerTransactionValue">#REF!</definedName>
    <definedName name="Merrill_Lynch___Co.">#N/A</definedName>
    <definedName name="Mexico1">#REF!</definedName>
    <definedName name="Mexico2">#REF!</definedName>
    <definedName name="MGHM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M">#REF!</definedName>
    <definedName name="mhj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dwest">#REF!</definedName>
    <definedName name="Mileage_Rate">#REF!</definedName>
    <definedName name="minimum">#REF!</definedName>
    <definedName name="mkt_cap">#REF!</definedName>
    <definedName name="MKT_TEMP_DIR">#REF!</definedName>
    <definedName name="MKT_TEMP_FNAME">#REF!</definedName>
    <definedName name="mkt_valu">#REF!</definedName>
    <definedName name="MonitorRow">1</definedName>
    <definedName name="MonthNames">{"Jan","Feb","Mar","Apr","May","Jun","Jul","Aug","Sep","Oct","Nov","Dec";"January","February","March","April","May","June","July","August","September","October","November","December"}</definedName>
    <definedName name="months">#REF!</definedName>
    <definedName name="mortgage">#REF!</definedName>
    <definedName name="mtgfo04">#REF!</definedName>
    <definedName name="mtgipo05">#REF!</definedName>
    <definedName name="Mult_Accounting">#REF!</definedName>
    <definedName name="MULT_BASE">#REF!</definedName>
    <definedName name="MULT_CLOOP1">#REF!</definedName>
    <definedName name="MULT_CLOOP2">#REF!</definedName>
    <definedName name="MULT_COMP_LINE1">#REF!</definedName>
    <definedName name="Mult_Comp_Page1">#REF!</definedName>
    <definedName name="Mult_Comp_Page2">#REF!</definedName>
    <definedName name="Mult_Comp_Page3">#REF!</definedName>
    <definedName name="MULT_COMP_RES">#REF!</definedName>
    <definedName name="MULT_COMP_SENSE">#REF!</definedName>
    <definedName name="Mult_Comp_Sense1">#REF!</definedName>
    <definedName name="Mult_Comp_Sense2">#REF!</definedName>
    <definedName name="Mult_Comp_Sense3">#REF!</definedName>
    <definedName name="Mult_Comp_Title1">#REF!</definedName>
    <definedName name="Mult_Comp_Title2">#REF!</definedName>
    <definedName name="Mult_Comp_Title3">#REF!</definedName>
    <definedName name="Mult_Comp1">#REF!</definedName>
    <definedName name="Mult_Comp10">#REF!</definedName>
    <definedName name="Mult_Comp11">#REF!</definedName>
    <definedName name="Mult_Comp12">#REF!</definedName>
    <definedName name="Mult_Comp13">#REF!</definedName>
    <definedName name="Mult_Comp14">#REF!</definedName>
    <definedName name="Mult_Comp15">#REF!</definedName>
    <definedName name="Mult_Comp16">#REF!</definedName>
    <definedName name="Mult_Comp17">#REF!</definedName>
    <definedName name="Mult_Comp18">#REF!</definedName>
    <definedName name="Mult_Comp2">#REF!</definedName>
    <definedName name="Mult_Comp3">#REF!</definedName>
    <definedName name="Mult_Comp4">#REF!</definedName>
    <definedName name="Mult_Comp5">#REF!</definedName>
    <definedName name="Mult_Comp6">#REF!</definedName>
    <definedName name="Mult_Comp7">#REF!</definedName>
    <definedName name="Mult_Comp8">#REF!</definedName>
    <definedName name="Mult_Comp9">#REF!</definedName>
    <definedName name="MULT_COMPANIES">#REF!</definedName>
    <definedName name="Mult_Financing">#REF!</definedName>
    <definedName name="MULT_NAMES">#REF!</definedName>
    <definedName name="MULT_PREMIUM">#REF!</definedName>
    <definedName name="MULT_PRICE">#REF!</definedName>
    <definedName name="MULT_TYPE">#REF!</definedName>
    <definedName name="Multi_Family_Sale">#REF!</definedName>
    <definedName name="MULTS_SWS">#N/A</definedName>
    <definedName name="NA">#N/A</definedName>
    <definedName name="NAllTables">{4}</definedName>
    <definedName name="name">#REF!</definedName>
    <definedName name="NAME2">#REF!</definedName>
    <definedName name="NAME3">#REF!</definedName>
    <definedName name="NAME4">#REF!</definedName>
    <definedName name="NAME6">#REF!</definedName>
    <definedName name="NAMES">#REF!</definedName>
    <definedName name="navigator_cap_rates">#REF!</definedName>
    <definedName name="NDSN">NDSN</definedName>
    <definedName name="net_inc_com">#REF!</definedName>
    <definedName name="netdebt">#REF!</definedName>
    <definedName name="New">#REF!</definedName>
    <definedName name="NEW_DEBT">#REF!</definedName>
    <definedName name="NEW_PREFERRED">#REF!</definedName>
    <definedName name="newgw">#REF!</definedName>
    <definedName name="newgwamort">#REF!</definedName>
    <definedName name="Next">operating,multiples,elvis,graceland,balance,pro_income,dcf_comb,valuation</definedName>
    <definedName name="NM">#N/A</definedName>
    <definedName name="noi_incr">#REF!</definedName>
    <definedName name="NOI_Lookup">#REF!</definedName>
    <definedName name="NOI_Summary">#REF!</definedName>
    <definedName name="Non_Assump_PurchFreq">#REF!</definedName>
    <definedName name="Non_Assump_PurchNum">#REF!</definedName>
    <definedName name="non_cash">#REF!</definedName>
    <definedName name="normal">#N/A</definedName>
    <definedName name="Northborough_Tower">#REF!</definedName>
    <definedName name="Northeast">#REF!</definedName>
    <definedName name="Northwest">#REF!</definedName>
    <definedName name="NOVIEMBRE">#REF!</definedName>
    <definedName name="NvsASD">"V2000-09-08"</definedName>
    <definedName name="NvsAutoDrillOk">"VN"</definedName>
    <definedName name="NvsElapsedTime">0.000234143517445773</definedName>
    <definedName name="NvsEndTime">36707.2948738426</definedName>
    <definedName name="NvsInstSpec">"%,FMI_ALT_BU,TCA_ALTBU_CORPS,NCONSOLIDATING"</definedName>
    <definedName name="NvsLayoutType">"M3"</definedName>
    <definedName name="NvsNplSpec">"%,X,RZF..,CZF.."</definedName>
    <definedName name="NvsPanelEffdt">"V9999-01-01"</definedName>
    <definedName name="NvsPanelSetid">"VMIDIV"</definedName>
    <definedName name="NvsReqBU">"V52"</definedName>
    <definedName name="NvsReqBUOnly">"VN"</definedName>
    <definedName name="NvsTransLed">"VN"</definedName>
    <definedName name="NvsTreeASD">"V2000-09-08"</definedName>
    <definedName name="NvsValTbl.PRODUCT">"MI_GL_PRODCT_VW"</definedName>
    <definedName name="NY">#REF!</definedName>
    <definedName name="O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OccupMo12Name">#REF!</definedName>
    <definedName name="OccupMo1Name">#REF!</definedName>
    <definedName name="OccupStart">#REF!</definedName>
    <definedName name="oct">{#N/A,#N/A,FALSE,"Aging Summary";#N/A,#N/A,FALSE,"Ratio Analysis";#N/A,#N/A,FALSE,"Test 120 Day Accts";#N/A,#N/A,FALSE,"Tickmarks"}</definedName>
    <definedName name="OCTUBRE">#REF!</definedName>
    <definedName name="offer">#N/A</definedName>
    <definedName name="OFFER_COL_HIGH">#REF!</definedName>
    <definedName name="OFFER_COL_LOW">#REF!</definedName>
    <definedName name="OFFER_ISSUE">#REF!</definedName>
    <definedName name="OFFER_OFFER">#REF!</definedName>
    <definedName name="offering">#REF!</definedName>
    <definedName name="offflex">#REF!</definedName>
    <definedName name="offflex_acq">#REF!</definedName>
    <definedName name="office">#REF!</definedName>
    <definedName name="OLDDEBT_RATE">#REF!</definedName>
    <definedName name="OLDGW">#REF!</definedName>
    <definedName name="oldvnew">#REF!</definedName>
    <definedName name="ONE">#REF!</definedName>
    <definedName name="OP">#REF!</definedName>
    <definedName name="Op_margin">#REF!</definedName>
    <definedName name="OPERATING_HIS1">#REF!</definedName>
    <definedName name="OPERATING_HIS2">#REF!</definedName>
    <definedName name="OPERATING_HIS3">#REF!</definedName>
    <definedName name="OPPCOST">#REF!</definedName>
    <definedName name="Options">#N/A</definedName>
    <definedName name="other">#REF!</definedName>
    <definedName name="Other_Assets_Pivot">#REF!</definedName>
    <definedName name="Other_Liab_Pivot">#REF!</definedName>
    <definedName name="Other1">#REF!</definedName>
    <definedName name="oti">#REF!</definedName>
    <definedName name="OUT_INT">#REF!</definedName>
    <definedName name="output">#REF!</definedName>
    <definedName name="output_q">#REF!</definedName>
    <definedName name="OUTPUTS">#REF!</definedName>
    <definedName name="OWN">#REF!</definedName>
    <definedName name="p">print_consol</definedName>
    <definedName name="P_BS">#N/A</definedName>
    <definedName name="P_L">#REF!</definedName>
    <definedName name="Pacific">#REF!</definedName>
    <definedName name="PAGE">#REF!</definedName>
    <definedName name="page_o_charts">#REF!</definedName>
    <definedName name="PAGE1">#REF!</definedName>
    <definedName name="Page12">#REF!</definedName>
    <definedName name="PAGE2">#N/A</definedName>
    <definedName name="Page200">#REF!</definedName>
    <definedName name="Page201">#REF!</definedName>
    <definedName name="papi">{#N/A,#N/A,FALSE,"Aging Summary";#N/A,#N/A,FALSE,"Ratio Analysis";#N/A,#N/A,FALSE,"Test 120 Day Accts";#N/A,#N/A,FALSE,"Tickmarks"}</definedName>
    <definedName name="PAPY">{#N/A,#N/A,FALSE,"Aging Summary";#N/A,#N/A,FALSE,"Ratio Analysis";#N/A,#N/A,FALSE,"Test 120 Day Accts";#N/A,#N/A,FALSE,"Tickmarks"}</definedName>
    <definedName name="Parcel_Occupancy">#REF!</definedName>
    <definedName name="payment.Num">IF(OR(#REF!="",#REF!=Total_payments),"",#REF!+1)</definedName>
    <definedName name="Payments_per_year">#REF!</definedName>
    <definedName name="pbFileName">MID(CELL("filename"),FIND("[",CELL("FILENAME"))+1,(FIND("]",CELL("FILENAME")))-(FIND("[",CELL("FILENAME"))+1))</definedName>
    <definedName name="pbPrinterFormat">"\\SGB24831\P0047496 on Ne05:"</definedName>
    <definedName name="pbStartPageNumber">1</definedName>
    <definedName name="pbUpdatePageNumbering">TRUE</definedName>
    <definedName name="PCT">#REF!</definedName>
    <definedName name="PCT_L">#REF!</definedName>
    <definedName name="PCTS">#REF!</definedName>
    <definedName name="PERIOD">#REF!</definedName>
    <definedName name="Periodic_rate">Annual_interest_rate/Payments_per_year</definedName>
    <definedName name="Pers_TotAssets_Copy">#REF!</definedName>
    <definedName name="Pers_TotAssets_Paste">#REF!</definedName>
    <definedName name="perstore">#REF!</definedName>
    <definedName name="PF_EPS_CALC">#REF!</definedName>
    <definedName name="pf_tot_EBITDA">#REF!</definedName>
    <definedName name="PFADSharesSwitch">#REF!</definedName>
    <definedName name="pfd">#REF!</definedName>
    <definedName name="pfd_stk">#REF!</definedName>
    <definedName name="PFEBIT">#REF!</definedName>
    <definedName name="PFPRICE">#REF!</definedName>
    <definedName name="PFPRICE2">#REF!</definedName>
    <definedName name="pg3a">#N/A</definedName>
    <definedName name="picture">#REF!</definedName>
    <definedName name="pik">#REF!</definedName>
    <definedName name="pkhigh">#REF!</definedName>
    <definedName name="plre">plre</definedName>
    <definedName name="Pmt_to_use">#REF!</definedName>
    <definedName name="PNAME">#REF!</definedName>
    <definedName name="pool">#REF!</definedName>
    <definedName name="Portfolio">#REF!</definedName>
    <definedName name="PortfolioSelectorRange">#REF!</definedName>
    <definedName name="Portion">#REF!</definedName>
    <definedName name="POS">#REF!</definedName>
    <definedName name="PPS">#REF!</definedName>
    <definedName name="prall">#REF!</definedName>
    <definedName name="pref_rate">#REF!</definedName>
    <definedName name="preferred">#REF!</definedName>
    <definedName name="PREFERRED_RATE">#REF!</definedName>
    <definedName name="Prepayment_Penalties">#REF!</definedName>
    <definedName name="Prepayment_Penalty_Notes">#REF!</definedName>
    <definedName name="PreSale">#REF!</definedName>
    <definedName name="PresentationNormalA4">#REF!</definedName>
    <definedName name="price">#REF!</definedName>
    <definedName name="PRICE_SENSE">#REF!</definedName>
    <definedName name="PRICE_SENSE2">#REF!</definedName>
    <definedName name="prime">#REF!</definedName>
    <definedName name="Principal">IF(#REF!&lt;&gt;"",MIN(#REF!,Pmt_to_use-#REF!),"")</definedName>
    <definedName name="prins">#REF!</definedName>
    <definedName name="Print__q">print_consol</definedName>
    <definedName name="Print_Area">#REF!</definedName>
    <definedName name="Print_Area_MI">#REF!</definedName>
    <definedName name="Print_matrix">#REF!</definedName>
    <definedName name="PRINT_MENU">#REF!</definedName>
    <definedName name="_xlnm.Print_Titles">#N/A</definedName>
    <definedName name="Print_Titles_MI">#REF!</definedName>
    <definedName name="Print1">#REF!</definedName>
    <definedName name="Print2">#REF!</definedName>
    <definedName name="PRINTDLG">#REF!</definedName>
    <definedName name="PrintManagerQuery">#REF!</definedName>
    <definedName name="PrintPreview">PrintPreview</definedName>
    <definedName name="PrintSelectedSheetsMacroButton">#REF!</definedName>
    <definedName name="prmgt">#REF!</definedName>
    <definedName name="PROCEEDS">#REF!</definedName>
    <definedName name="prod94_95">#REF!</definedName>
    <definedName name="product97_01">#REF!</definedName>
    <definedName name="products_94_95">#REF!</definedName>
    <definedName name="productsales_98_02">#REF!</definedName>
    <definedName name="productsales95_96quarter">#REF!</definedName>
    <definedName name="productsales96_97">#REF!</definedName>
    <definedName name="profile">#REF!</definedName>
    <definedName name="PROFORMA_SHARES">#REF!</definedName>
    <definedName name="ProImportExport.ImportFile">ProImportExport.ImportFile</definedName>
    <definedName name="ProImportExport.SaveNewFile">ProImportExport.SaveNewFile</definedName>
    <definedName name="PROJECT">#REF!</definedName>
    <definedName name="PROJECT_GOLDMINE">#REF!</definedName>
    <definedName name="projectname">#REF!</definedName>
    <definedName name="ProjectName2">{"Client Name or Project Name"}</definedName>
    <definedName name="projectnametitle">#REF!</definedName>
    <definedName name="projectno">#REF!</definedName>
    <definedName name="Prop_Analysis00">#REF!</definedName>
    <definedName name="Prop_Analysis99">#REF!</definedName>
    <definedName name="PROP_TAX_GROW">#REF!</definedName>
    <definedName name="prtax">#REF!</definedName>
    <definedName name="pulp1">#REF!</definedName>
    <definedName name="pulp2">#REF!</definedName>
    <definedName name="purchase?">#REF!</definedName>
    <definedName name="PurchDebt">#REF!</definedName>
    <definedName name="PurchEBITDA">#REF!</definedName>
    <definedName name="PurchInt">#REF!</definedName>
    <definedName name="PurchRev">#REF!</definedName>
    <definedName name="PurchRoom">#REF!</definedName>
    <definedName name="PvtTbl2">#REF!</definedName>
    <definedName name="Q_1997">#REF!</definedName>
    <definedName name="Q10_BS">#REF!</definedName>
    <definedName name="Q10_IS">#REF!</definedName>
    <definedName name="Q10_ISBS">#REF!</definedName>
    <definedName name="qbs">#REF!</definedName>
    <definedName name="qend">#REF!</definedName>
    <definedName name="qfs">#REF!</definedName>
    <definedName name="qis">#REF!</definedName>
    <definedName name="qr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selReportLeasingByBuilding">#REF!</definedName>
    <definedName name="QTR_YTD">#REF!</definedName>
    <definedName name="Quarter">#REF!</definedName>
    <definedName name="quarterly">#REF!</definedName>
    <definedName name="qw">{"FCB_ALL",#N/A,FALSE,"FCB";"GREY_ALL",#N/A,FALSE,"GREY"}</definedName>
    <definedName name="qwert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nk_Bud">#REF!</definedName>
    <definedName name="Rankbudid">#REF!</definedName>
    <definedName name="RAT_A">#REF!</definedName>
    <definedName name="RAT_T">#REF!</definedName>
    <definedName name="rating">#REF!</definedName>
    <definedName name="RATIOS">#REF!</definedName>
    <definedName name="RATIOS_L">#REF!</definedName>
    <definedName name="ratios_ll">#REF!</definedName>
    <definedName name="realty">#REF!</definedName>
    <definedName name="realtystock">#REF!</definedName>
    <definedName name="Recap">#REF!</definedName>
    <definedName name="reconciliations">#REF!</definedName>
    <definedName name="_xlnm.Recorder">#REF!</definedName>
    <definedName name="reduce">#REF!</definedName>
    <definedName name="reit_bal_sht">#REF!</definedName>
    <definedName name="reit_both">#REF!</definedName>
    <definedName name="reit_inc_stmt">#REF!</definedName>
    <definedName name="rent_inc">#REF!</definedName>
    <definedName name="Rent_Incr">#REF!</definedName>
    <definedName name="rent_incr2">#REF!</definedName>
    <definedName name="rent_incr3">#REF!</definedName>
    <definedName name="rent_incr4">#REF!</definedName>
    <definedName name="rent_incr5">#REF!</definedName>
    <definedName name="rent1">#REF!</definedName>
    <definedName name="rent2">#REF!</definedName>
    <definedName name="rent3">#REF!</definedName>
    <definedName name="rent4">#REF!</definedName>
    <definedName name="ResetItemView">ResetItemView</definedName>
    <definedName name="RESUMEDO">#REF!</definedName>
    <definedName name="retail">#REF!</definedName>
    <definedName name="Retail_Cap">#REF!</definedName>
    <definedName name="Retail_Proceeds">#REF!</definedName>
    <definedName name="RETURN">#REF!</definedName>
    <definedName name="RETURNS">#REF!</definedName>
    <definedName name="returns_l">#REF!</definedName>
    <definedName name="rev">#N/A</definedName>
    <definedName name="rev_area">#REF!</definedName>
    <definedName name="rev_g">#REF!</definedName>
    <definedName name="REVALA">#REF!</definedName>
    <definedName name="REVALL">#REF!</definedName>
    <definedName name="Reverse">#REF!</definedName>
    <definedName name="revs">#REF!</definedName>
    <definedName name="roll_T_options?">#REF!</definedName>
    <definedName name="ROP">[0]!ROP</definedName>
    <definedName name="round">1</definedName>
    <definedName name="RRBegin">#REF!</definedName>
    <definedName name="rrc">#REF!</definedName>
    <definedName name="RREnd">#REF!</definedName>
    <definedName name="rrent_incr">#REF!</definedName>
    <definedName name="rrent_incr2">#REF!</definedName>
    <definedName name="rrent_incr3">#REF!</definedName>
    <definedName name="rrent_incr4">#REF!</definedName>
    <definedName name="RRLeaseType">#REF!</definedName>
    <definedName name="RRSF">#REF!</definedName>
    <definedName name="RRSuite">#REF!</definedName>
    <definedName name="RRTenant1">#REF!</definedName>
    <definedName name="RRUponExpir">#REF!</definedName>
    <definedName name="rt">{"inputs raw data",#N/A,TRUE,"INPUT"}</definedName>
    <definedName name="rtg45t">rtg45t</definedName>
    <definedName name="rti">#REF!</definedName>
    <definedName name="s">{"cap_structure",#N/A,FALSE,"Graph-Mkt Cap";"price",#N/A,FALSE,"Graph-Price";"ebit",#N/A,FALSE,"Graph-EBITDA";"ebitda",#N/A,FALSE,"Graph-EBITDA"}</definedName>
    <definedName name="sa">{"cap_structure",#N/A,FALSE,"Graph-Mkt Cap";"price",#N/A,FALSE,"Graph-Price";"ebit",#N/A,FALSE,"Graph-EBITDA";"ebitda",#N/A,FALSE,"Graph-EBITDA"}</definedName>
    <definedName name="sagf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e_to_OP_Cap">#REF!</definedName>
    <definedName name="sales">#REF!</definedName>
    <definedName name="SAME_STORE">#REF!</definedName>
    <definedName name="Sarasota_City_Center">#REF!</definedName>
    <definedName name="Saved_Acquiror">#REF!</definedName>
    <definedName name="SAVED_EXRATIO">#REF!</definedName>
    <definedName name="SAVED_ISS_PRICE">#REF!</definedName>
    <definedName name="Saved_Offer_Price">#REF!</definedName>
    <definedName name="Saved_Target">#REF!</definedName>
    <definedName name="SaveNewFile">SaveNewFile</definedName>
    <definedName name="savenewfile2">savenewfile2</definedName>
    <definedName name="sb">#REF!</definedName>
    <definedName name="scai">#REF!</definedName>
    <definedName name="SCENARIO">#REF!</definedName>
    <definedName name="schedule_q96_1">#REF!</definedName>
    <definedName name="schedule_q96_2">#REF!</definedName>
    <definedName name="schedule_q96_3">#REF!</definedName>
    <definedName name="schedule_q96_4">#REF!</definedName>
    <definedName name="schedule_qd96_1">#REF!</definedName>
    <definedName name="schedule_qd96_2">#REF!</definedName>
    <definedName name="schedule_qd96_3">#REF!</definedName>
    <definedName name="schedule_qd96_4">#REF!</definedName>
    <definedName name="scli">#REF!</definedName>
    <definedName name="scsa">#REF!</definedName>
    <definedName name="sd">{"summary1",#N/A,TRUE,"Comps";"summary2",#N/A,TRUE,"Comps";"summary3",#N/A,TRUE,"Comps"}</definedName>
    <definedName name="sdf">[0]!sdf</definedName>
    <definedName name="sdfga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eason">#REF!</definedName>
    <definedName name="sed">{#N/A,#N/A,FALSE,"Aging Summary";#N/A,#N/A,FALSE,"Ratio Analysis";#N/A,#N/A,FALSE,"Test 120 Day Accts";#N/A,#N/A,FALSE,"Tickmarks"}</definedName>
    <definedName name="select_cap_rates">#REF!</definedName>
    <definedName name="sell_cap">#REF!</definedName>
    <definedName name="sencount">1</definedName>
    <definedName name="SENSEPOOL">#REF!</definedName>
    <definedName name="SEPTIEMBRE">#REF!</definedName>
    <definedName name="SeriesFormat">SeriesFormat</definedName>
    <definedName name="Set">" "</definedName>
    <definedName name="SET_ISS_PRICE">#REF!</definedName>
    <definedName name="SET_OFF_PRICE">#REF!</definedName>
    <definedName name="sfdfa">#REF!</definedName>
    <definedName name="sga">#REF!</definedName>
    <definedName name="Shares">#N/A</definedName>
    <definedName name="shares_outstanding">#REF!</definedName>
    <definedName name="shares2">#REF!</definedName>
    <definedName name="shares3">#REF!</definedName>
    <definedName name="SHARESA">#REF!</definedName>
    <definedName name="SHARESB">#REF!</definedName>
    <definedName name="Short_Flow_Data">#REF!</definedName>
    <definedName name="Show.Date">IF(#REF!&lt;&gt;"",DATE(YEAR(First_payment_due),MONTH(First_payment_due)+(#REF!-1)*12/Payments_per_year,DAY(First_payment_due)),"")</definedName>
    <definedName name="ShowData">ShowData</definedName>
    <definedName name="ShowGraph">ShowGraph</definedName>
    <definedName name="SIC">#REF!</definedName>
    <definedName name="silver_print">operating,multiples,elvis,graceland,balance,pro_income,dcf_comb,valuation</definedName>
    <definedName name="silver_print2">operating,multiples,elvis,graceland,balance,pro_income,dcf_comb,valuation</definedName>
    <definedName name="six">#REF!</definedName>
    <definedName name="SIX_YEAR">#REF!</definedName>
    <definedName name="SIXYRS_OF_PROJ">#REF!</definedName>
    <definedName name="sourcesanduses">#REF!</definedName>
    <definedName name="Southeast">#REF!</definedName>
    <definedName name="Southwest">#REF!</definedName>
    <definedName name="Sparks_Deer_Creek">"mgmtfee"</definedName>
    <definedName name="spcompany">#REF!</definedName>
    <definedName name="specialm">#REF!</definedName>
    <definedName name="specialq">#REF!</definedName>
    <definedName name="spffo">#REF!</definedName>
    <definedName name="spffo2">#REF!</definedName>
    <definedName name="spffo3">#REF!</definedName>
    <definedName name="spffo4\">#REF!</definedName>
    <definedName name="spffo5">#REF!</definedName>
    <definedName name="spname2">#REF!</definedName>
    <definedName name="spname3">#REF!</definedName>
    <definedName name="spname4">#REF!</definedName>
    <definedName name="spname6">#REF!</definedName>
    <definedName name="spop1">#REF!</definedName>
    <definedName name="spop2">#REF!</definedName>
    <definedName name="spop3">#REF!</definedName>
    <definedName name="spop4">#REF!</definedName>
    <definedName name="SPWS_WBID">"08C0B20B-5C58-11D3-B317-444553540000"</definedName>
    <definedName name="sr">#REF!</definedName>
    <definedName name="sss">[0]!sss</definedName>
    <definedName name="ssw">{#N/A,#N/A,FALSE,"Aging Summary";#N/A,#N/A,FALSE,"Ratio Analysis";#N/A,#N/A,FALSE,"Test 120 Day Accts";#N/A,#N/A,FALSE,"Tickmarks"}</definedName>
    <definedName name="st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b_Ancil_Inc">EGI-NRI</definedName>
    <definedName name="start">#REF!</definedName>
    <definedName name="std">#REF!</definedName>
    <definedName name="step">#REF!</definedName>
    <definedName name="step2">#REF!</definedName>
    <definedName name="step3">#REF!</definedName>
    <definedName name="steveb">#REF!</definedName>
    <definedName name="stock">#N/A</definedName>
    <definedName name="STOCK1">#REF!</definedName>
    <definedName name="store">#REF!</definedName>
    <definedName name="stores">#REF!</definedName>
    <definedName name="strategicassetdetail">#REF!</definedName>
    <definedName name="strategicassetfinan">#REF!</definedName>
    <definedName name="strategicdetail">#REF!</definedName>
    <definedName name="strategicfinan">#REF!</definedName>
    <definedName name="stub">#REF!</definedName>
    <definedName name="subdebt">#REF!</definedName>
    <definedName name="subheader">#REF!</definedName>
    <definedName name="Subheader2">#REF!</definedName>
    <definedName name="subint">#REF!</definedName>
    <definedName name="subtitle">#REF!</definedName>
    <definedName name="SUMM">#REF!</definedName>
    <definedName name="SUMM1">#REF!</definedName>
    <definedName name="summary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Summit_Office_Park">#REF!</definedName>
    <definedName name="summpage">#REF!</definedName>
    <definedName name="SUPPLEMENTAL">#REF!</definedName>
    <definedName name="sw">#REF!</definedName>
    <definedName name="swappage">#REF!</definedName>
    <definedName name="SWEEP">#REF!</definedName>
    <definedName name="Switch">#REF!</definedName>
    <definedName name="SWITCHES">#REF!</definedName>
    <definedName name="syn">#N/A</definedName>
    <definedName name="SYN_SCN">#N/A</definedName>
    <definedName name="syn_sga">#N/A</definedName>
    <definedName name="SynergiesCY">#REF!</definedName>
    <definedName name="SynergiesNY">#REF!</definedName>
    <definedName name="synergy">#N/A</definedName>
    <definedName name="SyracuseM">#REF!</definedName>
    <definedName name="SyracuseQ">#REF!</definedName>
    <definedName name="t_ticker">#REF!</definedName>
    <definedName name="table">#REF!</definedName>
    <definedName name="TABLE_1">#REF!</definedName>
    <definedName name="table_2">#REF!</definedName>
    <definedName name="TABLE_3">#REF!</definedName>
    <definedName name="Table_3.__by_Property__1995_1996">#REF!</definedName>
    <definedName name="Table_4.by_Property__1997_2001">#REF!</definedName>
    <definedName name="Table_8.__Results_by_Property__1995_1996">#REF!</definedName>
    <definedName name="Table_9.Casino_Results_by_Property__1997_2001">#REF!</definedName>
    <definedName name="Table_beg_bal">#REF!</definedName>
    <definedName name="Table_prior_interest">#REF!</definedName>
    <definedName name="Table_Titles">#REF!</definedName>
    <definedName name="Table_xx.Estimated_Product_Sales__Fiscal_1998_2002">#REF!</definedName>
    <definedName name="Tables">#REF!</definedName>
    <definedName name="Tampa_Commons">#REF!</definedName>
    <definedName name="tar">#REF!</definedName>
    <definedName name="targ">#REF!</definedName>
    <definedName name="TARG1">#REF!</definedName>
    <definedName name="Target">#REF!</definedName>
    <definedName name="TARGET_NAME">#REF!</definedName>
    <definedName name="TARGET_SHARES">#REF!</definedName>
    <definedName name="TARGET_SHPRICE">#REF!</definedName>
    <definedName name="TARGET_SUM">#REF!</definedName>
    <definedName name="TAX_FORECAST">#REF!</definedName>
    <definedName name="TAX_RATE_GROW">#REF!</definedName>
    <definedName name="tbl_RCAexport">#REF!</definedName>
    <definedName name="TCEECY">#REF!</definedName>
    <definedName name="TCEENY">#REF!</definedName>
    <definedName name="TCNICY">#REF!</definedName>
    <definedName name="TCNINY">#REF!</definedName>
    <definedName name="td">#REF!</definedName>
    <definedName name="te">#REF!</definedName>
    <definedName name="TE_RATE">#REF!</definedName>
    <definedName name="TE_RISE">#REF!</definedName>
    <definedName name="TEECY">#REF!</definedName>
    <definedName name="TEENY">#REF!</definedName>
    <definedName name="TEMPLATE">#REF!</definedName>
    <definedName name="TEMPLATE_FILE">#REF!</definedName>
    <definedName name="TemplateDate">32967</definedName>
    <definedName name="TEN_YEAR">#REF!</definedName>
    <definedName name="TEN_YEAR_WITH">#REF!</definedName>
    <definedName name="tenr">#REF!</definedName>
    <definedName name="Term_in_years">#REF!</definedName>
    <definedName name="termPoints">#REF!</definedName>
    <definedName name="test1">#REF!</definedName>
    <definedName name="TestAdd">"Test RefersTo1"</definedName>
    <definedName name="TextFormat">TextFormat</definedName>
    <definedName name="Tgt">#REF!</definedName>
    <definedName name="Tgt_Currency">#REF!</definedName>
    <definedName name="three">#REF!</definedName>
    <definedName name="threeQacq">#REF!</definedName>
    <definedName name="ti">#REF!</definedName>
    <definedName name="Ticker">#N/A</definedName>
    <definedName name="Ticker_Symbol">#REF!</definedName>
    <definedName name="TickerToNameOnEnter">TickerToNameOnEnter</definedName>
    <definedName name="tim">#REF!</definedName>
    <definedName name="time">#REF!</definedName>
    <definedName name="TInterestRate">#REF!</definedName>
    <definedName name="TMC">#REF!</definedName>
    <definedName name="TMVE">#REF!</definedName>
    <definedName name="tname">#REF!</definedName>
    <definedName name="TNetDebt">#REF!</definedName>
    <definedName name="TNICY">#REF!</definedName>
    <definedName name="TNINY">#REF!</definedName>
    <definedName name="today">#REF!</definedName>
    <definedName name="top10pct">#REF!</definedName>
    <definedName name="totadd">#REF!</definedName>
    <definedName name="total">#REF!</definedName>
    <definedName name="Total_Interest_Lookup">#REF!</definedName>
    <definedName name="Total_payments">Payments_per_year*Term_in_years</definedName>
    <definedName name="totalamount">#REF!</definedName>
    <definedName name="totalbooks">#REF!</definedName>
    <definedName name="TotalSF">#REF!</definedName>
    <definedName name="TPrice">#REF!</definedName>
    <definedName name="TR_LOOP">#REF!</definedName>
    <definedName name="TR_MERGE">#REF!</definedName>
    <definedName name="TR_METHODS">#REF!</definedName>
    <definedName name="TR_PRICE">#REF!</definedName>
    <definedName name="TR_RANGES">#REF!</definedName>
    <definedName name="TR_STRUCT">#REF!</definedName>
    <definedName name="TR_STRUCT_CALCS">#REF!</definedName>
    <definedName name="TR_STRUCT_RUN">#REF!</definedName>
    <definedName name="Trading">#REF!</definedName>
    <definedName name="TraexM">#REF!</definedName>
    <definedName name="TraexQ">#REF!</definedName>
    <definedName name="trans_l">#REF!</definedName>
    <definedName name="TRANSINPUTS">#REF!</definedName>
    <definedName name="treasury1">#REF!</definedName>
    <definedName name="treasuryrate">#REF!</definedName>
    <definedName name="TShares">#REF!</definedName>
    <definedName name="TSHE">#REF!</definedName>
    <definedName name="TSITE3">#REF!</definedName>
    <definedName name="TTaxRate">#REF!</definedName>
    <definedName name="TTSHE">#REF!</definedName>
    <definedName name="Two">#REF!</definedName>
    <definedName name="twoQAcq">#REF!</definedName>
    <definedName name="TxFees">#REF!</definedName>
    <definedName name="TxFeesAmort">#REF!</definedName>
    <definedName name="TxFeesLabel">#REF!</definedName>
    <definedName name="TxFeesSwitch">#REF!</definedName>
    <definedName name="typefo04">#REF!</definedName>
    <definedName name="uhygf">uhygf</definedName>
    <definedName name="UNAFFPRICE">#REF!</definedName>
    <definedName name="University_Tower">#REF!</definedName>
    <definedName name="Untitled">#REF!</definedName>
    <definedName name="UPD_MARKET_ONLY">#REF!</definedName>
    <definedName name="UPDATE">#REF!</definedName>
    <definedName name="UPDATE_MKT">#REF!</definedName>
    <definedName name="updates">#REF!</definedName>
    <definedName name="USE_TEMP">#REF!</definedName>
    <definedName name="UseCashForDebt">#REF!</definedName>
    <definedName name="usr">#REF!</definedName>
    <definedName name="ust0.5">#REF!</definedName>
    <definedName name="uyfkf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eEBITDA">#REF!</definedName>
    <definedName name="vcmcf0102">#REF!</definedName>
    <definedName name="versionno">"1.0"</definedName>
    <definedName name="Volume">"Chart 8"</definedName>
    <definedName name="w">{"'Expirations'!$A$1:$L$65"}</definedName>
    <definedName name="wafe">{"summary1",#N/A,TRUE,"Comps";"summary2",#N/A,TRUE,"Comps";"summary3",#N/A,TRUE,"Comps"}</definedName>
    <definedName name="WEA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dse">wedse</definedName>
    <definedName name="wef13rgfdh">wef13rgfdh</definedName>
    <definedName name="wefaf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QQE">{"summary1",#N/A,TRUE,"Comps";"summary2",#N/A,TRUE,"Comps";"summary3",#N/A,TRUE,"Comps"}</definedName>
    <definedName name="West">#REF!</definedName>
    <definedName name="whole">#REF!,#REF!,#REF!,#REF!</definedName>
    <definedName name="WIZARD_ROAE">#REF!</definedName>
    <definedName name="WL_Assump_IssuanceMonth">#REF!</definedName>
    <definedName name="WL_Assump_IssuanceTbl">#REF!</definedName>
    <definedName name="WL_Assump_PurchFreq">#REF!</definedName>
    <definedName name="WL_Assump_PurchGrowth">#REF!</definedName>
    <definedName name="WL_Assump_PurchNum">#REF!</definedName>
    <definedName name="WLAgcy_Assump_IssuanceMonth">#REF!</definedName>
    <definedName name="WLAgcy_Assump_IssuanceTbl">#REF!</definedName>
    <definedName name="WLAgcy_Assump_PurchFreq">#REF!</definedName>
    <definedName name="WLAgcy_Assump_PurchGrowth">#REF!</definedName>
    <definedName name="WLAgcy_Assump_PurchNum">#REF!</definedName>
    <definedName name="worksheet">#REF!</definedName>
    <definedName name="WQ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d.2._.pagers.3">{"Cover",#N/A,FALSE,"Cover";"Summary",#N/A,FALSE,"Summarpage"}</definedName>
    <definedName name="WRITE_OFF">#REF!</definedName>
    <definedName name="wrn">{#N/A,#N/A,FALSE,"ZellLurieFinSummary";#N/A,#N/A,FALSE,"FirstCapFinSummary";#N/A,#N/A,FALSE,"ZM I-III Consol FinSummary"}</definedName>
    <definedName name="wrn.2._.pagers.">{"Cover",#N/A,FALSE,"Cover";"Summary",#N/A,FALSE,"Summarpage"}</definedName>
    <definedName name="wrn.2._.pagers.2">{"Cover",#N/A,FALSE,"Cover";"Summary",#N/A,FALSE,"Summarpage"}</definedName>
    <definedName name="wrn.3yr.CF.">{"assume",#N/A,FALSE,"K&amp;20th Month CF";"MoCF",#N/A,FALSE,"K&amp;20th Month CF";"AnCF",#N/A,FALSE,"K&amp;20th Month CF"}</definedName>
    <definedName name="wrn.Accretion.">{"Accretion",#N/A,FALSE,"Assum"}</definedName>
    <definedName name="wrn.Acquistion._.Status.">{#N/A,#N/A,FALSE,"zm III";#N/A,#N/A,FALSE,"deal flow";#N/A,#N/A,FALSE,"Pending deals"}</definedName>
    <definedName name="wrn.Aging._.and._.Trend._.Analysis.">{#N/A,#N/A,FALSE,"Aging Summary";#N/A,#N/A,FALSE,"Ratio Analysis";#N/A,#N/A,FALSE,"Test 120 Day Accts";#N/A,#N/A,FALSE,"Tickmarks"}</definedName>
    <definedName name="wrn.ALL.">{#N/A,#N/A,FALSE,"MONTH";#N/A,#N/A,FALSE,"QTD";#N/A,#N/A,FALSE,"YTD"}</definedName>
    <definedName name="wrn.All._.Schedules.">{#N/A,#N/A,FALSE,"Static Proforma";#N/A,#N/A,FALSE,"Bldg Dev DCF";#N/A,#N/A,FALSE,"Land Sales DCF"}</definedName>
    <definedName name="wrn.All._.Stock_10_12_14.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ssumptions.">{"Assumptions",#N/A,FALSE,"Assum"}</definedName>
    <definedName name="wrn.Auto._.Comp.">{#N/A,#N/A,FALSE,"Sheet1"}</definedName>
    <definedName name="wrn.Basic.">{#N/A,#N/A,FALSE,"Cover";#N/A,#N/A,FALSE,"Assumptions";#N/A,#N/A,FALSE,"Acquirer";#N/A,#N/A,FALSE,"Target";#N/A,#N/A,FALSE,"Income Statement";#N/A,#N/A,FALSE,"Summary Tables"}</definedName>
    <definedName name="wrn.boardPackage.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name="wrn.BY._.MTH._.W_1._.YR._.HIST.">{"BY MTH W_1 YR HIST",#N/A,FALSE,"DETAIL"}</definedName>
    <definedName name="wrn.CF._.Print.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larie_Bridge.">{"One",#N/A,FALSE,"Claire Bridge";"Two",#N/A,FALSE,"Claire Bridge";"Three",#N/A,FALSE,"Claire Bridge";"Four",#N/A,FALSE,"Claire Bridge";"Five",#N/A,FALSE,"Claire Bridge"}</definedName>
    <definedName name="wrn.Complete.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re._.Reports._.1.">{#N/A,#N/A,FALSE,"ORIGINAL PROP QTD";#N/A,#N/A,FALSE,"93 ACQ QTR";#N/A,#N/A,FALSE,"94 ACQ QTD";#N/A,#N/A,FALSE,"96 &amp; 97 ACQ QTR";#N/A,#N/A,FALSE,"CORE 97 QTR"}</definedName>
    <definedName name="wrn.CORPORATE.">{"CORPORATE",#N/A,FALSE,"DETAIL"}</definedName>
    <definedName name="wrn.Country._.consolidation.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Crossings.">{"One",#N/A,FALSE,"Crossings";"Two",#N/A,FALSE,"Crossings";"Three",#N/A,FALSE,"Crossings";"Fous",#N/A,FALSE,"Crossings";"Five",#N/A,FALSE,"Crossings"}</definedName>
    <definedName name="wrn.DCF.">{#N/A,#N/A,FALSE,"DCF-COM";#N/A,#N/A,FALSE,"VAC-COM"}</definedName>
    <definedName name="wrn.Debt._.Maturity.">{#N/A,#N/A,FALSE,"ZLDebtMaturity";#N/A,#N/A,FALSE,"FCDebtMaturity";#N/A,#N/A,FALSE,"ZM3DebtMaturity";#N/A,#N/A,FALSE,"ZM2DebtMaturity";#N/A,#N/A,FALSE,"zm1DebtMaturity";#N/A,#N/A,FALSE,"ConsZM123DebtMaturity"}</definedName>
    <definedName name="wrn.Depreciation.">{"One",#N/A,FALSE,"Depreciation"}</definedName>
    <definedName name="wrn.detail.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vdeal.">{"top",#N/A,TRUE,"Detail";"next",#N/A,TRUE,"Detail";"then",#N/A,TRUE,"Detail";"and",#N/A,TRUE,"Detail";"inaddition",#N/A,TRUE,"Detail";"finally",#N/A,TRUE,"Detail"}</definedName>
    <definedName name="wrn.Development._.Budget.">{"Year 1",#N/A,FALSE,"Budget";"Year 2",#N/A,FALSE,"Budget";"Year 3",#N/A,FALSE,"Budget";"Year 4",#N/A,FALSE,"Budget"}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tire._.Package.">{"Summary",#N/A,FALSE,"Assumptions";"Development 1 2",#N/A,FALSE,"Budget";"Operating Income",#N/A,FALSE,"Budget"}</definedName>
    <definedName name="wrn.Exhibits.">{#N/A,#N/A,FALSE,"Historical";#N/A,#N/A,FALSE,"Adjusted";#N/A,#N/A,FALSE,"CAM Alloc.";#N/A,#N/A,FALSE,"Projected CAM"}</definedName>
    <definedName name="wrn.FCB.">{"FCB_ALL",#N/A,FALSE,"FCB"}</definedName>
    <definedName name="wrn.fcb2">{"FCB_ALL",#N/A,FALSE,"FCB"}</definedName>
    <definedName name="wrn.Financing.">{"One",#N/A,FALSE,"Financing";"Two",#N/A,FALSE,"Financing";"Three",#N/A,FALSE,"Financing";"Four",#N/A,FALSE,"Financing"}</definedName>
    <definedName name="wrn.Financing_Assumptions.">{"One",#N/A,FALSE,"Financing Assumptions";"Two",#N/A,FALSE,"Financing Assumptions";"Three",#N/A,FALSE,"Financing Assumptions";"Four",#N/A,FALSE,"Financing Assumptions"}</definedName>
    <definedName name="wrn.FOschedules.">{"FOschedule1",#N/A,FALSE,"Sheet1";"FOschedule2",#N/A,FALSE,"Sheet1";"FOschedule3",#N/A,FALSE,"Sheet1"}</definedName>
    <definedName name="wrn.Full._.Report.">{"Office Properties",#N/A,FALSE,"Consolidation";"Residential Summary",#N/A,FALSE,"Consolidation";"Retail Properties",#N/A,FALSE,"Consolidation";"Pru Loan",#N/A,FALSE,"Pru Loan";"One_Clear",#N/A,FALSE,"One Clearlake";"Comm_Corp",#N/A,FALSE,"Comm Corp Ctr";"San_Jac",#N/A,FALSE,"San Jacinto";"Wilshire",#N/A,FALSE,"8383 Wilshire";"Denver_Corp",#N/A,FALSE,"Denver Corp Center";"san_fel",#N/A,FALSE,"San Felipe";"Preston Bend",#N/A,FALSE,"Preston Bend";"The Willows",#N/A,FALSE,"The Willows";"Windemere",#N/A,FALSE,"Windemere";"Concorde",#N/A,FALSE,"Concorde";"Wyndridge",#N/A,FALSE,"Wyndridge 2 &amp; 3";"Spinnaker",#N/A,FALSE,"Spinnaker Cove";"Sedona",#N/A,FALSE,"Sedona Ridge";"Summer_Tree",#N/A,FALSE,"Summer Tree";"Ridge_Mtn",#N/A,FALSE,"Mountbrook_Ridgemont";"Highline",#N/A,FALSE,"Highline Oaks";"South_Towne",#N/A,FALSE,"South Towne";"Swansea",#N/A,FALSE,"Swansea"}</definedName>
    <definedName name="wrn.FULLPLN.">{"FULLPLN",#N/A,FALSE,"Full Yr vs Plan"}</definedName>
    <definedName name="wrn.fullprior.">{"fullprior",#N/A,FALSE,"Full Yr v Prior"}</definedName>
    <definedName name="wrn.Garage.">{#N/A,#N/A,FALSE,"Garage Assumpt 1";#N/A,#N/A,FALSE,"Garage Op Proj";#N/A,#N/A,FALSE,"Hist I&amp;E";#N/A,#N/A,FALSE,"Garage Lease"}</definedName>
    <definedName name="wrn.General.">{"Balance",#N/A,FALSE,"General Assumptions";"Cost",#N/A,FALSE,"General Assumptions";"Working",#N/A,FALSE,"General Assumptions"}</definedName>
    <definedName name="wrn.Graphs.">{#N/A,"Kungens Kurva",TRUE,"Graphs";#N/A,"Täby",TRUE,"Graphs";#N/A,"Jaokobsberg",TRUE,"Graphs";#N/A,"Rissne",TRUE,"Graphs";#N/A,"Uppsala",TRUE,"Graphs";#N/A,"Södermalm",TRUE,"Graphs";#N/A,"Handen",TRUE,"Graphs";#N/A,"Solna",TRUE,"Graphs";#N/A,"Mölndal",TRUE,"Graphs";#N/A,"Lundavägen",TRUE,"Graphs";#N/A,"Moraberg",TRUE,"Graphs";#N/A,"Upplands Väsby",TRUE,"Graphs";#N/A,"Minelund",TRUE,"Graphs";#N/A,"Ystavägen",TRUE,"Graphs";#N/A,"Sköndal",TRUE,"Graphs";#N/A,"Västra Frölunda",TRUE,"Graphs";#N/A,"Lund",TRUE,"Graphs";#N/A,"Högdalen",TRUE,"Graphs";#N/A,"Danderyd",TRUE,"Graphs";#N/A,"Helsingborg",TRUE,"Graphs";#N/A,"Årstaberg",TRUE,"Graphs";#N/A,"Total",TRUE,"Graphs"}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ist._.InE.">{#N/A,#N/A,FALSE,"Hist I&amp;E - Consol";#N/A,#N/A,FALSE,"Hist I&amp;E - Lakes";#N/A,#N/A,FALSE,"Hist I&amp;E - Chabot";#N/A,#N/A,FALSE,"Hist I&amp;E - Diablo"}</definedName>
    <definedName name="wrn.Hist._.InE2.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III.">{"CASHFLOW",#N/A,FALSE,"Northpointe"}</definedName>
    <definedName name="wrn.Income._.Statements.">{"Annual Income",#N/A,FALSE,"Revenues";"Quarter Income",#N/A,FALSE,"Revenues"}</definedName>
    <definedName name="wrn.Income_Statement.">{"One",#N/A,FALSE,"Income Statement";"Two",#N/A,FALSE,"Income Statement";"Three",#N/A,FALSE,"Income Statement";"Four",#N/A,FALSE,"Income Statement"}</definedName>
    <definedName name="wrn.IV.">{"CASHFLOW",#N/A,FALSE,"Northpointe"}</definedName>
    <definedName name="wrn.JV.">{"One",#N/A,FALSE,"JV"}</definedName>
    <definedName name="wrn.LeasingResults.">{#N/A,#N/A,FALSE,"Retention";#N/A,#N/A,FALSE,"ZL Roll";#N/A,#N/A,FALSE,"FC Roll";#N/A,#N/A,FALSE,"zmlConsildated";#N/A,#N/A,FALSE,"ZM ROll SbyS";#N/A,#N/A,FALSE,"ZL";#N/A,#N/A,FALSE,"FCOccy";#N/A,#N/A,FALSE,"ZM123";#N/A,#N/A,FALSE,"portfolio"}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Values.">{#N/A,#N/A,TRUE,"10 Yr Hold";#N/A,#N/A,TRUE,"7 Yr Hold";#N/A,#N/A,TRUE,"5 Yr Hold";#N/A,#N/A,TRUE,"3 Yr Hold"}</definedName>
    <definedName name="wrn.MATRICES._.and._.CFs.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>{#N/A,#N/A,FALSE,"matx B4 DS";#N/A,#N/A,FALSE,"matx B4 DS Hac";#N/A,#N/A,FALSE,"matx B4 DS Chabot";#N/A,#N/A,FALSE,"matx B4 DS Diablo"}</definedName>
    <definedName name="wrn.model.">{"years",#N/A,FALSE,"UDR_INC";"9899qtrs",#N/A,FALSE,"UDR_INC";"9798qtrs",#N/A,FALSE,"UDR_INC"}</definedName>
    <definedName name="wrn.month.">{#N/A,#N/A,FALSE,"Mnthly Roll"}</definedName>
    <definedName name="wrn.naall.">{"namonth",#N/A,FALSE,"na";"naroll",#N/A,FALSE,"na";"naprofsales",#N/A,FALSE,"na";"naprofprft",#N/A,FALSE,"na"}</definedName>
    <definedName name="wrn.namonth.">{"namonth",#N/A,FALSE,"na"}</definedName>
    <definedName name="wrn.naprof.">{"naprofsales",#N/A,FALSE,"na"}</definedName>
    <definedName name="wrn.naroll.">{"naroll",#N/A,FALSE,"na"}</definedName>
    <definedName name="wrn.New_Business.">{"One",#N/A,FALSE,"New Business"}</definedName>
    <definedName name="wrn.PorfolioFinancialSummary.">{#N/A,#N/A,FALSE,"ZellLurieFinSummary";#N/A,#N/A,FALSE,"FirstCapFinSummary";#N/A,#N/A,FALSE,"ZM I-III Consol FinSummary"}</definedName>
    <definedName name="wrn.pp97schedules.">{"plansummary",#N/A,FALSE,"PlanSummary";"sales",#N/A,FALSE,"Sales Rec";"productivity",#N/A,FALSE,"Productivity Rec";"capitalspending",#N/A,FALSE,"Capital Spending"}</definedName>
    <definedName name="wrn.PR_TRIAL_BALANCE.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esentation.">{#N/A,#N/A,FALSE,"Flash 1 before curr";#N/A,#N/A,FALSE,"Bridge";#N/A,#N/A,FALSE,"Volmix";#N/A,#N/A,FALSE,"Sell Price";#N/A,#N/A,FALSE,"ManCost2";#N/A,#N/A,FALSE,"ManPerf";#N/A,#N/A,FALSE,"SGA &amp; E"}</definedName>
    <definedName name="wrn.print._.graphs.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summary._.sheets.">{"summary1",#N/A,TRUE,"Comps";"summary2",#N/A,TRUE,"Comps";"summary3",#N/A,TRUE,"Comps"}</definedName>
    <definedName name="wrn.Product_Assumptions.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totypes.">{"One",#N/A,FALSE,"Prototypes";"Two",#N/A,FALSE,"Prototypes";"Three",#N/A,FALSE,"Prototypes";"Four",#N/A,FALSE,"Prototypes";"Five",#N/A,FALSE,"Prototypes"}</definedName>
    <definedName name="wrn.Pulp.">{"Pulp Production",#N/A,FALSE,"Pulp";"Pulp Earnings",#N/A,FALSE,"Pulp"}</definedName>
    <definedName name="wrn.Pulp.2">{"Pulp Production",#N/A,FALSE,"Pulp";"Pulp Earnings",#N/A,FALSE,"Pulp"}</definedName>
    <definedName name="wrn.Pulp.3">{"Pulp Production",#N/A,FALSE,"Pulp";"Pulp Earnings",#N/A,FALSE,"Pulp"}</definedName>
    <definedName name="wrn.qtrpvs.">{#N/A,#N/A,FALSE,"CurQtr vsPriorQ"}</definedName>
    <definedName name="wrn.qtrpyr.">{"qtrpyr",#N/A,FALSE,"CurQTR vsPriorY"}</definedName>
    <definedName name="wrn.Rapport.">{#N/A,#N/A,FALSE,"SHEET1";#N/A,#N/A,FALSE,"SHEET2";#N/A,#N/A,FALSE,"SHEET3";#N/A,#N/A,FALSE,"SHEET4"}</definedName>
    <definedName name="wrn.reforecast.">{#N/A,#N/A,FALSE,"page3";#N/A,#N/A,FALSE,"page1";#N/A,#N/A,FALSE,"page2";#N/A,#N/A,FALSE,"page4&amp;5";#N/A,#N/A,FALSE,"page6";#N/A,#N/A,FALSE,"page7";#N/A,#N/A,FALSE,"page8";#N/A,#N/A,FALSE,"page9";#N/A,#N/A,FALSE,"page 10"}</definedName>
    <definedName name="wrn.Repayments.">{"One",#N/A,FALSE,"Repayments";"Two",#N/A,FALSE,"Repayments"}</definedName>
    <definedName name="wrn.Report.">{#N/A,#N/A,FALSE,"Loan Summary";#N/A,#N/A,FALSE,"NOI";"RR and Expir",#N/A,FALSE,"Rental";"Sales History",#N/A,FALSE,"Rental";#N/A,#N/A,FALSE,"Reserves"}</definedName>
    <definedName name="wrn.Report._.Detail.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1.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oll.">{"bobsum",#N/A,FALSE,"BobSummary";"Month",#N/A,FALSE,"Mnthly Roll";"fullprior",#N/A,FALSE,"Full Yr v Prior";"FULLPLN",#N/A,FALSE,"Full Yr vs Plan"}</definedName>
    <definedName name="wrn.Roll_Out.">{"One",#N/A,FALSE,"Roll-out";"Two",#N/A,FALSE,"Roll-out";"Three",#N/A,FALSE,"Roll-out";"Four",#N/A,FALSE,"Roll-out";"Five",#N/A,FALSE,"Roll-out"}</definedName>
    <definedName name="wrn.scall.">{"scmonth",#N/A,FALSE,"Super";"scroll",#N/A,FALSE,"Super";"scprof",#N/A,FALSE,"Super"}</definedName>
    <definedName name="wrn.schedules.">{"schedule1",#N/A,FALSE,"Sheet1";"schedule2",#N/A,FALSE,"Sheet1";"schedule3",#N/A,FALSE,"Sheet1";"schedule4",#N/A,FALSE,"Sheet1";"schedule5",#N/A,FALSE,"Sheet1";"schedule6",#N/A,FALSE,"Sheet1"}</definedName>
    <definedName name="wrn.scmonth.">{"scmonth",#N/A,FALSE,"Super"}</definedName>
    <definedName name="wrn.scprof.">{"scprof",#N/A,FALSE,"Super"}</definedName>
    <definedName name="wrn.scrol.">{"scroll",#N/A,FALSE,"Super"}</definedName>
    <definedName name="wrn.Side._.by._.Side.">{"Side 99",#N/A,FALSE,"S&amp;U Side by Side"}</definedName>
    <definedName name="wrn.STAND_ALONE_BOTH.">{"FCB_ALL",#N/A,FALSE,"FCB";"GREY_ALL",#N/A,FALSE,"GREY"}</definedName>
    <definedName name="wrn.Sterling._.House.">{"One",#N/A,FALSE,"SterlingHouse";"Two",#N/A,FALSE,"SterlingHouse";"Three",#N/A,FALSE,"SterlingHouse";"Four",#N/A,FALSE,"SterlingHouse";"Five",#N/A,FALSE,"SterlingHouse"}</definedName>
    <definedName name="wrn.Sterling_House.">{"One",#N/A,FALSE,"SterlingHouse";"Two",#N/A,FALSE,"SterlingHouse";"Three",#N/A,FALSE,"SterlingHouse";"Four",#N/A,FALSE,"SterlingHouse";"Five",#N/A,FALSE,"SterlingHouse"}</definedName>
    <definedName name="wrn.Store._.cash._.flows.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name="wrn.Summary.">{"Office Properties",#N/A,FALSE,"Consolidation";"Residential Summary",#N/A,FALSE,"Consolidation";"Retail Properties",#N/A,FALSE,"Consolidation"}</definedName>
    <definedName name="wrn.TTL._.W_HIST_COMMENTS.">{"TTL W_HIST_COMMENTS",#N/A,FALSE,"DETAIL"}</definedName>
    <definedName name="wrn.Wovenhearts.">{"One",#N/A,FALSE,"Wovenhearts";"Two",#N/A,FALSE,"Wovenhearts";"Three",#N/A,FALSE,"Wovenhearts";"Four",#N/A,FALSE,"Wovenhearts";"Five",#N/A,FALSE,"Wovenhearts"}</definedName>
    <definedName name="wrn.Wynwood.">{"One",#N/A,FALSE,"Wynwood";"Two",#N/A,FALSE,"Wynwood";"Three",#N/A,FALSE,"Wynwood";"Four",#N/A,FALSE,"Wynwood";"Five",#N/A,FALSE,"Wynwood"}</definedName>
    <definedName name="wrn.Yearly.">{"One",#N/A,FALSE,"Yearly"}</definedName>
    <definedName name="wrn.ZML123._.Financial._.Summaries.">{#N/A,#N/A,FALSE,"ZM3 FinSummary";#N/A,#N/A,FALSE,"ZM2 FinSummary";#N/A,#N/A,FALSE,"ZM1 FinSummary"}</definedName>
    <definedName name="wt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dave">#REF!</definedName>
    <definedName name="WTIM">#REF!</definedName>
    <definedName name="WTIQ">#REF!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">#REF!</definedName>
    <definedName name="xlg">{"schedule1",#N/A,FALSE,"Sheet1";"schedule2",#N/A,FALSE,"Sheet1";"schedule3",#N/A,FALSE,"Sheet1";"schedule4",#N/A,FALSE,"Sheet1";"schedule5",#N/A,FALSE,"Sheet1";"schedule6",#N/A,FALSE,"Sheet1"}</definedName>
    <definedName name="xlg1">{"Year 1",#N/A,FALSE,"Budget";"Year 2",#N/A,FALSE,"Budget";"Year 3",#N/A,FALSE,"Budget";"Year 4",#N/A,FALSE,"Budget"}</definedName>
    <definedName name="xxx">#REF!</definedName>
    <definedName name="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_97_98">#REF!</definedName>
    <definedName name="YEAR">#REF!</definedName>
    <definedName name="year.end">#REF!</definedName>
    <definedName name="year_0">#N/A</definedName>
    <definedName name="Year_L">#REF!</definedName>
    <definedName name="year_ll">#REF!</definedName>
    <definedName name="YEAR1">#REF!</definedName>
    <definedName name="YEAR22">#REF!</definedName>
    <definedName name="yes">#REF!</definedName>
    <definedName name="YesNo">#REF!</definedName>
    <definedName name="YGJ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ield">#REF!</definedName>
    <definedName name="yields">#REF!</definedName>
    <definedName name="YTD2001">#REF!</definedName>
    <definedName name="ytgfg65">ytgfg65</definedName>
    <definedName name="z">[0]!z</definedName>
    <definedName name="znddgndg">{4}</definedName>
    <definedName name="_1__FDSAUDITLINK__" localSheetId="0">{"fdsup://IBCentral/FAT Viewer?action=UPDATE&amp;creator=factset&amp;DOC_NAME=fat:reuters_ytd_source_window.fat&amp;display_string=Audit&amp;DYN_ARGS=TRUE&amp;VAR:ID1=26000310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__FDSAUDITLINK__" localSheetId="0">{"fdsup://IBCentral/FAT Viewer?action=UPDATE&amp;creator=factset&amp;DOC_NAME=fat:reuters_qtrly_source_window.fat&amp;display_string=Audit&amp;DYN_ARGS=TRUE&amp;VAR:ID1=38410910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_FDSAUDITLINK__" localSheetId="0">{"fdsup://IBCentral/FAT Viewer?action=UPDATE&amp;creator=factset&amp;DOC_NAME=fat:reuters_semi_source_window.fat&amp;display_string=Audit&amp;DYN_ARGS=TRUE&amp;VAR:ID1=GGG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2__FDSAUDITLINK__" localSheetId="0">{"fdsup://IBCentral/FAT Viewer?action=UPDATE&amp;creator=factset&amp;DOC_NAME=fat:reuters_qtrly_source_window.fat&amp;display_string=Audit&amp;DYN_ARGS=TRUE&amp;VAR:ID1=26000310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_FDSAUDITLINK__" localSheetId="0">{"fdsup://IBCentral/FAT Viewer?action=UPDATE&amp;creator=factset&amp;DOC_NAME=fat:reuters_semi_source_window.fat&amp;display_string=Audit&amp;DYN_ARGS=TRUE&amp;VAR:ID1=DOV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4__FDSAUDITLINK__" localSheetId="0">{"fdsup://IBCentral/FAT Viewer?action=UPDATE&amp;creator=factset&amp;DOC_NAME=fat:reuters_qtrly_shs_src_window.fat&amp;display_string=Audit&amp;DYN_ARGS=TRUE&amp;VAR:ID1=77669610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__FDSAUDITLINK__" localSheetId="0">{"fdsup://IBCentral/FAT Viewer?action=UPDATE&amp;creator=factset&amp;DOC_NAME=fat:reuters_ytd_source_window.fat&amp;display_string=Audit&amp;DYN_ARGS=TRUE&amp;VAR:ID1=45167R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__FDSAUDITLINK__" localSheetId="0">{"fdsup://IBCentral/FAT Viewer?action=UPDATE&amp;creator=factset&amp;DOC_NAME=fat:reuters_ytd_source_window.fat&amp;display_string=Audit&amp;DYN_ARGS=TRUE&amp;VAR:ID1=46625H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__FDSAUDITLINK__" localSheetId="0">{"fdsup://IBCentral/FAT Viewer?action=UPDATE&amp;creator=factset&amp;DOC_NAME=fat:reuters_ytd_source_window.fat&amp;display_string=Audit&amp;DYN_ARGS=TRUE&amp;VAR:ID1=46625H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__FDSAUDITLINK__" localSheetId="0">{"fdsup://IBCentral/FAT Viewer?action=UPDATE&amp;creator=factset&amp;DOC_NAME=fat:reuters_ytd_source_window.fat&amp;display_string=Audit&amp;DYN_ARGS=TRUE&amp;VAR:ID1=45167R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__FDSAUDITLINK__" localSheetId="0">{"fdsup://IBCentral/FAT Viewer?action=UPDATE&amp;creator=factset&amp;DOC_NAME=fat:reuters_ytd_source_window.fat&amp;display_string=Audit&amp;DYN_ARGS=TRUE&amp;VAR:ID1=77669610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__FDSAUDITLINK__" localSheetId="0">{"fdsup://IBCentral/FAT Viewer?action=UPDATE&amp;creator=factset&amp;DOC_NAME=fat:reuters_ytd_source_window.fat&amp;display_string=Audit&amp;DYN_ARGS=TRUE&amp;VAR:ID1=65566310&amp;VAR:RCODE=VRXP&amp;VAR:SDATE=20081099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__FDSAUDITLINK__" localSheetId="0">{"fdsup://IBCentral/FAT Viewer?action=UPDATE&amp;creator=factset&amp;DOC_NAME=fat:reuters_ytd_source_window.fat&amp;display_string=Audit&amp;DYN_ARGS=TRUE&amp;VAR:ID1=77669610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2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4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5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6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8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9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__FDSAUDITLINK__" localSheetId="0">{"fdsup://IBCentral/FAT Viewer?action=UPDATE&amp;creator=factset&amp;DOC_NAME=fat:reuters_ytd_source_window.fat&amp;display_string=Audit&amp;DYN_ARGS=TRUE&amp;VAR:ID1=38410910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30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2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4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6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7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8__FDSAUDITLINK__" localSheetId="0">{"fdsup://IBCentral/FAT Viewer?action=UPDATE&amp;creator=factset&amp;DOC_NAME=fat:reuters_semi_source_window.fat&amp;display_string=Audit&amp;DYN_ARGS=TRUE&amp;VAR:ID1=NUE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39__FDSAUDITLINK__" localSheetId="0">{"fdsup://IBCentral/FAT Viewer?action=UPDATE&amp;creator=factset&amp;DOC_NAME=fat:reuters_qtrly_source_window.fat&amp;display_string=Audit&amp;DYN_ARGS=TRUE&amp;VAR:ID1=67034610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" localSheetId="0">{"fdsup://IBCentral/FAT Viewer?action=UPDATE&amp;creator=factset&amp;DOC_NAME=fat:reuters_ytd_source_window.fat&amp;display_string=Audit&amp;DYN_ARGS=TRUE&amp;VAR:ID1=38410910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0__FDSAUDITLINK__" localSheetId="0">{"fdsup://IBCentral/FAT Viewer?action=UPDATE&amp;creator=factset&amp;DOC_NAME=fat:reuters_qtrly_source_window.fat&amp;display_string=Audit&amp;DYN_ARGS=TRUE&amp;VAR:ID1=00154710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1__FDSAUDITLINK__" localSheetId="0">{"fdsup://IBCentral/FAT Viewer?action=UPDATE&amp;creator=factset&amp;DOC_NAME=fat:reuters_semi_source_window.fat&amp;display_string=Audit&amp;DYN_ARGS=TRUE&amp;VAR:ID1=TK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43__FDSAUDITLINK__" localSheetId="0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__FDSAUDITLINK__" localSheetId="0">{"fdsup://IBCentral/FAT Viewer?action=UPDATE&amp;creator=factset&amp;DOC_NAME=fat:reuters_qtrly_shs_src_window.fat&amp;display_string=Audit&amp;DYN_ARGS=TRUE&amp;VAR:ID1=67034610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5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6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7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8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9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__FDSAUDITLINK__" localSheetId="0">{"fdsup://IBCentral/FAT Viewer?action=UPDATE&amp;creator=factset&amp;DOC_NAME=fat:reuters_ytd_source_window.fat&amp;display_string=Audit&amp;DYN_ARGS=TRUE&amp;VAR:ID1=26000310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0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1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2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3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4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5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6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7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8__FDSAUDITLINK__" localSheetId="0">{"fdsup://IBCentral/FAT Viewer?action=UPDATE&amp;creator=factset&amp;DOC_NAME=fat:reuters_semi_shs_src_window.fat&amp;display_string=Audit&amp;DYN_ARGS=TRUE&amp;VAR:ID1=B1RZDL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__FDSAUDITLINK__" localSheetId="0">{"fdsup://IBCentral/FAT Viewer?action=UPDATE&amp;creator=factset&amp;DOC_NAME=fat:reuters_qtrly_source_window.fat&amp;display_string=Audit&amp;DYN_ARGS=TRUE&amp;VAR:ID1=91290910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" localSheetId="0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1__FDSAUDITLINK__" localSheetId="0">{"fdsup://IBCentral/FAT Viewer?action=UPDATE&amp;creator=factset&amp;DOC_NAME=fat:reuters_semi_source_window.fat&amp;display_string=Audit&amp;DYN_ARGS=TRUE&amp;VAR:ID1=AK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62__FDSAUDITLINK__" localSheetId="0">{"fdsup://IBCentral/FAT Viewer?action=UPDATE&amp;creator=factset&amp;DOC_NAME=fat:reuters_qtrly_source_window.fat&amp;display_string=Audit&amp;DYN_ARGS=TRUE&amp;VAR:ID1=Y8564W10&amp;VAR:RCODE=STLD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4__FDSAUDITLINK__" localSheetId="0">{"fdsup://IBCentral/FAT Viewer?action=UPDATE&amp;creator=factset&amp;DOC_NAME=fat:reuters_qtrly_source_window.fat&amp;display_string=Audit&amp;DYN_ARGS=TRUE&amp;VAR:ID1=85206110&amp;VAR:RCODE=STLD&amp;VAR:SDATE=20090399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5__FDSAUDITLINK__" localSheetId="0">{"fdsup://IBCentral/FAT Viewer?action=UPDATE&amp;creator=factset&amp;DOC_NAME=fat:reuters_semi_source_window.fat&amp;display_string=Audit&amp;DYN_ARGS=TRUE&amp;VAR:ID1=S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66__FDSAUDITLINK__" localSheetId="0">{"fdsup://IBCentral/FAT Viewer?action=UPDATE&amp;creator=factset&amp;DOC_NAME=fat:reuters_semi_source_window.fat&amp;display_string=Audit&amp;DYN_ARGS=TRUE&amp;VAR:ID1=B1RZDL&amp;VAR:RCODE=STLD&amp;VAR:SDATE=20081299&amp;VAR:FREQ=FSA&amp;VAR:RELITEM=RP&amp;VAR:CURRENCY=&amp;VAR:CURRSOURCE=EXSHARE&amp;VAR",":NATFREQ=FSA&amp;VAR:RFIELD=FINALIZED&amp;VAR:DB_TYPE=&amp;VAR:UNITS=M&amp;window=popup&amp;width=450&amp;height=300&amp;START_MAXIMIZED=FALSE"}</definedName>
    <definedName name="_67__FDSAUDITLINK__" localSheetId="0">{"fdsup://IBCentral/FAT Viewer?action=UPDATE&amp;creator=factset&amp;DOC_NAME=fat:reuters_semi_source_window.fat&amp;display_string=Audit&amp;DYN_ARGS=TRUE&amp;VAR:ID1=B1RZDL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8__FDSAUDITLINK__" localSheetId="0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9__FDSAUDITLINK__" localSheetId="0">{"fdsup://IBCentral/FAT Viewer?action=UPDATE&amp;creator=factset&amp;DOC_NAME=fat:reuters_semi_source_window.fat&amp;display_string=Audit&amp;DYN_ARGS=TRUE&amp;VAR:ID1=B1RZDL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70__FDSAUDITLINK__" localSheetId="0">{"fdsup://IBCentral/FAT Viewer?action=UPDATE&amp;creator=factset&amp;DOC_NAME=fat:reuters_semi_shs_src_window.fat&amp;display_string=Audit&amp;DYN_ARGS=TRUE&amp;VAR:ID1=332520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4__FDSAUDITLINK__" localSheetId="0">{"fdsup://IBCentral/FAT Viewer?action=UPDATE&amp;creator=factset&amp;DOC_NAME=fat:reuters_semi_source_window.fat&amp;display_string=Audit&amp;DYN_ARGS=TRUE&amp;VAR:ID1=B1RZDL&amp;VAR:RCODE=STLD&amp;VAR:SDATE=20081299&amp;VAR:FREQ=FSA&amp;VAR:RELITEM=RP&amp;VAR:CURRENCY=&amp;VAR:CURRSOURCE=EXSHARE&amp;VAR",":NATFREQ=FSA&amp;VAR:RFIELD=FINALIZED&amp;VAR:DB_TYPE=&amp;VAR:UNITS=M&amp;window=popup&amp;width=450&amp;height=300&amp;START_MAXIMIZED=FALSE"}</definedName>
    <definedName name="_76__FDSAUDITLINK__" localSheetId="0">{"fdsup://IBCentral/FAT Viewer?action=UPDATE&amp;creator=factset&amp;DOC_NAME=fat:reuters_semi_shs_src_window.fat&amp;display_string=Audit&amp;DYN_ARGS=TRUE&amp;VAR:ID1=B1RZDL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8__FDSAUDITLINK__" localSheetId="0">{"fdsup://IBCentral/FAT Viewer?action=UPDATE&amp;creator=factset&amp;DOC_NAME=fat:reuters_qtrly_source_window.fat&amp;display_string=Audit&amp;DYN_ARGS=TRUE&amp;VAR:ID1=45167R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_FDSAUDITLINK__" localSheetId="0">{"fdsup://IBCentral/FAT Viewer?action=UPDATE&amp;creator=factset&amp;DOC_NAME=fat:reuters_semi_source_window.fat&amp;display_string=Audit&amp;DYN_ARGS=TRUE&amp;VAR:ID1=IEX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93__FDSAUDITLINK__" localSheetId="0">{"fdsup://IBCentral/FAT Viewer?action=UPDATE&amp;creator=factset&amp;DOC_NAME=fat:reuters_qtrly_shs_src_window.fat&amp;display_string=Audit&amp;DYN_ARGS=TRUE&amp;VAR:ID1=91290910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4__FDSAUDITLINK__" localSheetId="0">{"fdsup://IBCentral/FAT Viewer?action=UPDATE&amp;creator=factset&amp;DOC_NAME=fat:reuters_qtrly_source_window.fat&amp;display_string=Audit&amp;DYN_ARGS=TRUE&amp;VAR:ID1=91290910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5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FG1" localSheetId="0">{"schedule1",#N/A,FALSE,"Sheet1";"schedule2",#N/A,FALSE,"Sheet1";"schedule3",#N/A,FALSE,"Sheet1";"schedule4",#N/A,FALSE,"Sheet1";"schedule5",#N/A,FALSE,"Sheet1";"schedule6",#N/A,FALSE,"Sheet1"}</definedName>
    <definedName name="_xlnm._FilterDatabase" localSheetId="0">Cover!$F$55:$F$57</definedName>
    <definedName name="_gas2" localSheetId="0">{#N/A,#N/A,FALSE,"Aging Summary";#N/A,#N/A,FALSE,"Ratio Analysis";#N/A,#N/A,FALSE,"Test 120 Day Accts";#N/A,#N/A,FALSE,"Tickmarks"}</definedName>
    <definedName name="_gas3" localSheetId="0">{#N/A,#N/A,FALSE,"Aging Summary";#N/A,#N/A,FALSE,"Ratio Analysis";#N/A,#N/A,FALSE,"Test 120 Day Accts";#N/A,#N/A,FALSE,"Tickmarks"}</definedName>
    <definedName name="_s2" localSheetId="0">{"'Expirations'!$A$1:$L$65"}</definedName>
    <definedName name="_wrn1" localSheetId="0">{"schedule1",#N/A,FALSE,"Sheet1";"schedule2",#N/A,FALSE,"Sheet1";"schedule3",#N/A,FALSE,"Sheet1";"schedule4",#N/A,FALSE,"Sheet1";"schedule5",#N/A,FALSE,"Sheet1";"schedule6",#N/A,FALSE,"Sheet1"}</definedName>
    <definedName name="A" localSheetId="0">{"FOschedule1",#N/A,FALSE,"Sheet1";"FOschedule2",#N/A,FALSE,"Sheet1";"FOschedule3",#N/A,FALSE,"Sheet1"}</definedName>
    <definedName name="accdil2" localSheetId="0">Cover!accdil2</definedName>
    <definedName name="acdil2" localSheetId="0">Cover!acdil2</definedName>
    <definedName name="acdil3" localSheetId="0">Cover!acdil3</definedName>
    <definedName name="acdil4" localSheetId="0">Cover!acdil4</definedName>
    <definedName name="acdl" localSheetId="0">Cover!acdl</definedName>
    <definedName name="acdl5" localSheetId="0">Cover!acdl5</definedName>
    <definedName name="ad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fa" localSheetId="0">{"cap_structure",#N/A,FALSE,"Graph-Mkt Cap";"price",#N/A,FALSE,"Graph-Price";"ebit",#N/A,FALSE,"Graph-EBITDA";"ebitda",#N/A,FALSE,"Graph-EBITDA"}</definedName>
    <definedName name="ADFWAE" localSheetId="0">{"summary1",#N/A,TRUE,"Comps";"summary2",#N/A,TRUE,"Comps";"summary3",#N/A,TRUE,"Comps"}</definedName>
    <definedName name="adgad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localSheetId="0">{"inputs raw data",#N/A,TRUE,"INPUT"}</definedName>
    <definedName name="ADSFA" localSheetId="0">{"inputs raw data",#N/A,TRUE,"INPUT"}</definedName>
    <definedName name="AEWEW" localSheetId="0">{"inputs raw data",#N/A,TRUE,"INPUT"}</definedName>
    <definedName name="agin" localSheetId="0">{#N/A,#N/A,FALSE,"Aging Summary";#N/A,#N/A,FALSE,"Ratio Analysis";#N/A,#N/A,FALSE,"Test 120 Day Accts";#N/A,#N/A,FALSE,"Tickmarks"}</definedName>
    <definedName name="All_tables" localSheetId="0">{4}</definedName>
    <definedName name="AllTables" localSheetId="0">{4}</definedName>
    <definedName name="Alltabless" localSheetId="0">{4}</definedName>
    <definedName name="arew" localSheetId="0">{"cap_structure",#N/A,FALSE,"Graph-Mkt Cap";"price",#N/A,FALSE,"Graph-Price";"ebit",#N/A,FALSE,"Graph-EBITDA";"ebitda",#N/A,FALSE,"Graph-EBITDA"}</definedName>
    <definedName name="arg" localSheetId="0">{"inputs raw data",#N/A,TRUE,"INPUT"}</definedName>
    <definedName name="as" localSheetId="0">{"FCB_ALL",#N/A,FALSE,"FCB"}</definedName>
    <definedName name="asdf" localSheetId="0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asdfwqscv" localSheetId="0">Cover!asdfwqscv</definedName>
    <definedName name="AxesFormat" localSheetId="0">Cover!AxesFormat</definedName>
    <definedName name="b" localSheetId="0">Cover!b</definedName>
    <definedName name="blah" localSheetId="0">{#N/A,#N/A,TRUE,"10 Yr Hold";#N/A,#N/A,TRUE,"7 Yr Hold";#N/A,#N/A,TRUE,"5 Yr Hold";#N/A,#N/A,TRUE,"3 Yr Hold"}</definedName>
    <definedName name="blah1" localSheetId="0">{"schedule1",#N/A,FALSE,"Sheet1";"schedule2",#N/A,FALSE,"Sheet1";"schedule3",#N/A,FALSE,"Sheet1";"schedule4",#N/A,FALSE,"Sheet1";"schedule5",#N/A,FALSE,"Sheet1";"schedule6",#N/A,FALSE,"Sheet1"}</definedName>
    <definedName name="blnHideRow" localSheetId="0">IF(SUM(ABS(IF(ISERROR(HistForc),0,IF(ISTEXT(HistForc),0,HistForc))))&gt;0.00001,1,TRUE)</definedName>
    <definedName name="CCIF" localSheetId="0">{#N/A,#N/A,FALSE,"Aging Summary";#N/A,#N/A,FALSE,"Ratio Analysis";#N/A,#N/A,FALSE,"Test 120 Day Accts";#N/A,#N/A,FALSE,"Tickmarks"}</definedName>
    <definedName name="cir" localSheetId="0">Cover!cir</definedName>
    <definedName name="ClosePrint" localSheetId="0">Cover!ClosePrint</definedName>
    <definedName name="ColDiff" localSheetId="0">COLUMN()-COL1STYR</definedName>
    <definedName name="Copy_Data" localSheetId="0">Cover!Copy_Data</definedName>
    <definedName name="corp" localSheetId="0">{#N/A,#N/A,FALSE,"ZellLurieFinSummary";#N/A,#N/A,FALSE,"FirstCapFinSummary";#N/A,#N/A,FALSE,"ZM I-III Consol FinSummary"}</definedName>
    <definedName name="cp" localSheetId="0">Cover!cp</definedName>
    <definedName name="create_pay" localSheetId="0">Cover!create_pay</definedName>
    <definedName name="Create_Pays" localSheetId="0">Cover!Create_Pays</definedName>
    <definedName name="d" localSheetId="0">{"summary1",#N/A,TRUE,"Comps";"summary2",#N/A,TRUE,"Comps";"summary3",#N/A,TRUE,"Comps"}</definedName>
    <definedName name="DAFAD" localSheetId="0">{"cap_structure",#N/A,FALSE,"Graph-Mkt Cap";"price",#N/A,FALSE,"Graph-Price";"ebit",#N/A,FALSE,"Graph-EBITDA";"ebitda",#N/A,FALSE,"Graph-EBITDA"}</definedName>
    <definedName name="Date" localSheetId="0">#N/A</definedName>
    <definedName name="ddsd" localSheetId="0">{#N/A,#N/A,FALSE,"Aging Summary";#N/A,#N/A,FALSE,"Ratio Analysis";#N/A,#N/A,FALSE,"Test 120 Day Accts";#N/A,#N/A,FALSE,"Tickmarks"}</definedName>
    <definedName name="deal" localSheetId="0">Cover!deal</definedName>
    <definedName name="Debt2" localSheetId="0">{"'Expirations'!$A$1:$L$65"}</definedName>
    <definedName name="dfd" localSheetId="0">{"FCB_ALL",#N/A,FALSE,"FCB";"GREY_ALL",#N/A,FALSE,"GREY"}</definedName>
    <definedName name="dfdas" localSheetId="0">{"FCB_ALL",#N/A,FALSE,"FCB";"GREY_ALL",#N/A,FALSE,"GREY"}</definedName>
    <definedName name="dfdfd" localSheetId="0">{"FCB_ALL",#N/A,FALSE,"FCB";"GREY_ALL",#N/A,FALSE,"GREY"}</definedName>
    <definedName name="dfdfdfd" localSheetId="0">{"FCB_ALL",#N/A,FALSE,"FCB"}</definedName>
    <definedName name="dfgh4tt" localSheetId="0">Cover!dfgh4tt</definedName>
    <definedName name="DHG" localSheetId="0">{"cap_structure",#N/A,FALSE,"Graph-Mkt Cap";"price",#N/A,FALSE,"Graph-Price";"ebit",#N/A,FALSE,"Graph-EBITDA";"ebitda",#N/A,FALSE,"Graph-EBITDA"}</definedName>
    <definedName name="dics" localSheetId="0">{#N/A,#N/A,FALSE,"Aging Summary";#N/A,#N/A,FALSE,"Ratio Analysis";#N/A,#N/A,FALSE,"Test 120 Day Accts";#N/A,#N/A,FALSE,"Tickmarks"}</definedName>
    <definedName name="DocType" localSheetId="0">Word</definedName>
    <definedName name="E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xpandOutputs" localSheetId="0">Cover!ExpandOutputs</definedName>
    <definedName name="ExpandVPeriods" localSheetId="0">Cover!ExpandVPeriods</definedName>
    <definedName name="ExportFile" localSheetId="0">Cover!ExportFile</definedName>
    <definedName name="ExportFile2" localSheetId="0">Cover!ExportFile2</definedName>
    <definedName name="f" localSheetId="0">{"inputs raw data",#N/A,TRUE,"INPUT"}</definedName>
    <definedName name="fadsf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gad" localSheetId="0">{"inputs raw data",#N/A,TRUE,"INPUT"}</definedName>
    <definedName name="feb" localSheetId="0">{#N/A,#N/A,FALSE,"Aging Summary";#N/A,#N/A,FALSE,"Ratio Analysis";#N/A,#N/A,FALSE,"Test 120 Day Accts";#N/A,#N/A,FALSE,"Tickmarks"}</definedName>
    <definedName name="ffffffffff" localSheetId="0">Cover!ffffffffff</definedName>
    <definedName name="fg" localSheetId="0">{"schedule1",#N/A,FALSE,"Sheet1";"schedule2",#N/A,FALSE,"Sheet1";"schedule3",#N/A,FALSE,"Sheet1";"schedule4",#N/A,FALSE,"Sheet1";"schedule5",#N/A,FALSE,"Sheet1";"schedule6",#N/A,FALSE,"Sheet1"}</definedName>
    <definedName name="fgh34tgdfgbsdrfg" localSheetId="0">Cover!fgh34tgdfgbsdrfg</definedName>
    <definedName name="fhg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m" localSheetId="0">{"summary1",#N/A,TRUE,"Comps";"summary2",#N/A,TRUE,"Comps";"summary3",#N/A,TRUE,"Comps"}</definedName>
    <definedName name="gfhs" localSheetId="0">{"summary1",#N/A,TRUE,"Comps";"summary2",#N/A,TRUE,"Comps";"summary3",#N/A,TRUE,"Comps"}</definedName>
    <definedName name="gggggggggggggg" localSheetId="0">Cover!gggggggggggggg</definedName>
    <definedName name="GKUY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old_print" localSheetId="0">operating,multiples,elvis,graceland,balance,pro_income,dcf_comb,valuation</definedName>
    <definedName name="gold_print2" localSheetId="0">operating,multiples,elvis,graceland,balance,pro_income,dcf_comb,valuation</definedName>
    <definedName name="HD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lp" localSheetId="0">{#N/A,#N/A,FALSE,"ZLDebtMaturity";#N/A,#N/A,FALSE,"FCDebtMaturity";#N/A,#N/A,FALSE,"ZM3DebtMaturity";#N/A,#N/A,FALSE,"ZM2DebtMaturity";#N/A,#N/A,FALSE,"zm1DebtMaturity";#N/A,#N/A,FALSE,"ConsZM123DebtMaturity"}</definedName>
    <definedName name="help1" localSheetId="0">{#N/A,#N/A,FALSE,"ZLDebtMaturity";#N/A,#N/A,FALSE,"FCDebtMaturity";#N/A,#N/A,FALSE,"ZM3DebtMaturity";#N/A,#N/A,FALSE,"ZM2DebtMaturity";#N/A,#N/A,FALSE,"zm1DebtMaturity";#N/A,#N/A,FALSE,"ConsZM123DebtMaturity"}</definedName>
    <definedName name="hjf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TML_Control" localSheetId="0">{"'Expirations'!$A$1:$L$65"}</definedName>
    <definedName name="HTML_Control2" localSheetId="0">{"'Expirations'!$A$1:$L$65"}</definedName>
    <definedName name="i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III" localSheetId="0">{#N/A,#N/A,FALSE,"Sheet1"}</definedName>
    <definedName name="ImportFile" localSheetId="0">Cover!ImportFile</definedName>
    <definedName name="ImportFile2" localSheetId="0">Cover!ImportFile2</definedName>
    <definedName name="Interest" localSheetId="0">IF(#REF!&lt;&gt;"",#REF!*Cover!Periodic_rate,"")</definedName>
    <definedName name="itservDic2004" localSheetId="0">{#N/A,#N/A,FALSE,"Aging Summary";#N/A,#N/A,FALSE,"Ratio Analysis";#N/A,#N/A,FALSE,"Test 120 Day Accts";#N/A,#N/A,FALSE,"Tickmarks"}</definedName>
    <definedName name="jb" localSheetId="0">{"summary1",#N/A,TRUE,"Comps";"summary2",#N/A,TRUE,"Comps";"summary3",#N/A,TRUE,"Comps"}</definedName>
    <definedName name="jk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hgfd6ytre" localSheetId="0">Cover!kjhgfd6ytre</definedName>
    <definedName name="ll" localSheetId="0">{#N/A,#N/A,FALSE,"Sheet1"}</definedName>
    <definedName name="Macro3" localSheetId="0">Cover!Macro3</definedName>
    <definedName name="Macro5" localSheetId="0">Cover!Macro5</definedName>
    <definedName name="mcs03g.ReqArray" localSheetId="0">{"Price","PAYX","LC120","N","0","0","H"}</definedName>
    <definedName name="MGHM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onthNames" localSheetId="0">{"Jan","Feb","Mar","Apr","May","Jun","Jul","Aug","Sep","Oct","Nov","Dec";"January","February","March","April","May","June","July","August","September","October","November","December"}</definedName>
    <definedName name="NAllTables" localSheetId="0">{4}</definedName>
    <definedName name="NDSN" localSheetId="0">Cover!NDSN</definedName>
    <definedName name="Next" localSheetId="0">operating,multiples,elvis,graceland,balance,pro_income,dcf_comb,valuation</definedName>
    <definedName name="O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oct" localSheetId="0">{#N/A,#N/A,FALSE,"Aging Summary";#N/A,#N/A,FALSE,"Ratio Analysis";#N/A,#N/A,FALSE,"Test 120 Day Accts";#N/A,#N/A,FALSE,"Tickmarks"}</definedName>
    <definedName name="p" localSheetId="0">print_consol</definedName>
    <definedName name="papi" localSheetId="0">{#N/A,#N/A,FALSE,"Aging Summary";#N/A,#N/A,FALSE,"Ratio Analysis";#N/A,#N/A,FALSE,"Test 120 Day Accts";#N/A,#N/A,FALSE,"Tickmarks"}</definedName>
    <definedName name="PAPY" localSheetId="0">{#N/A,#N/A,FALSE,"Aging Summary";#N/A,#N/A,FALSE,"Ratio Analysis";#N/A,#N/A,FALSE,"Test 120 Day Accts";#N/A,#N/A,FALSE,"Tickmarks"}</definedName>
    <definedName name="payment.Num" localSheetId="0">IF(OR(#REF!="",#REF!=Cover!Total_payments),"",#REF!+1)</definedName>
    <definedName name="Periodic_rate" localSheetId="0">Annual_interest_rate/Payments_per_year</definedName>
    <definedName name="plre" localSheetId="0">Cover!plre</definedName>
    <definedName name="Principal" localSheetId="0">IF(#REF!&lt;&gt;"",MIN(#REF!,Pmt_to_use-#REF!),"")</definedName>
    <definedName name="Print__q" localSheetId="0">print_consol</definedName>
    <definedName name="PrintPreview" localSheetId="0">Cover!PrintPreview</definedName>
    <definedName name="ProImportExport.ImportFile" localSheetId="0">Cover!ProImportExport.ImportFile</definedName>
    <definedName name="ProImportExport.SaveNewFile" localSheetId="0">Cover!ProImportExport.SaveNewFile</definedName>
    <definedName name="ProjectName2" localSheetId="0">{"Client Name or Project Name"}</definedName>
    <definedName name="qre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w" localSheetId="0">{"FCB_ALL",#N/A,FALSE,"FCB";"GREY_ALL",#N/A,FALSE,"GREY"}</definedName>
    <definedName name="qwert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esetItemView" localSheetId="0">Cover!ResetItemView</definedName>
    <definedName name="ROP" localSheetId="0">Cover!ROP</definedName>
    <definedName name="rt" localSheetId="0">{"inputs raw data",#N/A,TRUE,"INPUT"}</definedName>
    <definedName name="rtg45t" localSheetId="0">Cover!rtg45t</definedName>
    <definedName name="s" localSheetId="0">{"cap_structure",#N/A,FALSE,"Graph-Mkt Cap";"price",#N/A,FALSE,"Graph-Price";"ebit",#N/A,FALSE,"Graph-EBITDA";"ebitda",#N/A,FALSE,"Graph-EBITDA"}</definedName>
    <definedName name="sa" localSheetId="0">{"cap_structure",#N/A,FALSE,"Graph-Mkt Cap";"price",#N/A,FALSE,"Graph-Price";"ebit",#N/A,FALSE,"Graph-EBITDA";"ebitda",#N/A,FALSE,"Graph-EBITDA"}</definedName>
    <definedName name="sagf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veNewFile" localSheetId="0">Cover!SaveNewFile</definedName>
    <definedName name="savenewfile2" localSheetId="0">Cover!savenewfile2</definedName>
    <definedName name="sd" localSheetId="0">{"summary1",#N/A,TRUE,"Comps";"summary2",#N/A,TRUE,"Comps";"summary3",#N/A,TRUE,"Comps"}</definedName>
    <definedName name="sdf" localSheetId="0">Cover!sdf</definedName>
    <definedName name="sdfga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ed" localSheetId="0">{#N/A,#N/A,FALSE,"Aging Summary";#N/A,#N/A,FALSE,"Ratio Analysis";#N/A,#N/A,FALSE,"Test 120 Day Accts";#N/A,#N/A,FALSE,"Tickmarks"}</definedName>
    <definedName name="SeriesFormat" localSheetId="0">Cover!SeriesFormat</definedName>
    <definedName name="Show.Date" localSheetId="0">IF(#REF!&lt;&gt;"",DATE(YEAR(First_payment_due),MONTH(First_payment_due)+(#REF!-1)*12/Payments_per_year,DAY(First_payment_due)),"")</definedName>
    <definedName name="ShowData" localSheetId="0">Cover!ShowData</definedName>
    <definedName name="ShowGraph" localSheetId="0">Cover!ShowGraph</definedName>
    <definedName name="silver_print" localSheetId="0">operating,multiples,elvis,graceland,balance,pro_income,dcf_comb,valuation</definedName>
    <definedName name="silver_print2" localSheetId="0">operating,multiples,elvis,graceland,balance,pro_income,dcf_comb,valuation</definedName>
    <definedName name="sss" localSheetId="0">Cover!sss</definedName>
    <definedName name="ssw" localSheetId="0">{#N/A,#N/A,FALSE,"Aging Summary";#N/A,#N/A,FALSE,"Ratio Analysis";#N/A,#N/A,FALSE,"Test 120 Day Accts";#N/A,#N/A,FALSE,"Tickmarks"}</definedName>
    <definedName name="st" localSheetId="0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b_Ancil_Inc" localSheetId="0">EGI-NRI</definedName>
    <definedName name="summary" localSheetId="0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TextFormat" localSheetId="0">Cover!TextFormat</definedName>
    <definedName name="TickerToNameOnEnter" localSheetId="0">Cover!TickerToNameOnEnter</definedName>
    <definedName name="Total_payments" localSheetId="0">Payments_per_year*Term_in_years</definedName>
    <definedName name="uhygf" localSheetId="0">Cover!uhygf</definedName>
    <definedName name="uyfkf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" localSheetId="0">{"'Expirations'!$A$1:$L$65"}</definedName>
    <definedName name="wafe" localSheetId="0">{"summary1",#N/A,TRUE,"Comps";"summary2",#N/A,TRUE,"Comps";"summary3",#N/A,TRUE,"Comps"}</definedName>
    <definedName name="WEA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dse" localSheetId="0">Cover!wedse</definedName>
    <definedName name="wef13rgfdh" localSheetId="0">Cover!wef13rgfdh</definedName>
    <definedName name="wefaf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QQE" localSheetId="0">{"summary1",#N/A,TRUE,"Comps";"summary2",#N/A,TRUE,"Comps";"summary3",#N/A,TRUE,"Comps"}</definedName>
    <definedName name="WQ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d.2._.pagers.3" localSheetId="0">{"Cover",#N/A,FALSE,"Cover";"Summary",#N/A,FALSE,"Summarpage"}</definedName>
    <definedName name="wrn" localSheetId="0">{#N/A,#N/A,FALSE,"ZellLurieFinSummary";#N/A,#N/A,FALSE,"FirstCapFinSummary";#N/A,#N/A,FALSE,"ZM I-III Consol FinSummary"}</definedName>
    <definedName name="wrn.2._.pagers." localSheetId="0">{"Cover",#N/A,FALSE,"Cover";"Summary",#N/A,FALSE,"Summarpage"}</definedName>
    <definedName name="wrn.2._.pagers.2" localSheetId="0">{"Cover",#N/A,FALSE,"Cover";"Summary",#N/A,FALSE,"Summarpage"}</definedName>
    <definedName name="wrn.3yr.CF." localSheetId="0">{"assume",#N/A,FALSE,"K&amp;20th Month CF";"MoCF",#N/A,FALSE,"K&amp;20th Month CF";"AnCF",#N/A,FALSE,"K&amp;20th Month CF"}</definedName>
    <definedName name="wrn.Accretion." localSheetId="0">{"Accretion",#N/A,FALSE,"Assum"}</definedName>
    <definedName name="wrn.Acquistion._.Status." localSheetId="0">{#N/A,#N/A,FALSE,"zm III";#N/A,#N/A,FALSE,"deal flow";#N/A,#N/A,FALSE,"Pending deals"}</definedName>
    <definedName name="wrn.Aging._.and._.Trend._.Analysis." localSheetId="0">{#N/A,#N/A,FALSE,"Aging Summary";#N/A,#N/A,FALSE,"Ratio Analysis";#N/A,#N/A,FALSE,"Test 120 Day Accts";#N/A,#N/A,FALSE,"Tickmarks"}</definedName>
    <definedName name="wrn.ALL." localSheetId="0">{#N/A,#N/A,FALSE,"MONTH";#N/A,#N/A,FALSE,"QTD";#N/A,#N/A,FALSE,"YTD"}</definedName>
    <definedName name="wrn.All._.Schedules." localSheetId="0">{#N/A,#N/A,FALSE,"Static Proforma";#N/A,#N/A,FALSE,"Bldg Dev DCF";#N/A,#N/A,FALSE,"Land Sales DCF"}</definedName>
    <definedName name="wrn.All._.Stock_10_12_14." localSheetId="0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ssumptions." localSheetId="0">{"Assumptions",#N/A,FALSE,"Assum"}</definedName>
    <definedName name="wrn.Auto._.Comp." localSheetId="0">{#N/A,#N/A,FALSE,"Sheet1"}</definedName>
    <definedName name="wrn.Basic." localSheetId="0">{#N/A,#N/A,FALSE,"Cover";#N/A,#N/A,FALSE,"Assumptions";#N/A,#N/A,FALSE,"Acquirer";#N/A,#N/A,FALSE,"Target";#N/A,#N/A,FALSE,"Income Statement";#N/A,#N/A,FALSE,"Summary Tables"}</definedName>
    <definedName name="wrn.boardPackage." localSheetId="0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name="wrn.BY._.MTH._.W_1._.YR._.HIST." localSheetId="0">{"BY MTH W_1 YR HIST",#N/A,FALSE,"DETAIL"}</definedName>
    <definedName name="wrn.CF._.Print." localSheetId="0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larie_Bridge." localSheetId="0">{"One",#N/A,FALSE,"Claire Bridge";"Two",#N/A,FALSE,"Claire Bridge";"Three",#N/A,FALSE,"Claire Bridge";"Four",#N/A,FALSE,"Claire Bridge";"Five",#N/A,FALSE,"Claire Bridge"}</definedName>
    <definedName name="wrn.Complete." localSheetId="0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0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0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re._.Reports._.1." localSheetId="0">{#N/A,#N/A,FALSE,"ORIGINAL PROP QTD";#N/A,#N/A,FALSE,"93 ACQ QTR";#N/A,#N/A,FALSE,"94 ACQ QTD";#N/A,#N/A,FALSE,"96 &amp; 97 ACQ QTR";#N/A,#N/A,FALSE,"CORE 97 QTR"}</definedName>
    <definedName name="wrn.CORPORATE." localSheetId="0">{"CORPORATE",#N/A,FALSE,"DETAIL"}</definedName>
    <definedName name="wrn.Country._.consolidation." localSheetId="0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Crossings." localSheetId="0">{"One",#N/A,FALSE,"Crossings";"Two",#N/A,FALSE,"Crossings";"Three",#N/A,FALSE,"Crossings";"Fous",#N/A,FALSE,"Crossings";"Five",#N/A,FALSE,"Crossings"}</definedName>
    <definedName name="wrn.DCF." localSheetId="0">{#N/A,#N/A,FALSE,"DCF-COM";#N/A,#N/A,FALSE,"VAC-COM"}</definedName>
    <definedName name="wrn.Debt._.Maturity." localSheetId="0">{#N/A,#N/A,FALSE,"ZLDebtMaturity";#N/A,#N/A,FALSE,"FCDebtMaturity";#N/A,#N/A,FALSE,"ZM3DebtMaturity";#N/A,#N/A,FALSE,"ZM2DebtMaturity";#N/A,#N/A,FALSE,"zm1DebtMaturity";#N/A,#N/A,FALSE,"ConsZM123DebtMaturity"}</definedName>
    <definedName name="wrn.Depreciation." localSheetId="0">{"One",#N/A,FALSE,"Depreciation"}</definedName>
    <definedName name="wrn.detail." localSheetId="0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vdeal." localSheetId="0">{"top",#N/A,TRUE,"Detail";"next",#N/A,TRUE,"Detail";"then",#N/A,TRUE,"Detail";"and",#N/A,TRUE,"Detail";"inaddition",#N/A,TRUE,"Detail";"finally",#N/A,TRUE,"Detail"}</definedName>
    <definedName name="wrn.Development._.Budget." localSheetId="0">{"Year 1",#N/A,FALSE,"Budget";"Year 2",#N/A,FALSE,"Budget";"Year 3",#N/A,FALSE,"Budget";"Year 4",#N/A,FALSE,"Budget"}</definedName>
    <definedName name="wrn.Earnings._.Model." localSheetId="0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tire._.Package." localSheetId="0">{"Summary",#N/A,FALSE,"Assumptions";"Development 1 2",#N/A,FALSE,"Budget";"Operating Income",#N/A,FALSE,"Budget"}</definedName>
    <definedName name="wrn.Exhibits." localSheetId="0">{#N/A,#N/A,FALSE,"Historical";#N/A,#N/A,FALSE,"Adjusted";#N/A,#N/A,FALSE,"CAM Alloc.";#N/A,#N/A,FALSE,"Projected CAM"}</definedName>
    <definedName name="wrn.FCB." localSheetId="0">{"FCB_ALL",#N/A,FALSE,"FCB"}</definedName>
    <definedName name="wrn.fcb2" localSheetId="0">{"FCB_ALL",#N/A,FALSE,"FCB"}</definedName>
    <definedName name="wrn.Financing." localSheetId="0">{"One",#N/A,FALSE,"Financing";"Two",#N/A,FALSE,"Financing";"Three",#N/A,FALSE,"Financing";"Four",#N/A,FALSE,"Financing"}</definedName>
    <definedName name="wrn.Financing_Assumptions." localSheetId="0">{"One",#N/A,FALSE,"Financing Assumptions";"Two",#N/A,FALSE,"Financing Assumptions";"Three",#N/A,FALSE,"Financing Assumptions";"Four",#N/A,FALSE,"Financing Assumptions"}</definedName>
    <definedName name="wrn.FOschedules." localSheetId="0">{"FOschedule1",#N/A,FALSE,"Sheet1";"FOschedule2",#N/A,FALSE,"Sheet1";"FOschedule3",#N/A,FALSE,"Sheet1"}</definedName>
    <definedName name="wrn.Full._.Report." localSheetId="0">{"Office Properties",#N/A,FALSE,"Consolidation";"Residential Summary",#N/A,FALSE,"Consolidation";"Retail Properties",#N/A,FALSE,"Consolidation";"Pru Loan",#N/A,FALSE,"Pru Loan";"One_Clear",#N/A,FALSE,"One Clearlake";"Comm_Corp",#N/A,FALSE,"Comm Corp Ctr";"San_Jac",#N/A,FALSE,"San Jacinto";"Wilshire",#N/A,FALSE,"8383 Wilshire";"Denver_Corp",#N/A,FALSE,"Denver Corp Center";"san_fel",#N/A,FALSE,"San Felipe";"Preston Bend",#N/A,FALSE,"Preston Bend";"The Willows",#N/A,FALSE,"The Willows";"Windemere",#N/A,FALSE,"Windemere";"Concorde",#N/A,FALSE,"Concorde";"Wyndridge",#N/A,FALSE,"Wyndridge 2 &amp; 3";"Spinnaker",#N/A,FALSE,"Spinnaker Cove";"Sedona",#N/A,FALSE,"Sedona Ridge";"Summer_Tree",#N/A,FALSE,"Summer Tree";"Ridge_Mtn",#N/A,FALSE,"Mountbrook_Ridgemont";"Highline",#N/A,FALSE,"Highline Oaks";"South_Towne",#N/A,FALSE,"South Towne";"Swansea",#N/A,FALSE,"Swansea"}</definedName>
    <definedName name="wrn.FULLPLN." localSheetId="0">{"FULLPLN",#N/A,FALSE,"Full Yr vs Plan"}</definedName>
    <definedName name="wrn.fullprior." localSheetId="0">{"fullprior",#N/A,FALSE,"Full Yr v Prior"}</definedName>
    <definedName name="wrn.Garage." localSheetId="0">{#N/A,#N/A,FALSE,"Garage Assumpt 1";#N/A,#N/A,FALSE,"Garage Op Proj";#N/A,#N/A,FALSE,"Hist I&amp;E";#N/A,#N/A,FALSE,"Garage Lease"}</definedName>
    <definedName name="wrn.General." localSheetId="0">{"Balance",#N/A,FALSE,"General Assumptions";"Cost",#N/A,FALSE,"General Assumptions";"Working",#N/A,FALSE,"General Assumptions"}</definedName>
    <definedName name="wrn.Graphs." localSheetId="0">{#N/A,"Kungens Kurva",TRUE,"Graphs";#N/A,"Täby",TRUE,"Graphs";#N/A,"Jaokobsberg",TRUE,"Graphs";#N/A,"Rissne",TRUE,"Graphs";#N/A,"Uppsala",TRUE,"Graphs";#N/A,"Södermalm",TRUE,"Graphs";#N/A,"Handen",TRUE,"Graphs";#N/A,"Solna",TRUE,"Graphs";#N/A,"Mölndal",TRUE,"Graphs";#N/A,"Lundavägen",TRUE,"Graphs";#N/A,"Moraberg",TRUE,"Graphs";#N/A,"Upplands Väsby",TRUE,"Graphs";#N/A,"Minelund",TRUE,"Graphs";#N/A,"Ystavägen",TRUE,"Graphs";#N/A,"Sköndal",TRUE,"Graphs";#N/A,"Västra Frölunda",TRUE,"Graphs";#N/A,"Lund",TRUE,"Graphs";#N/A,"Högdalen",TRUE,"Graphs";#N/A,"Danderyd",TRUE,"Graphs";#N/A,"Helsingborg",TRUE,"Graphs";#N/A,"Årstaberg",TRUE,"Graphs";#N/A,"Total",TRUE,"Graphs"}</definedName>
    <definedName name="wrn.handout." localSheetId="0">{"quarterly",#N/A,FALSE,"Income Statement New CPB";"annual",#N/A,FALSE,"Income Statement New CPB";"cash flow",#N/A,FALSE,"Cash Flow";"balance",#N/A,FALSE,"Balance Sheet";"seg",#N/A,FALSE,"New Segment Breakout"}</definedName>
    <definedName name="wrn.Hist._.InE." localSheetId="0">{#N/A,#N/A,FALSE,"Hist I&amp;E - Consol";#N/A,#N/A,FALSE,"Hist I&amp;E - Lakes";#N/A,#N/A,FALSE,"Hist I&amp;E - Chabot";#N/A,#N/A,FALSE,"Hist I&amp;E - Diablo"}</definedName>
    <definedName name="wrn.Hist._.InE2." localSheetId="0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III." localSheetId="0">{"CASHFLOW",#N/A,FALSE,"Northpointe"}</definedName>
    <definedName name="wrn.Income._.Statements." localSheetId="0">{"Annual Income",#N/A,FALSE,"Revenues";"Quarter Income",#N/A,FALSE,"Revenues"}</definedName>
    <definedName name="wrn.Income_Statement." localSheetId="0">{"One",#N/A,FALSE,"Income Statement";"Two",#N/A,FALSE,"Income Statement";"Three",#N/A,FALSE,"Income Statement";"Four",#N/A,FALSE,"Income Statement"}</definedName>
    <definedName name="wrn.IV." localSheetId="0">{"CASHFLOW",#N/A,FALSE,"Northpointe"}</definedName>
    <definedName name="wrn.JV." localSheetId="0">{"One",#N/A,FALSE,"JV"}</definedName>
    <definedName name="wrn.LeasingResults." localSheetId="0">{#N/A,#N/A,FALSE,"Retention";#N/A,#N/A,FALSE,"ZL Roll";#N/A,#N/A,FALSE,"FC Roll";#N/A,#N/A,FALSE,"zmlConsildated";#N/A,#N/A,FALSE,"ZM ROll SbyS";#N/A,#N/A,FALSE,"ZL";#N/A,#N/A,FALSE,"FCOccy";#N/A,#N/A,FALSE,"ZM123";#N/A,#N/A,FALSE,"portfolio"}</definedName>
    <definedName name="wrn.market._.share." localSheetId="0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Values." localSheetId="0">{#N/A,#N/A,TRUE,"10 Yr Hold";#N/A,#N/A,TRUE,"7 Yr Hold";#N/A,#N/A,TRUE,"5 Yr Hold";#N/A,#N/A,TRUE,"3 Yr Hold"}</definedName>
    <definedName name="wrn.MATRICES._.and._.CFs." localSheetId="0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localSheetId="0">{#N/A,#N/A,FALSE,"matx B4 DS";#N/A,#N/A,FALSE,"matx B4 DS Hac";#N/A,#N/A,FALSE,"matx B4 DS Chabot";#N/A,#N/A,FALSE,"matx B4 DS Diablo"}</definedName>
    <definedName name="wrn.model." localSheetId="0">{"years",#N/A,FALSE,"UDR_INC";"9899qtrs",#N/A,FALSE,"UDR_INC";"9798qtrs",#N/A,FALSE,"UDR_INC"}</definedName>
    <definedName name="wrn.month." localSheetId="0">{#N/A,#N/A,FALSE,"Mnthly Roll"}</definedName>
    <definedName name="wrn.naall." localSheetId="0">{"namonth",#N/A,FALSE,"na";"naroll",#N/A,FALSE,"na";"naprofsales",#N/A,FALSE,"na";"naprofprft",#N/A,FALSE,"na"}</definedName>
    <definedName name="wrn.namonth." localSheetId="0">{"namonth",#N/A,FALSE,"na"}</definedName>
    <definedName name="wrn.naprof." localSheetId="0">{"naprofsales",#N/A,FALSE,"na"}</definedName>
    <definedName name="wrn.naroll." localSheetId="0">{"naroll",#N/A,FALSE,"na"}</definedName>
    <definedName name="wrn.New_Business." localSheetId="0">{"One",#N/A,FALSE,"New Business"}</definedName>
    <definedName name="wrn.PorfolioFinancialSummary." localSheetId="0">{#N/A,#N/A,FALSE,"ZellLurieFinSummary";#N/A,#N/A,FALSE,"FirstCapFinSummary";#N/A,#N/A,FALSE,"ZM I-III Consol FinSummary"}</definedName>
    <definedName name="wrn.pp97schedules." localSheetId="0">{"plansummary",#N/A,FALSE,"PlanSummary";"sales",#N/A,FALSE,"Sales Rec";"productivity",#N/A,FALSE,"Productivity Rec";"capitalspending",#N/A,FALSE,"Capital Spending"}</definedName>
    <definedName name="wrn.PR_TRIAL_BALANCE." localSheetId="0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esentation." localSheetId="0">{#N/A,#N/A,FALSE,"Flash 1 before curr";#N/A,#N/A,FALSE,"Bridge";#N/A,#N/A,FALSE,"Volmix";#N/A,#N/A,FALSE,"Sell Price";#N/A,#N/A,FALSE,"ManCost2";#N/A,#N/A,FALSE,"ManPerf";#N/A,#N/A,FALSE,"SGA &amp; E"}</definedName>
    <definedName name="wrn.print._.graphs." localSheetId="0">{"cap_structure",#N/A,FALSE,"Graph-Mkt Cap";"price",#N/A,FALSE,"Graph-Price";"ebit",#N/A,FALSE,"Graph-EBITDA";"ebitda",#N/A,FALSE,"Graph-EBITDA"}</definedName>
    <definedName name="wrn.print._.raw._.data._.entry." localSheetId="0">{"inputs raw data",#N/A,TRUE,"INPUT"}</definedName>
    <definedName name="wrn.print._.summary._.sheets." localSheetId="0">{"summary1",#N/A,TRUE,"Comps";"summary2",#N/A,TRUE,"Comps";"summary3",#N/A,TRUE,"Comps"}</definedName>
    <definedName name="wrn.Product_Assumptions." localSheetId="0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totypes." localSheetId="0">{"One",#N/A,FALSE,"Prototypes";"Two",#N/A,FALSE,"Prototypes";"Three",#N/A,FALSE,"Prototypes";"Four",#N/A,FALSE,"Prototypes";"Five",#N/A,FALSE,"Prototypes"}</definedName>
    <definedName name="wrn.Pulp." localSheetId="0">{"Pulp Production",#N/A,FALSE,"Pulp";"Pulp Earnings",#N/A,FALSE,"Pulp"}</definedName>
    <definedName name="wrn.Pulp.2" localSheetId="0">{"Pulp Production",#N/A,FALSE,"Pulp";"Pulp Earnings",#N/A,FALSE,"Pulp"}</definedName>
    <definedName name="wrn.Pulp.3" localSheetId="0">{"Pulp Production",#N/A,FALSE,"Pulp";"Pulp Earnings",#N/A,FALSE,"Pulp"}</definedName>
    <definedName name="wrn.qtrpvs." localSheetId="0">{#N/A,#N/A,FALSE,"CurQtr vsPriorQ"}</definedName>
    <definedName name="wrn.qtrpyr." localSheetId="0">{"qtrpyr",#N/A,FALSE,"CurQTR vsPriorY"}</definedName>
    <definedName name="wrn.Rapport." localSheetId="0">{#N/A,#N/A,FALSE,"SHEET1";#N/A,#N/A,FALSE,"SHEET2";#N/A,#N/A,FALSE,"SHEET3";#N/A,#N/A,FALSE,"SHEET4"}</definedName>
    <definedName name="wrn.reforecast." localSheetId="0">{#N/A,#N/A,FALSE,"page3";#N/A,#N/A,FALSE,"page1";#N/A,#N/A,FALSE,"page2";#N/A,#N/A,FALSE,"page4&amp;5";#N/A,#N/A,FALSE,"page6";#N/A,#N/A,FALSE,"page7";#N/A,#N/A,FALSE,"page8";#N/A,#N/A,FALSE,"page9";#N/A,#N/A,FALSE,"page 10"}</definedName>
    <definedName name="wrn.Repayments." localSheetId="0">{"One",#N/A,FALSE,"Repayments";"Two",#N/A,FALSE,"Repayments"}</definedName>
    <definedName name="wrn.Report." localSheetId="0">{#N/A,#N/A,FALSE,"Loan Summary";#N/A,#N/A,FALSE,"NOI";"RR and Expir",#N/A,FALSE,"Rental";"Sales History",#N/A,FALSE,"Rental";#N/A,#N/A,FALSE,"Reserves"}</definedName>
    <definedName name="wrn.Report._.Detail." localSheetId="0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1." localSheetId="0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oll." localSheetId="0">{"bobsum",#N/A,FALSE,"BobSummary";"Month",#N/A,FALSE,"Mnthly Roll";"fullprior",#N/A,FALSE,"Full Yr v Prior";"FULLPLN",#N/A,FALSE,"Full Yr vs Plan"}</definedName>
    <definedName name="wrn.Roll_Out." localSheetId="0">{"One",#N/A,FALSE,"Roll-out";"Two",#N/A,FALSE,"Roll-out";"Three",#N/A,FALSE,"Roll-out";"Four",#N/A,FALSE,"Roll-out";"Five",#N/A,FALSE,"Roll-out"}</definedName>
    <definedName name="wrn.scall." localSheetId="0">{"scmonth",#N/A,FALSE,"Super";"scroll",#N/A,FALSE,"Super";"scprof",#N/A,FALSE,"Super"}</definedName>
    <definedName name="wrn.schedules." localSheetId="0">{"schedule1",#N/A,FALSE,"Sheet1";"schedule2",#N/A,FALSE,"Sheet1";"schedule3",#N/A,FALSE,"Sheet1";"schedule4",#N/A,FALSE,"Sheet1";"schedule5",#N/A,FALSE,"Sheet1";"schedule6",#N/A,FALSE,"Sheet1"}</definedName>
    <definedName name="wrn.scmonth." localSheetId="0">{"scmonth",#N/A,FALSE,"Super"}</definedName>
    <definedName name="wrn.scprof." localSheetId="0">{"scprof",#N/A,FALSE,"Super"}</definedName>
    <definedName name="wrn.scrol." localSheetId="0">{"scroll",#N/A,FALSE,"Super"}</definedName>
    <definedName name="wrn.Side._.by._.Side." localSheetId="0">{"Side 99",#N/A,FALSE,"S&amp;U Side by Side"}</definedName>
    <definedName name="wrn.STAND_ALONE_BOTH." localSheetId="0">{"FCB_ALL",#N/A,FALSE,"FCB";"GREY_ALL",#N/A,FALSE,"GREY"}</definedName>
    <definedName name="wrn.Sterling._.House." localSheetId="0">{"One",#N/A,FALSE,"SterlingHouse";"Two",#N/A,FALSE,"SterlingHouse";"Three",#N/A,FALSE,"SterlingHouse";"Four",#N/A,FALSE,"SterlingHouse";"Five",#N/A,FALSE,"SterlingHouse"}</definedName>
    <definedName name="wrn.Sterling_House." localSheetId="0">{"One",#N/A,FALSE,"SterlingHouse";"Two",#N/A,FALSE,"SterlingHouse";"Three",#N/A,FALSE,"SterlingHouse";"Four",#N/A,FALSE,"SterlingHouse";"Five",#N/A,FALSE,"SterlingHouse"}</definedName>
    <definedName name="wrn.Store._.cash._.flows." localSheetId="0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name="wrn.Summary." localSheetId="0">{"Office Properties",#N/A,FALSE,"Consolidation";"Residential Summary",#N/A,FALSE,"Consolidation";"Retail Properties",#N/A,FALSE,"Consolidation"}</definedName>
    <definedName name="wrn.TTL._.W_HIST_COMMENTS." localSheetId="0">{"TTL W_HIST_COMMENTS",#N/A,FALSE,"DETAIL"}</definedName>
    <definedName name="wrn.Wovenhearts." localSheetId="0">{"One",#N/A,FALSE,"Wovenhearts";"Two",#N/A,FALSE,"Wovenhearts";"Three",#N/A,FALSE,"Wovenhearts";"Four",#N/A,FALSE,"Wovenhearts";"Five",#N/A,FALSE,"Wovenhearts"}</definedName>
    <definedName name="wrn.Wynwood." localSheetId="0">{"One",#N/A,FALSE,"Wynwood";"Two",#N/A,FALSE,"Wynwood";"Three",#N/A,FALSE,"Wynwood";"Four",#N/A,FALSE,"Wynwood";"Five",#N/A,FALSE,"Wynwood"}</definedName>
    <definedName name="wrn.Yearly." localSheetId="0">{"One",#N/A,FALSE,"Yearly"}</definedName>
    <definedName name="wrn.ZML123._.Financial._.Summaries." localSheetId="0">{#N/A,#N/A,FALSE,"ZM3 FinSummary";#N/A,#N/A,FALSE,"ZM2 FinSummary";#N/A,#N/A,FALSE,"ZM1 FinSummary"}</definedName>
    <definedName name="wt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lg" localSheetId="0">{"schedule1",#N/A,FALSE,"Sheet1";"schedule2",#N/A,FALSE,"Sheet1";"schedule3",#N/A,FALSE,"Sheet1";"schedule4",#N/A,FALSE,"Sheet1";"schedule5",#N/A,FALSE,"Sheet1";"schedule6",#N/A,FALSE,"Sheet1"}</definedName>
    <definedName name="xlg1" localSheetId="0">{"Year 1",#N/A,FALSE,"Budget";"Year 2",#N/A,FALSE,"Budget";"Year 3",#N/A,FALSE,"Budget";"Year 4",#N/A,FALSE,"Budget"}</definedName>
    <definedName name="y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GJ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tgfg65" localSheetId="0">Cover!ytgfg65</definedName>
    <definedName name="z" localSheetId="0">Cover!z</definedName>
    <definedName name="znddgndg" localSheetId="0">{4}</definedName>
    <definedName name="_xlnm.Print_Area" localSheetId="0">Cover!$B$1:$X$58</definedName>
    <definedName name="_xlnm.Print_Area" localSheetId="1">'Historical Financials'!$B$2:$J$114</definedName>
    <definedName name="_xlnm.Print_Area" localSheetId="2">'Capex &amp; NWC Drivers'!$B$2:$M$64</definedName>
    <definedName name="_xlnm.Print_Area" localSheetId="3">'P&amp;L Drivers'!$B$2:$M$92</definedName>
    <definedName name="_xlnm.Print_Area" localSheetId="4">'Returns Model'!$B$2:$O$349</definedName>
  </definedNames>
  <calcPr calcId="0" iterate="1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<sst xmlns="http://schemas.openxmlformats.org/spreadsheetml/2006/main" count="442" uniqueCount="442">
  <si>
    <t>Northwind Industries - FINANCIAL MODEL</t>
  </si>
  <si>
    <t>Northwind Industries</t>
  </si>
  <si>
    <t>Historical Financials</t>
  </si>
  <si>
    <t>Draft - Preliminary &amp; Confidential</t>
  </si>
  <si>
    <t>$ in millions, except where otherwise denoted</t>
  </si>
  <si>
    <t>x</t>
  </si>
  <si>
    <t>Financials</t>
  </si>
  <si>
    <t>Income Statement</t>
  </si>
  <si>
    <t>'14A - '18A        CAGR</t>
  </si>
  <si>
    <t>Products Revenue</t>
  </si>
  <si>
    <t>(+) Services Revenue</t>
  </si>
  <si>
    <t>Total Revenue</t>
  </si>
  <si>
    <t>% Y-O-Y Growth</t>
  </si>
  <si>
    <t>(–) Product Cost of Goods Sold (COGS)</t>
  </si>
  <si>
    <t>(–) Services Cost of Goods Sold (COGS)</t>
  </si>
  <si>
    <t>Gross Profit</t>
  </si>
  <si>
    <t>Gross Margin %</t>
  </si>
  <si>
    <t>(–) Selling, Generative, &amp; Administrative (SG&amp;A)</t>
  </si>
  <si>
    <t>(–) Research &amp; Development (R&amp;D)</t>
  </si>
  <si>
    <t>EBITDA</t>
  </si>
  <si>
    <t>EBITDA Margin %</t>
  </si>
  <si>
    <t>(–) Depreciation &amp; Amortization (D&amp;A)</t>
  </si>
  <si>
    <t>Earnings Before Interest &amp; Taxes (EBIT)</t>
  </si>
  <si>
    <t>EBIT Margin %</t>
  </si>
  <si>
    <t>(–) Interest Expense</t>
  </si>
  <si>
    <t>Income (Loss) Before Income Taxes</t>
  </si>
  <si>
    <t>(–) Income Taxes</t>
  </si>
  <si>
    <t>Net Income</t>
  </si>
  <si>
    <t>Net Income Margin %</t>
  </si>
  <si>
    <t>Balance Sheet</t>
  </si>
  <si>
    <t>Assets</t>
  </si>
  <si>
    <t>Cash and Cash Equivalents</t>
  </si>
  <si>
    <t>Accounts Receivable</t>
  </si>
  <si>
    <t>Inventory</t>
  </si>
  <si>
    <t>Income Tax Recoverable</t>
  </si>
  <si>
    <t>Deferred Income Taxes</t>
  </si>
  <si>
    <t>Prepaid Expenses and Other Assets</t>
  </si>
  <si>
    <t>Total Current Assets</t>
  </si>
  <si>
    <t>Net Plant, Property, &amp; Equipment (PP&amp;E)</t>
  </si>
  <si>
    <t>Goodwill</t>
  </si>
  <si>
    <t>Intangible and Other Assets</t>
  </si>
  <si>
    <t>Total Assets</t>
  </si>
  <si>
    <t>Liabilities &amp; Shareholder's Equity</t>
  </si>
  <si>
    <t xml:space="preserve">Accounts Payable </t>
  </si>
  <si>
    <t>Deferred Revenue</t>
  </si>
  <si>
    <t>Warranty Reserves</t>
  </si>
  <si>
    <t>Income Taxes Payable</t>
  </si>
  <si>
    <t>Accrued and Other Current Liabilities</t>
  </si>
  <si>
    <t>Total Current Liabilities</t>
  </si>
  <si>
    <t>Long-term Debt</t>
  </si>
  <si>
    <t>Other Liabilities</t>
  </si>
  <si>
    <t>Deferred Tax Liability</t>
  </si>
  <si>
    <t>Total Liabilities</t>
  </si>
  <si>
    <t>Shareholder's Equity</t>
  </si>
  <si>
    <t>Total Liabilities &amp; Shareholder's Equity</t>
  </si>
  <si>
    <t>Net Working Capital Schedule</t>
  </si>
  <si>
    <t>Current Assets (Excluding Cash)</t>
  </si>
  <si>
    <t>Current Liabilities</t>
  </si>
  <si>
    <t>Net Working Capital (NWC)</t>
  </si>
  <si>
    <t>Δ NWC</t>
  </si>
  <si>
    <t>Cash Flow Statement</t>
  </si>
  <si>
    <t>(+) Depreciation &amp; Amortization (D&amp;A)</t>
  </si>
  <si>
    <t>Funds from Operation (FFO)</t>
  </si>
  <si>
    <t>(+/–) Change in Net Working Capital</t>
  </si>
  <si>
    <t>Cash Flow from Operations (CFO)</t>
  </si>
  <si>
    <t>(–) Capital Expenditures</t>
  </si>
  <si>
    <t>(+) Asset Sales</t>
  </si>
  <si>
    <t>Cash Flow from Investing (CFI)</t>
  </si>
  <si>
    <t>(+/–) Debt Issued / (Retired)</t>
  </si>
  <si>
    <t>(+/–) Common Stock Issued / (Retired)</t>
  </si>
  <si>
    <t>(–) Dividends Paid</t>
  </si>
  <si>
    <t>Cash Flow from Financing (CFF)</t>
  </si>
  <si>
    <t>Net Change in Cash</t>
  </si>
  <si>
    <t>Capex &amp; NWC Drivers</t>
  </si>
  <si>
    <t>Capex Drivers</t>
  </si>
  <si>
    <t>Select Case ([=1] Base Case; [=2] Upside Case; [=3] Downside Case) &gt;&gt;&gt;</t>
  </si>
  <si>
    <t>Operating Scenario &gt;&gt;&gt;</t>
  </si>
  <si>
    <t>Base Case</t>
  </si>
  <si>
    <t>Capex: % of Total Revenue</t>
  </si>
  <si>
    <t>Capex</t>
  </si>
  <si>
    <t>% of Total Revenue</t>
  </si>
  <si>
    <t>Operating Scenario: Base Case % of Total Revenue</t>
  </si>
  <si>
    <t>Upside Case</t>
  </si>
  <si>
    <t>Downside Case</t>
  </si>
  <si>
    <t>NWC Drivers</t>
  </si>
  <si>
    <t>Total COGs</t>
  </si>
  <si>
    <t>Days Sales Outstanding (DSO)</t>
  </si>
  <si>
    <t>Inventory Days</t>
  </si>
  <si>
    <t>Income Tax Recoverable as % of Total Revenue</t>
  </si>
  <si>
    <t>Deferred Income Taxes as % of Total Revenue</t>
  </si>
  <si>
    <t>Prepaid Expenses and Other Assets as % of Total COGS</t>
  </si>
  <si>
    <t>Days Payables Outstanding (DPO)</t>
  </si>
  <si>
    <t>Deferred Revenue as % of Total Revenue</t>
  </si>
  <si>
    <t>Warranty Reserves as % of Total Revenue</t>
  </si>
  <si>
    <t>Income Taxes Payable as % of Total COGS</t>
  </si>
  <si>
    <t>Accrued and Other Current Liabilities as % of Total COGS</t>
  </si>
  <si>
    <t>P&amp;L Drivers</t>
  </si>
  <si>
    <t>Revenue Drivers</t>
  </si>
  <si>
    <t>Products Revenue: Annual Growth Rates</t>
  </si>
  <si>
    <t>Y-O-Y Growth %</t>
  </si>
  <si>
    <t>Operating Scenario: Base Case Escalation Factors Per Annum</t>
  </si>
  <si>
    <t>Services Revenue: Annual Growth Rates</t>
  </si>
  <si>
    <t>Services Revenue</t>
  </si>
  <si>
    <t>Expense Drivers</t>
  </si>
  <si>
    <t>Products COGS: % of Products Revenue</t>
  </si>
  <si>
    <t>Products COGS</t>
  </si>
  <si>
    <t>% of Products Revenue</t>
  </si>
  <si>
    <t>Operating Scenario: Base Case % of Products Revenue</t>
  </si>
  <si>
    <t>Services COGS: % of Services Revenue</t>
  </si>
  <si>
    <t>Services COGS</t>
  </si>
  <si>
    <t>% of Services Revenue</t>
  </si>
  <si>
    <t>Operating Scenario: Base Case % of Services Revenue</t>
  </si>
  <si>
    <t>SG&amp;A: % of Revenue</t>
  </si>
  <si>
    <t>SG&amp;A</t>
  </si>
  <si>
    <t>% of Revenue</t>
  </si>
  <si>
    <t>R&amp;D: % of Revenue</t>
  </si>
  <si>
    <t>R&amp;D</t>
  </si>
  <si>
    <t>D&amp;A: % of Capex</t>
  </si>
  <si>
    <t>D&amp;A</t>
  </si>
  <si>
    <t>% of Capex</t>
  </si>
  <si>
    <t>Operating Scenario: Base Case % of Capex</t>
  </si>
  <si>
    <t>Illustrative Transaction Overview &amp; Returns Analysis</t>
  </si>
  <si>
    <t>Transaction Assumptions</t>
  </si>
  <si>
    <t>General Inputs</t>
  </si>
  <si>
    <t>Effective Federal Corporate Tax Rate</t>
  </si>
  <si>
    <t>Transaction Expenses (% Purchase Price)</t>
  </si>
  <si>
    <t>Dividend Sweep</t>
  </si>
  <si>
    <t>Write-Up % of Identifiable Intangibles</t>
  </si>
  <si>
    <t>Seller Equity Rollover (% of NewCo)</t>
  </si>
  <si>
    <t>Exit Multiple</t>
  </si>
  <si>
    <t xml:space="preserve">Acquisition Purchase Date </t>
  </si>
  <si>
    <t>Circularity Switch</t>
  </si>
  <si>
    <t>Sponsor Preferred Hurdle</t>
  </si>
  <si>
    <t>Mgmt. Promote</t>
  </si>
  <si>
    <t>Purchase Assumptions</t>
  </si>
  <si>
    <t>Purchase Price Derivation</t>
  </si>
  <si>
    <t>Net Identifiable Assets</t>
  </si>
  <si>
    <t>Identifiable Intangibles Write-Up</t>
  </si>
  <si>
    <t>LTM EBITDA (2018A)</t>
  </si>
  <si>
    <t>Equity Purchase Price</t>
  </si>
  <si>
    <t>Goodwill &amp; Identifiable Intangibles Created</t>
  </si>
  <si>
    <t>(x) Entry EV / EBITDA Multiple</t>
  </si>
  <si>
    <t>(–) Book Value of Net Assets</t>
  </si>
  <si>
    <t>(–) Identifiable Intangibles Write-Up</t>
  </si>
  <si>
    <t>Enterprise Value</t>
  </si>
  <si>
    <t>(+) Write-off of Existing Goodwill</t>
  </si>
  <si>
    <t>(+) Deferred Tax Liability</t>
  </si>
  <si>
    <t>(–) Debt Outstanding (12/31/2018)</t>
  </si>
  <si>
    <t>Goodwill Created in Transaction</t>
  </si>
  <si>
    <t>(+) Cash Balance (12/31/2018)</t>
  </si>
  <si>
    <t>(–) Seller Rollover</t>
  </si>
  <si>
    <t>(÷) Total Amortization Period</t>
  </si>
  <si>
    <t>Adjusted Equity Purchase Price</t>
  </si>
  <si>
    <t>Intangibles Amortization Per Annum</t>
  </si>
  <si>
    <t>Sources &amp; Uses (S&amp;U)</t>
  </si>
  <si>
    <t>Sources of Capital</t>
  </si>
  <si>
    <t>$mm</t>
  </si>
  <si>
    <t>% of Total</t>
  </si>
  <si>
    <t>Entry Multiple (LTM EBITDA)</t>
  </si>
  <si>
    <t>Uses of Capital</t>
  </si>
  <si>
    <t>Revolver</t>
  </si>
  <si>
    <t>Purchase of Equity: Sponsor</t>
  </si>
  <si>
    <t>1st Lien Bank Debt</t>
  </si>
  <si>
    <t>Rollover of Equity: Seller</t>
  </si>
  <si>
    <t>Senior Unsecured Notes</t>
  </si>
  <si>
    <t>Refinanced Debt</t>
  </si>
  <si>
    <t>Seller Rollover Equity</t>
  </si>
  <si>
    <t>Financing Fees &amp; OID</t>
  </si>
  <si>
    <t>Sponsor Equity</t>
  </si>
  <si>
    <t>Transaction Expenses</t>
  </si>
  <si>
    <t>Total Sources of Capital</t>
  </si>
  <si>
    <t>Total Uses of Capital</t>
  </si>
  <si>
    <t>Debt Capital Stack Assumptions</t>
  </si>
  <si>
    <t>Leverage Multiple</t>
  </si>
  <si>
    <t>Debt Quantum</t>
  </si>
  <si>
    <t>Floor</t>
  </si>
  <si>
    <t xml:space="preserve">Spread to Libor </t>
  </si>
  <si>
    <t>OID %</t>
  </si>
  <si>
    <t>Commitment Fee %</t>
  </si>
  <si>
    <t>Financing Fee %</t>
  </si>
  <si>
    <t>Mandatory Amort %</t>
  </si>
  <si>
    <t>Sweep %</t>
  </si>
  <si>
    <t>Close Date</t>
  </si>
  <si>
    <t>Tenor</t>
  </si>
  <si>
    <t>Maturity Date</t>
  </si>
  <si>
    <t xml:space="preserve">Revolver </t>
  </si>
  <si>
    <t>1st Lien Bank Debt (Term Loan)</t>
  </si>
  <si>
    <t>N/A</t>
  </si>
  <si>
    <t>Total Leverage</t>
  </si>
  <si>
    <t>Total Leverage Multiple</t>
  </si>
  <si>
    <t>Revolver Undrawn Amount</t>
  </si>
  <si>
    <t>Historical FYE</t>
  </si>
  <si>
    <t>Projected FYE</t>
  </si>
  <si>
    <t>'19E - '23E Total</t>
  </si>
  <si>
    <t>'19E - '23E CAGR</t>
  </si>
  <si>
    <t>(–) Product COGS</t>
  </si>
  <si>
    <t>(–) Services COGS</t>
  </si>
  <si>
    <t>(–) SG&amp;A</t>
  </si>
  <si>
    <t>(–) R&amp;D</t>
  </si>
  <si>
    <t>(–) D&amp;A</t>
  </si>
  <si>
    <t>(–) Amort of Acquisition Intangibles</t>
  </si>
  <si>
    <t>(–) Amort of Capitalized Financing Fees</t>
  </si>
  <si>
    <t>(–) Amort of OID</t>
  </si>
  <si>
    <t>(+) Depreciation &amp; Amortization</t>
  </si>
  <si>
    <t>(+) Amort of Acquisition Intangibles</t>
  </si>
  <si>
    <t>(+) Amort of Capitalized Financing Fees</t>
  </si>
  <si>
    <t>(+) Amort of OID</t>
  </si>
  <si>
    <t>(+/–) Δ in Deferred Tax Liabilities</t>
  </si>
  <si>
    <t>Funds from Operations (FFO)</t>
  </si>
  <si>
    <t>(+/–) Δ in NWC</t>
  </si>
  <si>
    <t>Change in Cash</t>
  </si>
  <si>
    <t>Levered Free Cash Flow (excluding principal repayment)</t>
  </si>
  <si>
    <t>LFCF Conversion %</t>
  </si>
  <si>
    <t>Transaction Adjustments</t>
  </si>
  <si>
    <t>+</t>
  </si>
  <si>
    <t>–</t>
  </si>
  <si>
    <t>Deferred Financing Fees</t>
  </si>
  <si>
    <t>OID</t>
  </si>
  <si>
    <t>Memo: Check</t>
  </si>
  <si>
    <t>okay</t>
  </si>
  <si>
    <t>Cash Flow Profile</t>
  </si>
  <si>
    <t>Beginning Cash</t>
  </si>
  <si>
    <t>(+) Levered Free Cash Flow</t>
  </si>
  <si>
    <t>(–) Mandatory Debt Repayment</t>
  </si>
  <si>
    <t>Cash Available for Voluntary Debt Repayment</t>
  </si>
  <si>
    <t>(–) Voluntary Debt Repayment</t>
  </si>
  <si>
    <t>Cash Available for Dividend Sweep</t>
  </si>
  <si>
    <t>(–) Dividend Sweep</t>
  </si>
  <si>
    <t>Ending Cash</t>
  </si>
  <si>
    <t>Debt Service Schedule</t>
  </si>
  <si>
    <t>Ending Debt Balances</t>
  </si>
  <si>
    <t>Total Debt Outstanding</t>
  </si>
  <si>
    <t>Mandatory Principal Repayment</t>
  </si>
  <si>
    <t>Mandatory Amort</t>
  </si>
  <si>
    <t>Maturity</t>
  </si>
  <si>
    <t>Total Mandatory Principal Repayment</t>
  </si>
  <si>
    <t>Voluntary Principal Repayment</t>
  </si>
  <si>
    <t>Sweep</t>
  </si>
  <si>
    <t>Total Voluntary Principal Repayment</t>
  </si>
  <si>
    <t>Interest Expense Schedule</t>
  </si>
  <si>
    <t>Forward LIBOR Curve</t>
  </si>
  <si>
    <t>Undrawn Amount</t>
  </si>
  <si>
    <t>Spread</t>
  </si>
  <si>
    <t>Commitment Fee</t>
  </si>
  <si>
    <t>Revolver  Interest Expense</t>
  </si>
  <si>
    <t>1st Lien Bank Debt Interest Expense</t>
  </si>
  <si>
    <t>Senior Unsecured Notes Interest Expense</t>
  </si>
  <si>
    <t>Gross Interest Expense</t>
  </si>
  <si>
    <t>(+) Interest Income</t>
  </si>
  <si>
    <t>Net Interest Expense</t>
  </si>
  <si>
    <t>Credit Statistics (Leverage &amp; Coverage Ratios)</t>
  </si>
  <si>
    <t>(–) Capex</t>
  </si>
  <si>
    <t>(–) Δ in NWC</t>
  </si>
  <si>
    <t>Cash Flow Available for Debt Service</t>
  </si>
  <si>
    <t>Total Mandatory Principal Repayments</t>
  </si>
  <si>
    <t>(+) Total Interest Expense Payments</t>
  </si>
  <si>
    <t>Total Debt Service Obligations</t>
  </si>
  <si>
    <t>Credit Statistics</t>
  </si>
  <si>
    <t>Min</t>
  </si>
  <si>
    <t>Max</t>
  </si>
  <si>
    <t>Avg.</t>
  </si>
  <si>
    <t>Debt Service Coverage Ratio ("DSCR")</t>
  </si>
  <si>
    <t>Debt / EBITDA</t>
  </si>
  <si>
    <t>Cumulative Debt Repaid %</t>
  </si>
  <si>
    <t>EBITDA / Interest Expense</t>
  </si>
  <si>
    <t>LBO Mechanics Check</t>
  </si>
  <si>
    <t>Δ in Cash</t>
  </si>
  <si>
    <t>Δ in Debt</t>
  </si>
  <si>
    <t>Δ in Net Debt</t>
  </si>
  <si>
    <t>Levered Free Cash Flow</t>
  </si>
  <si>
    <t>Financing Fees</t>
  </si>
  <si>
    <t>Amount Raised</t>
  </si>
  <si>
    <t>Total Fee                  ($)</t>
  </si>
  <si>
    <t>Period               (Years)</t>
  </si>
  <si>
    <t>Annual Expense</t>
  </si>
  <si>
    <t>Total</t>
  </si>
  <si>
    <t>Return Analysis</t>
  </si>
  <si>
    <t>(x) LTM EV / EBITDA Multiple</t>
  </si>
  <si>
    <t>Implied Enterprise Value</t>
  </si>
  <si>
    <t>(–) Debt Outstanding</t>
  </si>
  <si>
    <t>(+) Cash Balance</t>
  </si>
  <si>
    <t>Equity Value</t>
  </si>
  <si>
    <t>Seller Rollover Portion</t>
  </si>
  <si>
    <t>Sponsor Portion (Incl. Mgmt. Promote)</t>
  </si>
  <si>
    <t>Sponsor Preferred Equity</t>
  </si>
  <si>
    <t>Beginning Balance</t>
  </si>
  <si>
    <t>(+) Accretion from Preferred Hurdle Rate</t>
  </si>
  <si>
    <t>(+) Sponsor Additional Investment</t>
  </si>
  <si>
    <t>(–) Dividends</t>
  </si>
  <si>
    <t>Ending Balance</t>
  </si>
  <si>
    <t>Remaining Equity Value</t>
  </si>
  <si>
    <t>(–) Sponsor Portion</t>
  </si>
  <si>
    <t>(–) Mgmt. Promote Portion</t>
  </si>
  <si>
    <t>Sponsor Equity Value</t>
  </si>
  <si>
    <t>Sponsor Profit</t>
  </si>
  <si>
    <t>Exit Year</t>
  </si>
  <si>
    <t>Equity Contributions</t>
  </si>
  <si>
    <t>Sponsor IRR (5.0x Exit Multiple):</t>
  </si>
  <si>
    <t>Sponsor MoIC (5.0x Exit Multiple):</t>
  </si>
  <si>
    <t>Return Sensitivities</t>
  </si>
  <si>
    <t>1) Entry Multiple vs. Exit Multiple</t>
  </si>
  <si>
    <t>Implied Equity Purchase Price</t>
  </si>
  <si>
    <t>Entry EV / LTM EBITDA Multiples</t>
  </si>
  <si>
    <t>24.6% / 3.01x</t>
  </si>
  <si>
    <t>Exit EV / LTM EBITDA Multiples</t>
  </si>
  <si>
    <t>33.8% / 4.29x</t>
  </si>
  <si>
    <t>25.5% / 3.11x</t>
  </si>
  <si>
    <t>19.6% / 2.44x</t>
  </si>
  <si>
    <t>15.1% / 2.02x</t>
  </si>
  <si>
    <t>11.5% / 1.72x</t>
  </si>
  <si>
    <t>8.5% / 1.50x</t>
  </si>
  <si>
    <t>7.0% / 1.40x</t>
  </si>
  <si>
    <t>38.0% / 5.01x</t>
  </si>
  <si>
    <t>29.4% / 3.62x</t>
  </si>
  <si>
    <t>23.3% / 2.85x</t>
  </si>
  <si>
    <t>18.6% / 2.35x</t>
  </si>
  <si>
    <t>14.9% / 2.00x</t>
  </si>
  <si>
    <t>11.8% / 1.75x</t>
  </si>
  <si>
    <t>9.2% / 1.55x</t>
  </si>
  <si>
    <t>41.7% / 5.72x</t>
  </si>
  <si>
    <t>32.8% / 4.14x</t>
  </si>
  <si>
    <t>26.6% / 3.25x</t>
  </si>
  <si>
    <t>21.8% / 2.68x</t>
  </si>
  <si>
    <t>17.9% / 2.28x</t>
  </si>
  <si>
    <t>14.7% / 1.99x</t>
  </si>
  <si>
    <t>12.0% / 1.77x</t>
  </si>
  <si>
    <t>45.1% / 6.44x</t>
  </si>
  <si>
    <t>36.0% / 4.65x</t>
  </si>
  <si>
    <t>29.5% / 3.65x</t>
  </si>
  <si>
    <t>20.7% / 2.56x</t>
  </si>
  <si>
    <t>17.4% / 2.23x</t>
  </si>
  <si>
    <t>14.6% / 1.98x</t>
  </si>
  <si>
    <t>48.2% / 7.16x</t>
  </si>
  <si>
    <t>38.9% / 5.17x</t>
  </si>
  <si>
    <t>32.3% / 4.05x</t>
  </si>
  <si>
    <t>27.2% / 3.34x</t>
  </si>
  <si>
    <t>23.2% / 2.84x</t>
  </si>
  <si>
    <t>19.9% / 2.48x</t>
  </si>
  <si>
    <t>17.0% / 2.19x</t>
  </si>
  <si>
    <t>51.0% / 7.87x</t>
  </si>
  <si>
    <t>41.5% / 5.68x</t>
  </si>
  <si>
    <t>34.8% / 4.46x</t>
  </si>
  <si>
    <t>29.7% / 3.67x</t>
  </si>
  <si>
    <t>25.5% / 3.12x</t>
  </si>
  <si>
    <t>22.1% / 2.72x</t>
  </si>
  <si>
    <t>19.2% / 2.41x</t>
  </si>
  <si>
    <t>53.7% / 8.59x</t>
  </si>
  <si>
    <t>44.0% / 6.20x</t>
  </si>
  <si>
    <t>37.2% / 4.86x</t>
  </si>
  <si>
    <t>31.9% / 4.00x</t>
  </si>
  <si>
    <t>27.7% / 3.40x</t>
  </si>
  <si>
    <t>24.2% / 2.96x</t>
  </si>
  <si>
    <t>21.3% / 2.62x</t>
  </si>
  <si>
    <t>2) Entry Multiple vs. Leverage Multiple</t>
  </si>
  <si>
    <t>Leverage Multiples</t>
  </si>
  <si>
    <t>35.9% / 4.64x</t>
  </si>
  <si>
    <t>30.1% / 3.73x</t>
  </si>
  <si>
    <t>18.7% / 2.36x</t>
  </si>
  <si>
    <t>16.0% / 2.10x</t>
  </si>
  <si>
    <t>13.7% / 1.90x</t>
  </si>
  <si>
    <t>38.3% / 5.07x</t>
  </si>
  <si>
    <t>31.7% / 3.97x</t>
  </si>
  <si>
    <t>26.7% / 3.26x</t>
  </si>
  <si>
    <t>22.6% / 2.77x</t>
  </si>
  <si>
    <t>19.3% / 2.42x</t>
  </si>
  <si>
    <t>16.4% / 2.14x</t>
  </si>
  <si>
    <t>14.0% / 1.92x</t>
  </si>
  <si>
    <t>41.3% / 5.65x</t>
  </si>
  <si>
    <t>33.7% / 4.27x</t>
  </si>
  <si>
    <t>28.0% / 3.44x</t>
  </si>
  <si>
    <t>23.6% / 2.88x</t>
  </si>
  <si>
    <t>16.9% / 2.18x</t>
  </si>
  <si>
    <t>14.3% / 1.95x</t>
  </si>
  <si>
    <t>50.0% / 7.60x</t>
  </si>
  <si>
    <t>38.8% / 5.16x</t>
  </si>
  <si>
    <t>31.4% / 3.92x</t>
  </si>
  <si>
    <t>25.9% / 3.16x</t>
  </si>
  <si>
    <t>21.5% / 2.65x</t>
  </si>
  <si>
    <t>18.0% / 2.29x</t>
  </si>
  <si>
    <t>15.0% / 2.01x</t>
  </si>
  <si>
    <t>56.7% / 9.45x</t>
  </si>
  <si>
    <t>42.4% / 5.85x</t>
  </si>
  <si>
    <t>33.5% / 4.25x</t>
  </si>
  <si>
    <t>27.3% / 3.34x</t>
  </si>
  <si>
    <t>22.5% / 2.76x</t>
  </si>
  <si>
    <t>18.7% / 2.35x</t>
  </si>
  <si>
    <t>15.5% / 2.05x</t>
  </si>
  <si>
    <t>66.7% / 12.89x</t>
  </si>
  <si>
    <t>46.9% / 6.86x</t>
  </si>
  <si>
    <t>36.2% / 4.69x</t>
  </si>
  <si>
    <t>29.0% / 3.57x</t>
  </si>
  <si>
    <t>23.6% / 2.89x</t>
  </si>
  <si>
    <t>19.4% / 2.43x</t>
  </si>
  <si>
    <t>3) Leverage Multiple vs. Exit Multiple</t>
  </si>
  <si>
    <t>Implied Total Leverage</t>
  </si>
  <si>
    <t>Leverage Multiples (of LTM EBITDA)</t>
  </si>
  <si>
    <t>14.0% / 1.93x</t>
  </si>
  <si>
    <t>14.5% / 1.97x</t>
  </si>
  <si>
    <t>15.7% / 2.08x</t>
  </si>
  <si>
    <t>16.5% / 2.15x</t>
  </si>
  <si>
    <t>16.6% / 2.16x</t>
  </si>
  <si>
    <t>17.2% / 2.21x</t>
  </si>
  <si>
    <t>17.8% / 2.27x</t>
  </si>
  <si>
    <t>19.5% / 2.44x</t>
  </si>
  <si>
    <t>20.5% / 2.54x</t>
  </si>
  <si>
    <t>20.0% / 2.49x</t>
  </si>
  <si>
    <t>20.8% / 2.58x</t>
  </si>
  <si>
    <t>22.8% / 2.80x</t>
  </si>
  <si>
    <t>24.1% / 2.94x</t>
  </si>
  <si>
    <t>25.6% / 3.12x</t>
  </si>
  <si>
    <t>24.1% / 2.95x</t>
  </si>
  <si>
    <t>25.0% / 3.06x</t>
  </si>
  <si>
    <t>26.1% / 3.19x</t>
  </si>
  <si>
    <t>28.6% / 3.52x</t>
  </si>
  <si>
    <t>30.2% / 3.74x</t>
  </si>
  <si>
    <t>32.0% / 4.01x</t>
  </si>
  <si>
    <t>26.2% / 3.21x</t>
  </si>
  <si>
    <t>28.4% / 3.49x</t>
  </si>
  <si>
    <t>31.1% / 3.88x</t>
  </si>
  <si>
    <t>28.2% / 3.47x</t>
  </si>
  <si>
    <t>29.3% / 3.62x</t>
  </si>
  <si>
    <t>30.5% / 3.79x</t>
  </si>
  <si>
    <t>33.5% / 4.24x</t>
  </si>
  <si>
    <t>35.3% / 4.54x</t>
  </si>
  <si>
    <t>37.4% / 4.90x</t>
  </si>
  <si>
    <t>REDACTION KEY</t>
  </si>
  <si>
    <t>Original Value</t>
  </si>
  <si>
    <t>Redacted Value</t>
  </si>
  <si>
    <t>Renamed Value</t>
  </si>
  <si>
    <t>SAMPLE COMPANY</t>
  </si>
  <si>
    <t>Northwind Industries</t>
  </si>
  <si>
    <t>S A M P L E C O    -  F I N A N C I A L   M O D E L</t>
  </si>
  <si>
    <t>Northwind Industries - FINANCIAL MODEL</t>
  </si>
  <si>
    <t>NOTES:</t>
  </si>
  <si>
    <t>1. The workbook appeared to be a financial model template with a generic placeholder company name 'SAMPLE COMPANY'.</t>
  </si>
  <si>
    <t>2. Although 'SAMPLE COMPANY' is clearly a placeholder, it was redacted to follow protocol and ensure consistent treatment.</t>
  </si>
  <si>
    <t>3. The label 'Draft - Preliminary &amp; Confidential' was preserved as it is a generic document classification label, not identifying.</t>
  </si>
  <si>
    <t>4. All financial terms (Revenue, EBITDA, SG&amp;A, etc.) were preserved as they are standard industry terminology.</t>
  </si>
  <si>
    <t>5. All numeric data was preserved as it does not contain identifying information (no account numbers, IDs, etc.).</t>
  </si>
  <si>
    <t>6. Standard financial instruments (Revolver, 1st Lien Bank Debt, Senior Unsecured Notes) were preserved as generic debt types.</t>
  </si>
  <si>
    <t>7. Time periods and dates were preserved as they do not identify specific entities.</t>
  </si>
  <si>
    <t>8. Operating scenarios (Base Case, Upside Case, Downside Case) were preserved as generic modeling terms.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</si>
</sst>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5">
    <numFmt numFmtId="771831" formatCode="#,##0.00&quot;x&quot;"/>
    <numFmt numFmtId="771832" formatCode="&quot;OKAY&quot;_);&quot;REVIEW&quot;_);&quot;ERROR&quot;_)"/>
    <numFmt numFmtId="771833" formatCode="_(* #,##0.00_);_(* \(#,##0.00\);_(* &quot;-&quot;??_);_(@_)"/>
    <numFmt numFmtId="771834" formatCode="_(* #,##0_);_(* \(#,##0\);_(* &quot;-&quot;_);_(@_)"/>
    <numFmt numFmtId="771838" formatCode="0_);\(0\)"/>
    <numFmt numFmtId="771842" formatCode="&quot;On&quot;;;&quot;Off&quot;"/>
    <numFmt numFmtId="771843" formatCode="&quot;P&quot;00"/>
    <numFmt numFmtId="771846" formatCode="##\ &quot;Year(s)&quot;"/>
    <numFmt numFmtId="771847" formatCode="[$-409]mmmm\ d\,\ yyyy;@"/>
    <numFmt numFmtId="771848" formatCode="0.E+00"/>
    <numFmt numFmtId="771849" formatCode="0000&quot;A&quot;"/>
    <numFmt numFmtId="771850" formatCode="&quot;$&quot;#,##0.0_);\(&quot;$&quot;#,##0.0\)"/>
    <numFmt numFmtId="771851" formatCode="#0.0%_);\(#0.0%\)"/>
    <numFmt numFmtId="771852" formatCode="#,##0.0_);\(#,##0.0\)"/>
    <numFmt numFmtId="771855" formatCode="#0.0000%_);\(#0.0000%\)"/>
    <numFmt numFmtId="771862" formatCode="&quot;$&quot;#,##0.00_);\(&quot;$&quot;#,##0.00\)"/>
    <numFmt numFmtId="771871" formatCode="0000&quot;E&quot;"/>
    <numFmt numFmtId="771892" formatCode="#0.0\x"/>
    <numFmt numFmtId="771893" formatCode="&quot;Yes&quot;;;&quot;No&quot;"/>
    <numFmt numFmtId="771902" formatCode="0.0\ &quot;years&quot;"/>
    <numFmt numFmtId="771907" formatCode="#0.00%_);\(#0.00%\)"/>
    <numFmt numFmtId="771908" formatCode="0\ &quot;bps&quot;"/>
    <numFmt numFmtId="771944" formatCode="0000&quot;PF&quot;"/>
    <numFmt numFmtId="771946" formatCode="&quot;$&quot;#,##0.000_);\(&quot;$&quot;#,##0.000\)"/>
    <numFmt numFmtId="771979" formatCode="#0.00\x"/>
  </numFmts>
  <fonts count="48">
    <font>
      <b val="0"/>
      <i val="0"/>
      <sz val="11"/>
      <color theme="1"/>
      <name val="Calibri"/>
      <scheme val="minor"/>
    </font>
    <font>
      <b val="0"/>
      <i val="0"/>
      <sz val="8"/>
      <color auto="1"/>
      <name val="Arial"/>
    </font>
    <font>
      <b val="0"/>
      <i val="0"/>
      <sz val="8"/>
      <color theme="1"/>
      <name val="Arial"/>
    </font>
    <font>
      <b val="0"/>
      <i val="0"/>
      <sz val="8"/>
      <color rgb="FF0000FF"/>
      <name val="Arial"/>
    </font>
    <font>
      <b/>
      <i val="0"/>
      <sz val="8"/>
      <color theme="0"/>
      <name val="Arial"/>
    </font>
    <font>
      <b val="0"/>
      <i val="0"/>
      <sz val="8"/>
      <color theme="0"/>
      <name val="Arial"/>
    </font>
    <font>
      <b/>
      <i val="0"/>
      <sz val="8"/>
      <color auto="1"/>
      <name val="Arial"/>
    </font>
    <font>
      <b val="0"/>
      <i val="0"/>
      <u/>
      <sz val="6"/>
      <color theme="10"/>
      <name val="Arial"/>
    </font>
    <font>
      <b val="0"/>
      <i val="0"/>
      <sz val="10"/>
      <color auto="1"/>
      <name val="Arial"/>
    </font>
    <font>
      <b val="0"/>
      <i val="0"/>
      <sz val="10"/>
      <color theme="1"/>
      <name val="Times New Roman"/>
    </font>
    <font>
      <b val="0"/>
      <i val="0"/>
      <sz val="10"/>
      <color theme="1"/>
      <name val="Calibri"/>
      <scheme val="minor"/>
    </font>
    <font>
      <b val="0"/>
      <i val="0"/>
      <sz val="10"/>
      <color theme="1"/>
      <name val="Arial"/>
    </font>
    <font>
      <b val="0"/>
      <i val="0"/>
      <sz val="12"/>
      <color theme="1"/>
      <name val="Calibri"/>
      <scheme val="minor"/>
    </font>
    <font>
      <b val="0"/>
      <i val="0"/>
      <sz val="8"/>
      <color rgb="FF008050"/>
      <name val="Arial"/>
    </font>
    <font>
      <b/>
      <i val="0"/>
      <sz val="14"/>
      <color auto="1"/>
      <name val="Arial"/>
    </font>
    <font>
      <b/>
      <i val="0"/>
      <sz val="10"/>
      <color rgb="FFFFFFFF"/>
      <name val="Arial"/>
    </font>
    <font>
      <b val="0"/>
      <i val="0"/>
      <sz val="8"/>
      <color rgb="FF7030A0"/>
      <name val="Arial"/>
    </font>
    <font>
      <b/>
      <i val="0"/>
      <sz val="18"/>
      <color theme="0"/>
      <name val="Arial"/>
    </font>
    <font>
      <b/>
      <i val="0"/>
      <sz val="16"/>
      <color auto="1"/>
      <name val="Century Gothic"/>
    </font>
    <font>
      <b val="0"/>
      <i val="0"/>
      <sz val="9"/>
      <color theme="1"/>
      <name val="Arial"/>
    </font>
    <font>
      <b/>
      <i val="0"/>
      <sz val="13"/>
      <color rgb="FF808080"/>
      <name val="Century Gothic"/>
    </font>
    <font>
      <b val="0"/>
      <i val="0"/>
      <sz val="13"/>
      <color theme="1"/>
      <name val="Century Gothic"/>
    </font>
    <font>
      <b/>
      <i val="0"/>
      <sz val="9"/>
      <color theme="1"/>
      <name val="Arial"/>
    </font>
    <font>
      <b val="0"/>
      <i/>
      <sz val="10"/>
      <color theme="1"/>
      <name val="Arial"/>
    </font>
    <font>
      <b/>
      <i val="0"/>
      <u/>
      <sz val="9"/>
      <color auto="1"/>
      <name val="Arial"/>
    </font>
    <font>
      <b val="0"/>
      <i val="0"/>
      <sz val="9"/>
      <color auto="1"/>
      <name val="Arial"/>
    </font>
    <font>
      <b val="0"/>
      <i val="0"/>
      <sz val="9"/>
      <color rgb="FF000000"/>
      <name val="Arial"/>
    </font>
    <font>
      <b/>
      <i val="0"/>
      <sz val="20"/>
      <color theme="1"/>
      <name val="Century Gothic"/>
    </font>
    <font>
      <b/>
      <i/>
      <sz val="13"/>
      <color theme="1"/>
      <name val="Century Gothic"/>
    </font>
    <font>
      <b val="0"/>
      <i/>
      <sz val="13"/>
      <color theme="1"/>
      <name val="Century Gothic"/>
    </font>
    <font>
      <b val="0"/>
      <i val="0"/>
      <sz val="14"/>
      <color theme="0"/>
      <name val="Century Gothic"/>
    </font>
    <font>
      <b/>
      <i val="0"/>
      <sz val="13"/>
      <color theme="1"/>
      <name val="Century Gothic"/>
    </font>
    <font>
      <b val="0"/>
      <i val="0"/>
      <sz val="13"/>
      <color rgb="FF0000FF"/>
      <name val="Century Gothic"/>
    </font>
    <font>
      <b val="0"/>
      <i val="0"/>
      <sz val="13"/>
      <color auto="1"/>
      <name val="Century Gothic"/>
    </font>
    <font>
      <b/>
      <i val="0"/>
      <u/>
      <sz val="13"/>
      <color theme="1"/>
      <name val="Century Gothic"/>
    </font>
    <font>
      <b/>
      <i/>
      <sz val="13"/>
      <color rgb="FF222222"/>
      <name val="Century Gothic"/>
    </font>
    <font>
      <b val="0"/>
      <i/>
      <sz val="13"/>
      <color rgb="FF0000FF"/>
      <name val="Century Gothic"/>
    </font>
    <font>
      <b val="0"/>
      <i val="0"/>
      <sz val="12"/>
      <color theme="1"/>
      <name val="Century Gothic"/>
    </font>
    <font>
      <b/>
      <i val="0"/>
      <sz val="13"/>
      <color rgb="FF008000"/>
      <name val="Century Gothic"/>
    </font>
    <font>
      <b/>
      <i val="0"/>
      <sz val="12"/>
      <color theme="1"/>
      <name val="Century Gothic"/>
    </font>
    <font>
      <b val="0"/>
      <i val="0"/>
      <sz val="13"/>
      <color rgb="FF008000"/>
      <name val="Century Gothic"/>
    </font>
    <font>
      <b/>
      <i/>
      <sz val="13"/>
      <color rgb="FF008000"/>
      <name val="Century Gothic"/>
    </font>
    <font>
      <b/>
      <i val="0"/>
      <sz val="13"/>
      <color rgb="FF0000FF"/>
      <name val="Century Gothic"/>
    </font>
    <font>
      <b/>
      <i val="0"/>
      <sz val="13"/>
      <color auto="1"/>
      <name val="Century Gothic"/>
    </font>
    <font>
      <b val="0"/>
      <i/>
      <sz val="13"/>
      <color theme="0" tint="-0.25"/>
      <name val="Century Gothic"/>
    </font>
    <font>
      <b/>
      <i val="0"/>
      <sz val="14"/>
      <color auto="1"/>
      <name val="Calibri"/>
    </font>
    <font>
      <b/>
      <i val="0"/>
      <sz val="11"/>
      <color auto="1"/>
      <name val="Calibri"/>
    </font>
    <font>
      <b val="0"/>
      <i val="0"/>
      <sz val="11"/>
      <color auto="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455560"/>
      </patternFill>
    </fill>
    <fill>
      <patternFill patternType="solid">
        <fgColor rgb="FFF47B20"/>
      </patternFill>
    </fill>
    <fill>
      <patternFill patternType="solid">
        <fgColor theme="0" tint="-0.05"/>
      </patternFill>
    </fill>
    <fill>
      <patternFill patternType="solid">
        <fgColor rgb="FFFFFFCC"/>
      </patternFill>
    </fill>
    <fill>
      <patternFill patternType="solid">
        <fgColor theme="0" tint="-0.15"/>
      </patternFill>
    </fill>
    <fill>
      <patternFill patternType="solid">
        <fgColor theme="9" tint="0.8"/>
      </patternFill>
    </fill>
    <fill>
      <patternFill patternType="solid">
        <fgColor rgb="FF000000"/>
      </patternFill>
    </fill>
    <fill>
      <patternFill patternType="mediumGray"/>
    </fill>
    <fill>
      <patternFill patternType="solid">
        <fgColor theme="0" tint="-0.5"/>
      </patternFill>
    </fill>
    <fill>
      <patternFill patternType="solid">
        <fgColor rgb="FF0B3D51"/>
      </patternFill>
    </fill>
    <fill>
      <patternFill patternType="solid">
        <fgColor rgb="FFD6E0EC"/>
      </patternFill>
    </fill>
    <fill>
      <patternFill patternType="solid">
        <fgColor rgb="FFD8EAD8"/>
      </patternFill>
    </fill>
    <fill>
      <patternFill patternType="solid">
        <fgColor rgb="FFF2F8EE"/>
      </patternFill>
    </fill>
    <fill>
      <patternFill patternType="solid">
        <fgColor rgb="FFD9E1F2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417E"/>
      </bottom>
      <diagonal/>
    </border>
    <border>
      <left/>
      <right style="thin">
        <color rgb="FF80808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ashed">
        <color rgb="FF000000"/>
      </bottom>
      <diagonal/>
    </border>
    <border>
      <left style="dashed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 style="dashed">
        <color rgb="FF000000"/>
      </left>
      <right/>
      <top/>
      <bottom style="dashed">
        <color rgb="FF000000"/>
      </bottom>
      <diagonal/>
    </border>
    <border>
      <left/>
      <right style="dashed">
        <color rgb="FF000000"/>
      </right>
      <top/>
      <bottom style="dashed">
        <color rgb="FF000000"/>
      </bottom>
      <diagonal/>
    </border>
    <border>
      <left style="dashed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Dashed">
        <color rgb="FF000000"/>
      </left>
      <right/>
      <top style="mediumDashed">
        <color rgb="FF000000"/>
      </top>
      <bottom style="mediumDashed">
        <color rgb="FF000000"/>
      </bottom>
      <diagonal/>
    </border>
    <border>
      <left/>
      <right/>
      <top style="mediumDashed">
        <color rgb="FF000000"/>
      </top>
      <bottom style="mediumDashed">
        <color rgb="FF000000"/>
      </bottom>
      <diagonal/>
    </border>
    <border>
      <left/>
      <right style="mediumDashed">
        <color rgb="FF000000"/>
      </right>
      <top style="mediumDashed">
        <color rgb="FF000000"/>
      </top>
      <bottom style="mediumDash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 style="dashed">
        <color rgb="FF000000"/>
      </bottom>
      <diagonal/>
    </border>
    <border>
      <left style="thin">
        <color rgb="FF000000"/>
      </left>
      <right/>
      <top/>
      <bottom style="dashed">
        <color rgb="FF000000"/>
      </bottom>
      <diagonal/>
    </border>
    <border>
      <left style="mediumDashed">
        <color rgb="FF000000"/>
      </left>
      <right/>
      <top style="mediumDashed">
        <color rgb="FF000000"/>
      </top>
      <bottom/>
      <diagonal/>
    </border>
    <border>
      <left/>
      <right style="mediumDashed">
        <color rgb="FF000000"/>
      </right>
      <top style="mediumDashed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Dashed">
        <color rgb="FF000000"/>
      </left>
      <right/>
      <top/>
      <bottom style="double">
        <color rgb="FF000000"/>
      </bottom>
      <diagonal/>
    </border>
    <border>
      <left/>
      <right style="mediumDashed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mediumDashed">
        <color rgb="FF000000"/>
      </left>
      <right/>
      <top/>
      <bottom/>
      <diagonal/>
    </border>
    <border>
      <left/>
      <right style="mediumDashed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Dashed">
        <color rgb="FF000000"/>
      </left>
      <right/>
      <top style="thin">
        <color rgb="FF000000"/>
      </top>
      <bottom/>
      <diagonal/>
    </border>
    <border>
      <left/>
      <right style="mediumDashed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Dashed">
        <color rgb="FF000000"/>
      </left>
      <right/>
      <top/>
      <bottom style="mediumDashed">
        <color rgb="FF000000"/>
      </bottom>
      <diagonal/>
    </border>
    <border>
      <left/>
      <right style="mediumDashed">
        <color rgb="FF000000"/>
      </right>
      <top/>
      <bottom style="mediumDashed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mediumDashed">
        <color rgb="FF000000"/>
      </left>
      <right/>
      <top style="thin">
        <color rgb="FF000000"/>
      </top>
      <bottom style="mediumDashed">
        <color rgb="FF000000"/>
      </bottom>
      <diagonal/>
    </border>
    <border>
      <left/>
      <right style="mediumDashed">
        <color rgb="FF000000"/>
      </right>
      <top style="thin">
        <color rgb="FF000000"/>
      </top>
      <bottom style="mediumDashed">
        <color rgb="FF000000"/>
      </bottom>
      <diagonal/>
    </border>
    <border>
      <left/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/>
      <top style="mediumDashed">
        <color rgb="FF000000"/>
      </top>
      <bottom/>
      <diagonal/>
    </border>
    <border>
      <left/>
      <right/>
      <top style="mediumDashed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Dashed">
        <color rgb="FF000000"/>
      </top>
      <bottom/>
      <diagonal/>
    </border>
    <border>
      <left/>
      <right/>
      <top/>
      <bottom style="mediumDashed">
        <color rgb="FF000000"/>
      </bottom>
      <diagonal/>
    </border>
    <border>
      <left/>
      <right style="thin">
        <color rgb="FF000000"/>
      </right>
      <top/>
      <bottom style="mediumDashed">
        <color rgb="FF000000"/>
      </bottom>
      <diagonal/>
    </border>
    <border>
      <left style="dashed">
        <color rgb="FF000000"/>
      </left>
      <right style="dashed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1">
    <xf numFmtId="0" fontId="0" fillId="0" borderId="0"/>
    <xf numFmtId="771831" fontId="1" fillId="0" borderId="0">
      <alignment horizontal="right" vertical="bottom"/>
    </xf>
    <xf numFmtId="771832" fontId="2" fillId="0" borderId="0">
      <alignment horizontal="right" vertical="bottom" indent="1"/>
    </xf>
    <xf numFmtId="771833" fontId="2" fillId="0" borderId="0" applyFont="0" applyFill="0" applyBorder="0" applyAlignment="0" applyProtection="0"/>
    <xf numFmtId="14" fontId="1" fillId="0" borderId="0">
      <alignment horizontal="right" vertical="bottom"/>
    </xf>
    <xf numFmtId="771834" fontId="1" fillId="0" borderId="0">
      <alignment horizontal="right" vertical="bottom" indent="1"/>
    </xf>
    <xf numFmtId="771834" fontId="3" fillId="2" borderId="0">
      <alignment horizontal="right" vertical="bottom" indent="1"/>
    </xf>
    <xf numFmtId="0" fontId="4" fillId="3" borderId="0"/>
    <xf numFmtId="0" fontId="5" fillId="4" borderId="0"/>
    <xf numFmtId="0" fontId="6" fillId="5" borderId="0"/>
    <xf numFmtId="0" fontId="7" fillId="0" borderId="0" applyFill="0" applyBorder="0" applyNumberFormat="0" applyAlignment="0" applyProtection="0">
      <alignment horizontal="general" vertical="top"/>
      <protection locked="0"/>
    </xf>
    <xf numFmtId="10" fontId="3" fillId="6" borderId="1">
      <alignment horizontal="right" vertical="bottom"/>
    </xf>
    <xf numFmtId="14" fontId="3" fillId="6" borderId="1">
      <alignment horizontal="right" vertical="bottom"/>
    </xf>
    <xf numFmtId="771834" fontId="3" fillId="6" borderId="1">
      <alignment horizontal="right" vertical="bottom" indent="1"/>
    </xf>
    <xf numFmtId="771834" fontId="3" fillId="6" borderId="1" applyNumberFormat="0"/>
    <xf numFmtId="771838" fontId="1" fillId="0" borderId="0">
      <alignment horizontal="right" vertical="bottom"/>
    </xf>
    <xf numFmtId="0" fontId="8" fillId="0" borderId="0"/>
    <xf numFmtId="0" fontId="9" fillId="0" borderId="0"/>
    <xf numFmtId="0" fontId="10" fillId="0" borderId="0"/>
    <xf numFmtId="0" fontId="2" fillId="0" borderId="0"/>
    <xf numFmtId="0" fontId="11" fillId="0" borderId="0"/>
    <xf numFmtId="0" fontId="11" fillId="0" borderId="0">
      <alignment horizontal="general" vertical="center"/>
    </xf>
    <xf numFmtId="0" fontId="8" fillId="0" borderId="0">
      <alignment horizontal="general" vertical="center"/>
    </xf>
    <xf numFmtId="771834" fontId="2" fillId="0" borderId="0"/>
    <xf numFmtId="0" fontId="12" fillId="0" borderId="0"/>
    <xf numFmtId="771834" fontId="13" fillId="0" borderId="0">
      <alignment horizontal="right" vertical="bottom" indent="1"/>
    </xf>
    <xf numFmtId="771834" fontId="13" fillId="7" borderId="1">
      <alignment horizontal="right" vertical="bottom" indent="1"/>
    </xf>
    <xf numFmtId="10" fontId="13" fillId="7" borderId="1">
      <alignment horizontal="right" vertical="bottom"/>
    </xf>
    <xf numFmtId="14" fontId="13" fillId="7" borderId="1">
      <alignment horizontal="right" vertical="bottom"/>
    </xf>
    <xf numFmtId="771842" fontId="2" fillId="0" borderId="0"/>
    <xf numFmtId="9" fontId="0" fillId="0" borderId="0" applyFont="0" applyFill="0" applyBorder="0" applyAlignment="0" applyProtection="0"/>
    <xf numFmtId="9" fontId="1" fillId="0" borderId="0" applyFill="0" applyBorder="0" applyAlignment="0" applyProtection="0"/>
    <xf numFmtId="771843" fontId="2" fillId="0" borderId="0">
      <alignment horizontal="left" vertical="bottom" indent="1"/>
    </xf>
    <xf numFmtId="771834" fontId="3" fillId="8" borderId="1">
      <alignment horizontal="right" vertical="bottom" indent="1"/>
    </xf>
    <xf numFmtId="10" fontId="3" fillId="8" borderId="1">
      <alignment horizontal="right" vertical="bottom"/>
    </xf>
    <xf numFmtId="0" fontId="14" fillId="0" borderId="0" applyFill="0" applyBorder="0" applyNumberFormat="0" applyAlignment="0" applyProtection="0"/>
    <xf numFmtId="0" fontId="15" fillId="9" borderId="0" applyBorder="0" applyNumberFormat="0" applyAlignment="0" applyProtection="0"/>
    <xf numFmtId="0" fontId="6" fillId="0" borderId="2"/>
    <xf numFmtId="771834" fontId="16" fillId="7" borderId="1">
      <alignment horizontal="right" vertical="center" indent="1"/>
    </xf>
    <xf numFmtId="0" fontId="2" fillId="10" borderId="1" applyNumberFormat="0"/>
    <xf numFmtId="771846" fontId="2" fillId="0" borderId="0"/>
  </cellStyleXfs>
  <cellXfs count="286">
    <xf numFmtId="0" fontId="0" fillId="0" borderId="0" xfId="0"/>
    <xf numFmtId="0" fontId="0" fillId="0" borderId="0" xfId="0"/>
    <xf numFmtId="0" fontId="17" fillId="11" borderId="0" xfId="20">
      <alignment vertical="center"/>
    </xf>
    <xf numFmtId="0" fontId="18" fillId="11" borderId="0" xfId="20">
      <alignment vertical="center"/>
    </xf>
    <xf numFmtId="0" fontId="19" fillId="0" borderId="3" xfId="20"/>
    <xf numFmtId="771847" fontId="20" fillId="0" borderId="0" xfId="20">
      <alignment horizontal="left" vertical="center"/>
    </xf>
    <xf numFmtId="0" fontId="21" fillId="0" borderId="0" xfId="20">
      <alignment horizontal="left" vertical="center"/>
    </xf>
    <xf numFmtId="0" fontId="22" fillId="0" borderId="0" xfId="20">
      <alignment horizontal="left" vertical="bottom"/>
    </xf>
    <xf numFmtId="0" fontId="22" fillId="0" borderId="0" xfId="20"/>
    <xf numFmtId="0" fontId="19" fillId="0" borderId="0" xfId="20">
      <alignment horizontal="left" vertical="bottom"/>
    </xf>
    <xf numFmtId="0" fontId="11" fillId="0" borderId="0" xfId="20"/>
    <xf numFmtId="0" fontId="23" fillId="0" borderId="0" xfId="20"/>
    <xf numFmtId="0" fontId="24" fillId="0" borderId="0" xfId="21">
      <alignment vertical="center"/>
    </xf>
    <xf numFmtId="0" fontId="19" fillId="0" borderId="0" xfId="21">
      <alignment vertical="center"/>
    </xf>
    <xf numFmtId="0" fontId="25" fillId="0" borderId="0" xfId="21">
      <alignment horizontal="right" vertical="center"/>
    </xf>
    <xf numFmtId="0" fontId="19" fillId="0" borderId="0" xfId="20">
      <alignment horizontal="right" vertical="bottom"/>
    </xf>
    <xf numFmtId="0" fontId="25" fillId="0" borderId="0" xfId="21">
      <alignment vertical="center"/>
    </xf>
    <xf numFmtId="0" fontId="26" fillId="0" borderId="0" xfId="10">
      <alignment vertical="center"/>
    </xf>
    <xf numFmtId="0" fontId="25" fillId="0" borderId="0" xfId="21">
      <alignment horizontal="left" vertical="center"/>
    </xf>
    <xf numFmtId="0" fontId="19" fillId="0" borderId="0" xfId="20"/>
    <xf numFmtId="0" fontId="27" fillId="0" borderId="4" xfId="0">
      <alignment vertical="center"/>
    </xf>
    <xf numFmtId="0" fontId="21" fillId="0" borderId="4" xfId="0">
      <alignment vertical="center"/>
    </xf>
    <xf numFmtId="0" fontId="28" fillId="0" borderId="0" xfId="0">
      <alignment horizontal="left" vertical="center" indent="1"/>
    </xf>
    <xf numFmtId="0" fontId="29" fillId="0" borderId="0" xfId="0">
      <alignment horizontal="right" vertical="center"/>
    </xf>
    <xf numFmtId="0" fontId="29" fillId="0" borderId="0" xfId="0">
      <alignment vertical="center"/>
    </xf>
    <xf numFmtId="0" fontId="21" fillId="0" borderId="0" xfId="0">
      <alignment horizontal="center" vertical="center"/>
    </xf>
    <xf numFmtId="0" fontId="30" fillId="12" borderId="0" xfId="0">
      <alignment vertical="center"/>
    </xf>
    <xf numFmtId="0" fontId="0" fillId="0" borderId="0" xfId="0"/>
    <xf numFmtId="771848" fontId="31" fillId="13" borderId="4" xfId="0">
      <alignment vertical="center"/>
    </xf>
    <xf numFmtId="14" fontId="21" fillId="0" borderId="0" xfId="0">
      <alignment vertical="center"/>
    </xf>
    <xf numFmtId="0" fontId="21" fillId="0" borderId="0" xfId="0" quotePrefix="1">
      <alignment horizontal="center" vertical="center" wrapText="1"/>
    </xf>
    <xf numFmtId="0" fontId="21" fillId="0" borderId="5" xfId="0">
      <alignment vertical="center"/>
    </xf>
    <xf numFmtId="771849" fontId="21" fillId="0" borderId="5" xfId="0">
      <alignment vertical="center"/>
    </xf>
    <xf numFmtId="0" fontId="21" fillId="0" borderId="5" xfId="0" quotePrefix="1">
      <alignment horizontal="center" vertical="center" wrapText="1"/>
    </xf>
    <xf numFmtId="0" fontId="21" fillId="0" borderId="0" xfId="0">
      <alignment vertical="center"/>
    </xf>
    <xf numFmtId="771850" fontId="32" fillId="0" borderId="0" xfId="0">
      <alignment vertical="center"/>
    </xf>
    <xf numFmtId="771851" fontId="29" fillId="0" borderId="0" xfId="0">
      <alignment horizontal="center" vertical="center"/>
    </xf>
    <xf numFmtId="771852" fontId="32" fillId="0" borderId="0" xfId="0">
      <alignment vertical="center"/>
    </xf>
    <xf numFmtId="0" fontId="31" fillId="0" borderId="6" xfId="0">
      <alignment vertical="center"/>
    </xf>
    <xf numFmtId="0" fontId="21" fillId="0" borderId="6" xfId="0">
      <alignment vertical="center"/>
    </xf>
    <xf numFmtId="771850" fontId="31" fillId="0" borderId="6" xfId="0">
      <alignment vertical="center"/>
    </xf>
    <xf numFmtId="771851" fontId="28" fillId="0" borderId="6" xfId="0">
      <alignment horizontal="center" vertical="center"/>
    </xf>
    <xf numFmtId="771855" fontId="21" fillId="0" borderId="0" xfId="0">
      <alignment vertical="center"/>
    </xf>
    <xf numFmtId="0" fontId="29" fillId="0" borderId="0" xfId="0">
      <alignment horizontal="left" vertical="center" indent="1"/>
    </xf>
    <xf numFmtId="771851" fontId="29" fillId="0" borderId="0" xfId="0">
      <alignment vertical="center"/>
    </xf>
    <xf numFmtId="0" fontId="33" fillId="0" borderId="0" xfId="0">
      <alignment horizontal="left" vertical="center"/>
    </xf>
    <xf numFmtId="771850" fontId="31" fillId="0" borderId="0" xfId="0">
      <alignment vertical="center"/>
    </xf>
    <xf numFmtId="0" fontId="31" fillId="14" borderId="6" xfId="0">
      <alignment vertical="center"/>
    </xf>
    <xf numFmtId="0" fontId="21" fillId="14" borderId="6" xfId="0">
      <alignment vertical="center"/>
    </xf>
    <xf numFmtId="771850" fontId="31" fillId="14" borderId="6" xfId="0">
      <alignment vertical="center"/>
    </xf>
    <xf numFmtId="771851" fontId="28" fillId="14" borderId="6" xfId="0">
      <alignment horizontal="center" vertical="center"/>
    </xf>
    <xf numFmtId="771850" fontId="21" fillId="0" borderId="0" xfId="0">
      <alignment vertical="center"/>
    </xf>
    <xf numFmtId="0" fontId="31" fillId="0" borderId="7" xfId="0">
      <alignment vertical="center"/>
    </xf>
    <xf numFmtId="0" fontId="21" fillId="0" borderId="7" xfId="0">
      <alignment vertical="center"/>
    </xf>
    <xf numFmtId="0" fontId="31" fillId="0" borderId="0" xfId="0">
      <alignment vertical="center"/>
    </xf>
    <xf numFmtId="771850" fontId="33" fillId="0" borderId="0" xfId="0">
      <alignment vertical="center"/>
    </xf>
    <xf numFmtId="771862" fontId="21" fillId="0" borderId="0" xfId="0">
      <alignment vertical="center"/>
    </xf>
    <xf numFmtId="0" fontId="34" fillId="0" borderId="0" xfId="0">
      <alignment vertical="center"/>
    </xf>
    <xf numFmtId="771852" fontId="21" fillId="0" borderId="0" xfId="0">
      <alignment vertical="center"/>
    </xf>
    <xf numFmtId="0" fontId="31" fillId="7" borderId="8" xfId="0">
      <alignment vertical="center"/>
    </xf>
    <xf numFmtId="0" fontId="21" fillId="7" borderId="9" xfId="0">
      <alignment vertical="center"/>
    </xf>
    <xf numFmtId="771850" fontId="31" fillId="7" borderId="9" xfId="0">
      <alignment vertical="center"/>
    </xf>
    <xf numFmtId="0" fontId="21" fillId="7" borderId="10" xfId="0">
      <alignment vertical="center"/>
    </xf>
    <xf numFmtId="0" fontId="35" fillId="7" borderId="11" xfId="0">
      <alignment horizontal="left" vertical="center" indent="1"/>
    </xf>
    <xf numFmtId="0" fontId="21" fillId="7" borderId="7" xfId="0">
      <alignment vertical="center"/>
    </xf>
    <xf numFmtId="771850" fontId="36" fillId="7" borderId="7" xfId="0">
      <alignment vertical="center"/>
    </xf>
    <xf numFmtId="771850" fontId="29" fillId="7" borderId="7" xfId="0">
      <alignment vertical="center"/>
    </xf>
    <xf numFmtId="0" fontId="21" fillId="7" borderId="12" xfId="0">
      <alignment vertical="center"/>
    </xf>
    <xf numFmtId="771849" fontId="21" fillId="0" borderId="0" xfId="0">
      <alignment vertical="center"/>
    </xf>
    <xf numFmtId="771850" fontId="21" fillId="0" borderId="6" xfId="0">
      <alignment vertical="center"/>
    </xf>
    <xf numFmtId="0" fontId="28" fillId="7" borderId="13" xfId="0">
      <alignment vertical="center"/>
    </xf>
    <xf numFmtId="0" fontId="21" fillId="7" borderId="14" xfId="0">
      <alignment vertical="center"/>
    </xf>
    <xf numFmtId="771850" fontId="28" fillId="7" borderId="14" xfId="0">
      <alignment vertical="center"/>
    </xf>
    <xf numFmtId="0" fontId="21" fillId="7" borderId="15" xfId="0">
      <alignment vertical="center"/>
    </xf>
    <xf numFmtId="0" fontId="37" fillId="0" borderId="0" xfId="24">
      <alignment vertical="center"/>
    </xf>
    <xf numFmtId="0" fontId="12" fillId="0" borderId="0" xfId="24"/>
    <xf numFmtId="771852" fontId="38" fillId="15" borderId="16" xfId="0">
      <alignment horizontal="center" vertical="center"/>
    </xf>
    <xf numFmtId="0" fontId="39" fillId="0" borderId="17" xfId="24">
      <alignment horizontal="center" vertical="center"/>
    </xf>
    <xf numFmtId="771871" fontId="21" fillId="0" borderId="5" xfId="0">
      <alignment vertical="center"/>
    </xf>
    <xf numFmtId="771850" fontId="40" fillId="0" borderId="0" xfId="0">
      <alignment vertical="center"/>
    </xf>
    <xf numFmtId="0" fontId="21" fillId="0" borderId="0" xfId="0">
      <alignment horizontal="left" vertical="center" indent="1"/>
    </xf>
    <xf numFmtId="771851" fontId="21" fillId="0" borderId="0" xfId="0">
      <alignment vertical="center"/>
    </xf>
    <xf numFmtId="0" fontId="31" fillId="7" borderId="18" xfId="0">
      <alignment vertical="center"/>
    </xf>
    <xf numFmtId="0" fontId="21" fillId="7" borderId="19" xfId="0">
      <alignment vertical="center"/>
    </xf>
    <xf numFmtId="771851" fontId="21" fillId="7" borderId="19" xfId="0">
      <alignment horizontal="center" vertical="center"/>
    </xf>
    <xf numFmtId="771851" fontId="31" fillId="7" borderId="19" xfId="0">
      <alignment horizontal="center" vertical="center"/>
    </xf>
    <xf numFmtId="771851" fontId="31" fillId="7" borderId="19" xfId="0">
      <alignment horizontal="right" vertical="center"/>
    </xf>
    <xf numFmtId="771851" fontId="31" fillId="7" borderId="20" xfId="0">
      <alignment horizontal="right" vertical="center"/>
    </xf>
    <xf numFmtId="0" fontId="21" fillId="0" borderId="0" xfId="0">
      <alignment horizontal="right" vertical="center"/>
    </xf>
    <xf numFmtId="771851" fontId="32" fillId="15" borderId="16" xfId="0">
      <alignment horizontal="right" vertical="center"/>
    </xf>
    <xf numFmtId="0" fontId="21" fillId="7" borderId="8" xfId="0">
      <alignment vertical="center"/>
    </xf>
    <xf numFmtId="771850" fontId="21" fillId="7" borderId="9" xfId="0">
      <alignment vertical="center"/>
    </xf>
    <xf numFmtId="771850" fontId="21" fillId="7" borderId="10" xfId="0">
      <alignment vertical="center"/>
    </xf>
    <xf numFmtId="0" fontId="21" fillId="7" borderId="11" xfId="0">
      <alignment vertical="center"/>
    </xf>
    <xf numFmtId="771850" fontId="21" fillId="7" borderId="7" xfId="0">
      <alignment vertical="center"/>
    </xf>
    <xf numFmtId="771850" fontId="21" fillId="7" borderId="12" xfId="0">
      <alignment vertical="center"/>
    </xf>
    <xf numFmtId="771852" fontId="40" fillId="0" borderId="0" xfId="0">
      <alignment vertical="center"/>
    </xf>
    <xf numFmtId="771852" fontId="33" fillId="0" borderId="0" xfId="0">
      <alignment vertical="center"/>
    </xf>
    <xf numFmtId="771850" fontId="31" fillId="7" borderId="10" xfId="0">
      <alignment vertical="center"/>
    </xf>
    <xf numFmtId="771850" fontId="41" fillId="7" borderId="7" xfId="0">
      <alignment vertical="center"/>
    </xf>
    <xf numFmtId="771850" fontId="28" fillId="7" borderId="7" xfId="0">
      <alignment vertical="center"/>
    </xf>
    <xf numFmtId="771850" fontId="28" fillId="7" borderId="12" xfId="0">
      <alignment vertical="center"/>
    </xf>
    <xf numFmtId="0" fontId="21" fillId="0" borderId="21" xfId="0">
      <alignment vertical="center"/>
    </xf>
    <xf numFmtId="771852" fontId="32" fillId="15" borderId="16" xfId="0">
      <alignment horizontal="right" vertical="center"/>
    </xf>
    <xf numFmtId="771852" fontId="42" fillId="15" borderId="16" xfId="0">
      <alignment horizontal="center" vertical="center"/>
    </xf>
    <xf numFmtId="0" fontId="21" fillId="0" borderId="0" xfId="0">
      <alignment horizontal="left" vertical="center"/>
    </xf>
    <xf numFmtId="771851" fontId="32" fillId="15" borderId="16" xfId="0">
      <alignment horizontal="center" vertical="center"/>
    </xf>
    <xf numFmtId="771892" fontId="32" fillId="15" borderId="16" xfId="0">
      <alignment horizontal="center" vertical="center"/>
    </xf>
    <xf numFmtId="14" fontId="32" fillId="15" borderId="16" xfId="0">
      <alignment horizontal="center" vertical="center"/>
    </xf>
    <xf numFmtId="771893" fontId="32" fillId="15" borderId="16" xfId="0">
      <alignment horizontal="center" vertical="center"/>
    </xf>
    <xf numFmtId="771850" fontId="40" fillId="0" borderId="16" xfId="0">
      <alignment horizontal="center" vertical="center"/>
    </xf>
    <xf numFmtId="771850" fontId="21" fillId="0" borderId="0" xfId="0">
      <alignment horizontal="center" vertical="center"/>
    </xf>
    <xf numFmtId="771892" fontId="32" fillId="15" borderId="22" xfId="0">
      <alignment horizontal="center" vertical="center"/>
    </xf>
    <xf numFmtId="0" fontId="33" fillId="0" borderId="0" xfId="0">
      <alignment horizontal="left" vertical="center" indent="1"/>
    </xf>
    <xf numFmtId="771852" fontId="33" fillId="0" borderId="16" xfId="0">
      <alignment horizontal="center" vertical="center"/>
    </xf>
    <xf numFmtId="771852" fontId="21" fillId="0" borderId="0" xfId="0">
      <alignment horizontal="center" vertical="center"/>
    </xf>
    <xf numFmtId="0" fontId="31" fillId="0" borderId="6" xfId="0">
      <alignment horizontal="left" vertical="center" indent="1"/>
    </xf>
    <xf numFmtId="771850" fontId="31" fillId="0" borderId="6" xfId="0">
      <alignment horizontal="center" vertical="center"/>
    </xf>
    <xf numFmtId="771852" fontId="40" fillId="0" borderId="16" xfId="0">
      <alignment horizontal="center" vertical="center"/>
    </xf>
    <xf numFmtId="0" fontId="43" fillId="0" borderId="6" xfId="0">
      <alignment horizontal="left" vertical="center" indent="1"/>
    </xf>
    <xf numFmtId="771850" fontId="31" fillId="0" borderId="0" xfId="0">
      <alignment horizontal="center" vertical="center"/>
    </xf>
    <xf numFmtId="771902" fontId="32" fillId="15" borderId="16" xfId="23">
      <alignment horizontal="center" vertical="center"/>
    </xf>
    <xf numFmtId="0" fontId="31" fillId="0" borderId="0" xfId="0">
      <alignment horizontal="left" vertical="center" wrapText="1"/>
    </xf>
    <xf numFmtId="0" fontId="31" fillId="0" borderId="0" xfId="0">
      <alignment horizontal="right" vertical="center" wrapText="1"/>
    </xf>
    <xf numFmtId="0" fontId="31" fillId="0" borderId="4" xfId="0">
      <alignment horizontal="left" vertical="center" wrapText="1"/>
    </xf>
    <xf numFmtId="0" fontId="31" fillId="0" borderId="4" xfId="0">
      <alignment horizontal="right" vertical="center" wrapText="1"/>
    </xf>
    <xf numFmtId="0" fontId="31" fillId="0" borderId="0" xfId="0">
      <alignment horizontal="center" vertical="center" wrapText="1"/>
    </xf>
    <xf numFmtId="771892" fontId="21" fillId="0" borderId="0" xfId="0">
      <alignment vertical="center"/>
    </xf>
    <xf numFmtId="771851" fontId="31" fillId="14" borderId="6" xfId="0">
      <alignment vertical="center"/>
    </xf>
    <xf numFmtId="771892" fontId="31" fillId="14" borderId="6" xfId="0">
      <alignment vertical="center"/>
    </xf>
    <xf numFmtId="0" fontId="21" fillId="0" borderId="0" xfId="0">
      <alignment horizontal="center" vertical="center" wrapText="1"/>
    </xf>
    <xf numFmtId="0" fontId="21" fillId="0" borderId="5" xfId="0">
      <alignment horizontal="center" vertical="center" wrapText="1"/>
    </xf>
    <xf numFmtId="771850" fontId="33" fillId="0" borderId="22" xfId="0">
      <alignment horizontal="center" vertical="center"/>
    </xf>
    <xf numFmtId="771907" fontId="32" fillId="15" borderId="16" xfId="0">
      <alignment horizontal="center" vertical="center"/>
    </xf>
    <xf numFmtId="771908" fontId="32" fillId="15" borderId="16" xfId="16">
      <alignment horizontal="center" vertical="center"/>
    </xf>
    <xf numFmtId="14" fontId="21" fillId="0" borderId="16" xfId="0">
      <alignment horizontal="center" vertical="center"/>
    </xf>
    <xf numFmtId="14" fontId="21" fillId="0" borderId="0" xfId="0">
      <alignment horizontal="center" vertical="center"/>
    </xf>
    <xf numFmtId="771892" fontId="33" fillId="0" borderId="22" xfId="0">
      <alignment horizontal="center" vertical="center"/>
    </xf>
    <xf numFmtId="771907" fontId="32" fillId="15" borderId="22" xfId="0">
      <alignment horizontal="center" vertical="center"/>
    </xf>
    <xf numFmtId="771908" fontId="32" fillId="15" borderId="22" xfId="16">
      <alignment horizontal="center" vertical="center"/>
    </xf>
    <xf numFmtId="771851" fontId="32" fillId="15" borderId="22" xfId="0">
      <alignment horizontal="center" vertical="center"/>
    </xf>
    <xf numFmtId="14" fontId="21" fillId="0" borderId="22" xfId="0">
      <alignment horizontal="center" vertical="center"/>
    </xf>
    <xf numFmtId="771902" fontId="32" fillId="15" borderId="22" xfId="23">
      <alignment horizontal="center" vertical="center"/>
    </xf>
    <xf numFmtId="771892" fontId="31" fillId="0" borderId="6" xfId="0">
      <alignment horizontal="center" vertical="center"/>
    </xf>
    <xf numFmtId="771850" fontId="32" fillId="15" borderId="16" xfId="0">
      <alignment horizontal="center" vertical="center"/>
    </xf>
    <xf numFmtId="0" fontId="21" fillId="0" borderId="7" xfId="0">
      <alignment horizontal="center" vertical="center"/>
    </xf>
    <xf numFmtId="0" fontId="21" fillId="0" borderId="23" xfId="0">
      <alignment horizontal="center" vertical="center"/>
    </xf>
    <xf numFmtId="0" fontId="21" fillId="0" borderId="24" xfId="0">
      <alignment horizontal="center" vertical="center"/>
    </xf>
    <xf numFmtId="0" fontId="21" fillId="7" borderId="25" xfId="0" quotePrefix="1">
      <alignment horizontal="center" vertical="center" wrapText="1"/>
    </xf>
    <xf numFmtId="0" fontId="21" fillId="7" borderId="26" xfId="0" quotePrefix="1">
      <alignment horizontal="center" vertical="center" wrapText="1"/>
    </xf>
    <xf numFmtId="14" fontId="21" fillId="0" borderId="27" xfId="0">
      <alignment vertical="center"/>
    </xf>
    <xf numFmtId="0" fontId="21" fillId="7" borderId="28" xfId="0" quotePrefix="1">
      <alignment horizontal="center" vertical="center" wrapText="1"/>
    </xf>
    <xf numFmtId="0" fontId="21" fillId="7" borderId="29" xfId="0" quotePrefix="1">
      <alignment horizontal="center" vertical="center" wrapText="1"/>
    </xf>
    <xf numFmtId="771849" fontId="21" fillId="0" borderId="30" xfId="0">
      <alignment vertical="center"/>
    </xf>
    <xf numFmtId="0" fontId="21" fillId="7" borderId="31" xfId="0">
      <alignment vertical="center"/>
    </xf>
    <xf numFmtId="0" fontId="21" fillId="7" borderId="32" xfId="0">
      <alignment vertical="center"/>
    </xf>
    <xf numFmtId="0" fontId="21" fillId="0" borderId="27" xfId="0">
      <alignment vertical="center"/>
    </xf>
    <xf numFmtId="771850" fontId="21" fillId="7" borderId="31" xfId="0">
      <alignment horizontal="center" vertical="center"/>
    </xf>
    <xf numFmtId="771851" fontId="21" fillId="7" borderId="32" xfId="0">
      <alignment horizontal="center" vertical="center"/>
    </xf>
    <xf numFmtId="771850" fontId="40" fillId="0" borderId="27" xfId="0">
      <alignment vertical="center"/>
    </xf>
    <xf numFmtId="771852" fontId="21" fillId="7" borderId="31" xfId="0">
      <alignment horizontal="center" vertical="center"/>
    </xf>
    <xf numFmtId="771852" fontId="40" fillId="0" borderId="33" xfId="0">
      <alignment vertical="center"/>
    </xf>
    <xf numFmtId="771850" fontId="31" fillId="7" borderId="34" xfId="0">
      <alignment horizontal="center" vertical="center"/>
    </xf>
    <xf numFmtId="771851" fontId="31" fillId="7" borderId="35" xfId="0">
      <alignment horizontal="center" vertical="center"/>
    </xf>
    <xf numFmtId="771850" fontId="31" fillId="0" borderId="36" xfId="0">
      <alignment vertical="center"/>
    </xf>
    <xf numFmtId="771851" fontId="29" fillId="0" borderId="27" xfId="0">
      <alignment vertical="center"/>
    </xf>
    <xf numFmtId="771852" fontId="40" fillId="0" borderId="27" xfId="0">
      <alignment vertical="center"/>
    </xf>
    <xf numFmtId="771850" fontId="31" fillId="0" borderId="37" xfId="0">
      <alignment vertical="center"/>
    </xf>
    <xf numFmtId="771851" fontId="29" fillId="7" borderId="31" xfId="0">
      <alignment horizontal="center" vertical="center"/>
    </xf>
    <xf numFmtId="1" fontId="21" fillId="7" borderId="32" xfId="0">
      <alignment vertical="center"/>
    </xf>
    <xf numFmtId="771850" fontId="31" fillId="14" borderId="37" xfId="0">
      <alignment vertical="center"/>
    </xf>
    <xf numFmtId="771852" fontId="32" fillId="0" borderId="27" xfId="0">
      <alignment vertical="center"/>
    </xf>
    <xf numFmtId="771852" fontId="32" fillId="0" borderId="33" xfId="0">
      <alignment vertical="center"/>
    </xf>
    <xf numFmtId="0" fontId="21" fillId="7" borderId="35" xfId="0">
      <alignment vertical="center"/>
    </xf>
    <xf numFmtId="771851" fontId="29" fillId="7" borderId="38" xfId="0">
      <alignment horizontal="center" vertical="center"/>
    </xf>
    <xf numFmtId="0" fontId="21" fillId="7" borderId="39" xfId="0">
      <alignment vertical="center"/>
    </xf>
    <xf numFmtId="0" fontId="21" fillId="0" borderId="40" xfId="0">
      <alignment vertical="center"/>
    </xf>
    <xf numFmtId="771850" fontId="21" fillId="0" borderId="27" xfId="0">
      <alignment vertical="center"/>
    </xf>
    <xf numFmtId="771852" fontId="21" fillId="0" borderId="27" xfId="0">
      <alignment vertical="center"/>
    </xf>
    <xf numFmtId="771852" fontId="33" fillId="0" borderId="27" xfId="0">
      <alignment vertical="center"/>
    </xf>
    <xf numFmtId="771850" fontId="31" fillId="7" borderId="41" xfId="0">
      <alignment horizontal="center" vertical="center"/>
    </xf>
    <xf numFmtId="0" fontId="21" fillId="7" borderId="42" xfId="0">
      <alignment vertical="center"/>
    </xf>
    <xf numFmtId="0" fontId="28" fillId="14" borderId="13" xfId="0">
      <alignment vertical="center"/>
    </xf>
    <xf numFmtId="0" fontId="21" fillId="14" borderId="14" xfId="0">
      <alignment vertical="center"/>
    </xf>
    <xf numFmtId="771850" fontId="28" fillId="14" borderId="14" xfId="0">
      <alignment vertical="center"/>
    </xf>
    <xf numFmtId="771850" fontId="28" fillId="14" borderId="43" xfId="0">
      <alignment vertical="center"/>
    </xf>
    <xf numFmtId="771850" fontId="28" fillId="14" borderId="15" xfId="0">
      <alignment vertical="center"/>
    </xf>
    <xf numFmtId="771850" fontId="31" fillId="7" borderId="44" xfId="0">
      <alignment vertical="center"/>
    </xf>
    <xf numFmtId="0" fontId="29" fillId="7" borderId="11" xfId="0">
      <alignment horizontal="left" vertical="center" indent="1"/>
    </xf>
    <xf numFmtId="771851" fontId="29" fillId="7" borderId="7" xfId="0">
      <alignment vertical="center"/>
    </xf>
    <xf numFmtId="771851" fontId="29" fillId="7" borderId="23" xfId="0">
      <alignment vertical="center"/>
    </xf>
    <xf numFmtId="771851" fontId="29" fillId="7" borderId="12" xfId="0">
      <alignment vertical="center"/>
    </xf>
    <xf numFmtId="14" fontId="21" fillId="0" borderId="9" xfId="0">
      <alignment vertical="center"/>
    </xf>
    <xf numFmtId="14" fontId="31" fillId="0" borderId="9" xfId="0">
      <alignment horizontal="center" vertical="center"/>
    </xf>
    <xf numFmtId="0" fontId="31" fillId="0" borderId="5" xfId="0" quotePrefix="1">
      <alignment horizontal="center" vertical="center" wrapText="1"/>
    </xf>
    <xf numFmtId="771944" fontId="21" fillId="0" borderId="5" xfId="0">
      <alignment vertical="center"/>
    </xf>
    <xf numFmtId="771944" fontId="21" fillId="0" borderId="30" xfId="0">
      <alignment vertical="center"/>
    </xf>
    <xf numFmtId="0" fontId="31" fillId="0" borderId="23" xfId="0">
      <alignment vertical="center"/>
    </xf>
    <xf numFmtId="771946" fontId="21" fillId="0" borderId="0" xfId="0">
      <alignment vertical="center"/>
    </xf>
    <xf numFmtId="771946" fontId="21" fillId="0" borderId="40" xfId="0">
      <alignment vertical="center"/>
    </xf>
    <xf numFmtId="771946" fontId="21" fillId="0" borderId="27" xfId="0">
      <alignment vertical="center"/>
    </xf>
    <xf numFmtId="771946" fontId="21" fillId="0" borderId="37" xfId="0">
      <alignment vertical="center"/>
    </xf>
    <xf numFmtId="0" fontId="31" fillId="0" borderId="5" xfId="0">
      <alignment vertical="center"/>
    </xf>
    <xf numFmtId="0" fontId="21" fillId="0" borderId="4" xfId="0">
      <alignment horizontal="right" vertical="center"/>
    </xf>
    <xf numFmtId="0" fontId="31" fillId="0" borderId="4" xfId="0">
      <alignment horizontal="right" vertical="center"/>
    </xf>
    <xf numFmtId="771907" fontId="21" fillId="0" borderId="0" xfId="0">
      <alignment vertical="center"/>
    </xf>
    <xf numFmtId="0" fontId="31" fillId="0" borderId="0" xfId="0">
      <alignment horizontal="left" vertical="center" indent="1"/>
    </xf>
    <xf numFmtId="0" fontId="34" fillId="0" borderId="0" xfId="0">
      <alignment horizontal="left" vertical="center"/>
    </xf>
    <xf numFmtId="771907" fontId="32" fillId="15" borderId="16" xfId="0">
      <alignment horizontal="right" vertical="center"/>
    </xf>
    <xf numFmtId="771908" fontId="21" fillId="0" borderId="0" xfId="0">
      <alignment vertical="center"/>
    </xf>
    <xf numFmtId="771907" fontId="21" fillId="0" borderId="0" xfId="0">
      <alignment horizontal="right" vertical="center"/>
    </xf>
    <xf numFmtId="771871" fontId="21" fillId="0" borderId="0" xfId="0">
      <alignment vertical="center"/>
    </xf>
    <xf numFmtId="771871" fontId="21" fillId="0" borderId="27" xfId="0">
      <alignment vertical="center"/>
    </xf>
    <xf numFmtId="0" fontId="31" fillId="14" borderId="25" xfId="0">
      <alignment horizontal="left" vertical="center"/>
    </xf>
    <xf numFmtId="0" fontId="21" fillId="14" borderId="45" xfId="0">
      <alignment vertical="center"/>
    </xf>
    <xf numFmtId="0" fontId="31" fillId="14" borderId="46" xfId="0">
      <alignment horizontal="center" vertical="center"/>
    </xf>
    <xf numFmtId="771946" fontId="21" fillId="14" borderId="47" xfId="0">
      <alignment vertical="center"/>
    </xf>
    <xf numFmtId="0" fontId="21" fillId="14" borderId="26" xfId="0">
      <alignment vertical="center"/>
    </xf>
    <xf numFmtId="0" fontId="31" fillId="14" borderId="31" xfId="0">
      <alignment horizontal="left" vertical="center"/>
    </xf>
    <xf numFmtId="0" fontId="21" fillId="14" borderId="0" xfId="0">
      <alignment vertical="center"/>
    </xf>
    <xf numFmtId="0" fontId="31" fillId="14" borderId="0" xfId="0">
      <alignment horizontal="center" vertical="center"/>
    </xf>
    <xf numFmtId="771946" fontId="21" fillId="14" borderId="27" xfId="0">
      <alignment vertical="center"/>
    </xf>
    <xf numFmtId="0" fontId="21" fillId="14" borderId="32" xfId="0">
      <alignment vertical="center"/>
    </xf>
    <xf numFmtId="0" fontId="21" fillId="14" borderId="31" xfId="0">
      <alignment horizontal="left" vertical="center" indent="1"/>
    </xf>
    <xf numFmtId="771892" fontId="21" fillId="14" borderId="0" xfId="0">
      <alignment horizontal="center" vertical="center"/>
    </xf>
    <xf numFmtId="771892" fontId="21" fillId="14" borderId="0" xfId="0">
      <alignment vertical="center"/>
    </xf>
    <xf numFmtId="771892" fontId="21" fillId="14" borderId="32" xfId="0">
      <alignment vertical="center"/>
    </xf>
    <xf numFmtId="771892" fontId="21" fillId="14" borderId="27" xfId="0">
      <alignment vertical="center"/>
    </xf>
    <xf numFmtId="771851" fontId="21" fillId="14" borderId="0" xfId="0">
      <alignment horizontal="center" vertical="center"/>
    </xf>
    <xf numFmtId="771851" fontId="21" fillId="14" borderId="0" xfId="0">
      <alignment vertical="center"/>
    </xf>
    <xf numFmtId="771851" fontId="21" fillId="14" borderId="32" xfId="0">
      <alignment vertical="center"/>
    </xf>
    <xf numFmtId="0" fontId="21" fillId="14" borderId="38" xfId="0">
      <alignment horizontal="left" vertical="center" indent="1"/>
    </xf>
    <xf numFmtId="0" fontId="21" fillId="14" borderId="48" xfId="0">
      <alignment vertical="center"/>
    </xf>
    <xf numFmtId="771892" fontId="21" fillId="14" borderId="48" xfId="0">
      <alignment horizontal="center" vertical="center"/>
    </xf>
    <xf numFmtId="771946" fontId="21" fillId="14" borderId="49" xfId="0">
      <alignment vertical="center"/>
    </xf>
    <xf numFmtId="771892" fontId="21" fillId="14" borderId="48" xfId="0">
      <alignment vertical="center"/>
    </xf>
    <xf numFmtId="771892" fontId="21" fillId="14" borderId="39" xfId="0">
      <alignment vertical="center"/>
    </xf>
    <xf numFmtId="0" fontId="21" fillId="0" borderId="6" xfId="0">
      <alignment horizontal="left" vertical="center" indent="1"/>
    </xf>
    <xf numFmtId="0" fontId="21" fillId="0" borderId="27" xfId="0">
      <alignment horizontal="center" vertical="center"/>
    </xf>
    <xf numFmtId="14" fontId="21" fillId="0" borderId="0" xfId="0">
      <alignment horizontal="right" vertical="center" wrapText="1"/>
    </xf>
    <xf numFmtId="14" fontId="21" fillId="0" borderId="27" xfId="0">
      <alignment horizontal="right" vertical="center" wrapText="1"/>
    </xf>
    <xf numFmtId="14" fontId="21" fillId="0" borderId="5" xfId="0">
      <alignment horizontal="right" vertical="center" wrapText="1"/>
    </xf>
    <xf numFmtId="14" fontId="21" fillId="0" borderId="30" xfId="0">
      <alignment horizontal="right" vertical="center" wrapText="1"/>
    </xf>
    <xf numFmtId="771902" fontId="21" fillId="0" borderId="0" xfId="0">
      <alignment vertical="center"/>
    </xf>
    <xf numFmtId="771902" fontId="31" fillId="0" borderId="6" xfId="0">
      <alignment vertical="center"/>
    </xf>
    <xf numFmtId="771892" fontId="21" fillId="0" borderId="27" xfId="0">
      <alignment vertical="center"/>
    </xf>
    <xf numFmtId="771850" fontId="31" fillId="0" borderId="27" xfId="0">
      <alignment vertical="center"/>
    </xf>
    <xf numFmtId="0" fontId="31" fillId="14" borderId="8" xfId="0">
      <alignment horizontal="left" vertical="center" indent="1"/>
    </xf>
    <xf numFmtId="0" fontId="21" fillId="14" borderId="9" xfId="0">
      <alignment vertical="center"/>
    </xf>
    <xf numFmtId="0" fontId="21" fillId="14" borderId="44" xfId="0">
      <alignment vertical="center"/>
    </xf>
    <xf numFmtId="771850" fontId="31" fillId="14" borderId="9" xfId="0">
      <alignment vertical="center"/>
    </xf>
    <xf numFmtId="771850" fontId="31" fillId="14" borderId="10" xfId="0">
      <alignment vertical="center"/>
    </xf>
    <xf numFmtId="0" fontId="21" fillId="14" borderId="11" xfId="0">
      <alignment horizontal="left" vertical="center" indent="1"/>
    </xf>
    <xf numFmtId="0" fontId="21" fillId="14" borderId="7" xfId="0">
      <alignment vertical="center"/>
    </xf>
    <xf numFmtId="0" fontId="21" fillId="14" borderId="23" xfId="0">
      <alignment vertical="center"/>
    </xf>
    <xf numFmtId="771850" fontId="21" fillId="14" borderId="7" xfId="0">
      <alignment vertical="center"/>
    </xf>
    <xf numFmtId="771850" fontId="21" fillId="14" borderId="12" xfId="0">
      <alignment vertical="center"/>
    </xf>
    <xf numFmtId="14" fontId="21" fillId="0" borderId="30" xfId="0">
      <alignment vertical="center"/>
    </xf>
    <xf numFmtId="14" fontId="21" fillId="0" borderId="5" xfId="0">
      <alignment vertical="center"/>
    </xf>
    <xf numFmtId="0" fontId="43" fillId="0" borderId="50" xfId="16">
      <alignment horizontal="center" vertical="center" textRotation="90" wrapText="1"/>
    </xf>
    <xf numFmtId="0" fontId="21" fillId="14" borderId="25" xfId="0">
      <alignment vertical="center"/>
    </xf>
    <xf numFmtId="0" fontId="31" fillId="14" borderId="45" xfId="0">
      <alignment horizontal="right" vertical="center"/>
    </xf>
    <xf numFmtId="0" fontId="31" fillId="14" borderId="47" xfId="0">
      <alignment horizontal="right" vertical="center"/>
    </xf>
    <xf numFmtId="771851" fontId="31" fillId="14" borderId="45" xfId="0">
      <alignment vertical="center"/>
    </xf>
    <xf numFmtId="771851" fontId="31" fillId="14" borderId="26" xfId="0">
      <alignment vertical="center"/>
    </xf>
    <xf numFmtId="0" fontId="21" fillId="14" borderId="38" xfId="0">
      <alignment vertical="center"/>
    </xf>
    <xf numFmtId="0" fontId="31" fillId="14" borderId="48" xfId="0">
      <alignment horizontal="right" vertical="center"/>
    </xf>
    <xf numFmtId="0" fontId="31" fillId="14" borderId="49" xfId="0">
      <alignment horizontal="right" vertical="center"/>
    </xf>
    <xf numFmtId="771979" fontId="31" fillId="14" borderId="48" xfId="0">
      <alignment vertical="center"/>
    </xf>
    <xf numFmtId="771979" fontId="31" fillId="14" borderId="39" xfId="0">
      <alignment vertical="center"/>
    </xf>
    <xf numFmtId="771848" fontId="31" fillId="7" borderId="4" xfId="0">
      <alignment vertical="center"/>
    </xf>
    <xf numFmtId="0" fontId="44" fillId="0" borderId="0" xfId="0">
      <alignment horizontal="right" vertical="center"/>
    </xf>
    <xf numFmtId="771892" fontId="21" fillId="0" borderId="0" xfId="0">
      <alignment horizontal="center" vertical="center"/>
    </xf>
    <xf numFmtId="771892" fontId="32" fillId="0" borderId="0" xfId="0">
      <alignment horizontal="center" vertical="center"/>
    </xf>
    <xf numFmtId="771892" fontId="33" fillId="0" borderId="0" xfId="0">
      <alignment horizontal="center" vertical="center"/>
    </xf>
    <xf numFmtId="0" fontId="21" fillId="0" borderId="36" xfId="0">
      <alignment horizontal="center" vertical="center"/>
    </xf>
    <xf numFmtId="0" fontId="21" fillId="0" borderId="6" xfId="0">
      <alignment horizontal="center" vertical="center"/>
    </xf>
    <xf numFmtId="0" fontId="21" fillId="0" borderId="51" xfId="0">
      <alignment horizontal="center" vertical="center"/>
    </xf>
    <xf numFmtId="0" fontId="31" fillId="14" borderId="52" xfId="0">
      <alignment horizontal="center" vertical="center"/>
    </xf>
    <xf numFmtId="771979" fontId="33" fillId="0" borderId="0" xfId="0">
      <alignment horizontal="center" vertical="center"/>
    </xf>
    <xf numFmtId="771979" fontId="32" fillId="0" borderId="0" xfId="0">
      <alignment horizontal="center" vertical="center"/>
    </xf>
    <xf numFmtId="771979" fontId="21" fillId="0" borderId="0" xfId="0">
      <alignment horizontal="center" vertical="center"/>
    </xf>
    <xf numFmtId="0" fontId="45" fillId="0" borderId="0" xfId="0">
      <alignment vertical="top"/>
    </xf>
    <xf numFmtId="0" fontId="46" fillId="16" borderId="1" xfId="0">
      <alignment vertical="top"/>
    </xf>
    <xf numFmtId="0" fontId="47" fillId="0" borderId="1" xfId="0">
      <alignment vertical="top"/>
    </xf>
    <xf numFmtId="0" fontId="46" fillId="0" borderId="0" xfId="0">
      <alignment vertical="top"/>
    </xf>
  </cellXfs>
  <cellStyles count="49">
    <cellStyle name="Normal" xfId="0" builtinId="0"/>
    <cellStyle name="0.00x" xfId="1"/>
    <cellStyle name="CHECK" xfId="2"/>
    <cellStyle name="Comma 2" xfId="3"/>
    <cellStyle name="Date" xfId="4"/>
    <cellStyle name="Formula" xfId="5"/>
    <cellStyle name="Hardcoded" xfId="6"/>
    <cellStyle name="Header 1" xfId="7"/>
    <cellStyle name="Header 2" xfId="8"/>
    <cellStyle name="Header 3" xfId="9"/>
    <cellStyle name="Hyperlink 2 2" xfId="10"/>
    <cellStyle name="Input (%)" xfId="11"/>
    <cellStyle name="Input (Date)" xfId="12"/>
    <cellStyle name="Input 2" xfId="13"/>
    <cellStyle name="inputCell" xfId="14"/>
    <cellStyle name="No Comma" xfId="15"/>
    <cellStyle name="Normal 10 2" xfId="16"/>
    <cellStyle name="Normal 10 7" xfId="16"/>
    <cellStyle name="Normal 2" xfId="0"/>
    <cellStyle name="Normal 2 10" xfId="16"/>
    <cellStyle name="Normal 2 2" xfId="16"/>
    <cellStyle name="Normal 2 2 2 7" xfId="17"/>
    <cellStyle name="Normal 273" xfId="18"/>
    <cellStyle name="Normal 3" xfId="19"/>
    <cellStyle name="Normal 3 2" xfId="16"/>
    <cellStyle name="Normal 3 3" xfId="20"/>
    <cellStyle name="Normal 4" xfId="0"/>
    <cellStyle name="Normal 4 2" xfId="21"/>
    <cellStyle name="Normal 4 4" xfId="22"/>
    <cellStyle name="Normal 5" xfId="23"/>
    <cellStyle name="Normal 6" xfId="24"/>
    <cellStyle name="Normal 9" xfId="0"/>
    <cellStyle name="Normal 99" xfId="19"/>
    <cellStyle name="Offsheet" xfId="25"/>
    <cellStyle name="Offsheet Assm" xfId="26"/>
    <cellStyle name="Offsheet Assm (%)" xfId="27"/>
    <cellStyle name="Offsheet Assm (Date)" xfId="28"/>
    <cellStyle name="On / Off" xfId="29"/>
    <cellStyle name="Percent 2" xfId="30"/>
    <cellStyle name="Percent 3" xfId="31"/>
    <cellStyle name="PFactor" xfId="32"/>
    <cellStyle name="Scenario" xfId="33"/>
    <cellStyle name="Scenario (%)" xfId="34"/>
    <cellStyle name="Style 21" xfId="35"/>
    <cellStyle name="Style 26" xfId="36"/>
    <cellStyle name="Sub Title" xfId="37"/>
    <cellStyle name="Total 2" xfId="38"/>
    <cellStyle name="UsedCell" xfId="39"/>
    <cellStyle name="Years" xfId="40"/>
  </cellStyles>
  <dxfs count="0"/>
  <tableStyles count="0" defaultTableStyle="TableStyleMedium2" defaultPivotStyle="PivotStyleLight16"/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sharedStrings" Target="sharedStrings.xml" /><Relationship Id="rId10" Type="http://schemas.openxmlformats.org/officeDocument/2006/relationships/sheetMetadata" Target="metadata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8131567-E348-BC0C-B1E1-4A8F61786902}" mc:Ignorable="x14ac xr xr2 xr3">
  <sheetPr>
    <tabColor theme="1" tint="0"/>
  </sheetPr>
  <dimension ref="A1:X58"/>
  <sheetViews>
    <sheetView showGridLines="0" topLeftCell="A1" zoomScale="70" workbookViewId="0">
      <selection activeCell="A1" sqref="A1"/>
    </sheetView>
  </sheetViews>
  <sheetFormatPr defaultRowHeight="12" defaultColWidth="9.140625" customHeight="1"/>
  <cols>
    <col min="1" max="2" style="19" width="2.28125" customWidth="1"/>
    <col min="3" max="4" style="19" width="2.421875" customWidth="1"/>
    <col min="5" max="5" style="19" width="4.140625" customWidth="1"/>
    <col min="6" max="6" style="19" width="17.8515625" customWidth="1"/>
    <col min="7" max="7" style="19" width="15.7109375" customWidth="1"/>
    <col min="8" max="12" style="19" width="9.140625" customWidth="1"/>
    <col min="13" max="13" style="19" width="7.8515625" customWidth="1"/>
    <col min="14" max="19" style="19" width="9.140625" customWidth="1"/>
    <col min="20" max="23" style="19" width="12.7109375" customWidth="1"/>
    <col min="24" max="24" style="19" width="2.421875" customWidth="1"/>
  </cols>
  <sheetData>
    <row r="3" ht="15" customHeight="1">
      <c r="T3" s="1"/>
      <c r="U3" s="1"/>
      <c r="V3" s="1"/>
      <c r="W3" s="1"/>
    </row>
    <row r="4" ht="15" customHeight="1">
      <c r="T4" s="1"/>
      <c r="U4" s="1"/>
      <c r="V4" s="1"/>
      <c r="W4" s="1"/>
    </row>
    <row r="5" ht="15" customHeight="1">
      <c r="T5" s="1"/>
      <c r="U5" s="1"/>
      <c r="V5" s="1"/>
      <c r="W5" s="1"/>
    </row>
    <row r="6" ht="15" customHeight="1">
      <c r="T6" s="1"/>
      <c r="U6" s="1"/>
      <c r="V6" s="1"/>
      <c r="W6" s="1"/>
    </row>
    <row r="7" ht="15" customHeight="1">
      <c r="T7" s="1"/>
      <c r="U7" s="1"/>
      <c r="V7" s="1"/>
      <c r="W7" s="1"/>
    </row>
    <row r="28" ht="46.5" customHeight="1">
      <c r="E28" s="2"/>
      <c r="F28" s="3" t="s">
        <v>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7.5" customHeight="1">
      <c r="D29" s="4"/>
    </row>
    <row r="30" ht="12" customHeight="1">
      <c r="D30" s="4"/>
    </row>
    <row r="31" ht="12" customHeight="1">
      <c r="D31" s="4"/>
    </row>
    <row r="32" ht="12" customHeight="1">
      <c r="D32" s="4"/>
    </row>
    <row r="33" ht="12" customHeight="1">
      <c r="D33" s="4"/>
    </row>
    <row r="34" ht="12" customHeight="1">
      <c r="D34" s="4"/>
    </row>
    <row r="35" ht="22.5" customHeight="1">
      <c r="D35" s="4"/>
      <c r="F35" s="5">
        <f>TODAY()</f>
        <v>46078</v>
      </c>
      <c r="G35" s="6"/>
    </row>
    <row r="36" ht="12" customHeight="1">
      <c r="D36" s="4"/>
    </row>
    <row r="37" ht="12" customHeight="1">
      <c r="D37" s="4"/>
    </row>
    <row r="38" ht="12" customHeight="1">
      <c r="D38" s="4"/>
    </row>
    <row r="39" ht="12" customHeight="1">
      <c r="D39" s="4"/>
    </row>
    <row r="40" ht="12" customHeight="1">
      <c r="D40" s="4"/>
    </row>
    <row r="41" ht="12" customHeight="1">
      <c r="D41" s="4"/>
    </row>
    <row r="42" ht="12" customHeight="1">
      <c r="D42" s="4"/>
    </row>
    <row r="43" ht="12" customHeight="1">
      <c r="D43" s="4"/>
    </row>
    <row r="44" ht="12" customHeight="1">
      <c r="D44" s="4"/>
      <c r="F44" s="7"/>
      <c r="G44" s="8"/>
    </row>
    <row r="45" ht="12.75" customHeight="1">
      <c r="D45" s="4"/>
      <c r="F45" s="9"/>
      <c r="G45" s="10"/>
    </row>
    <row r="46" ht="12" customHeight="1">
      <c r="D46" s="4"/>
      <c r="F46" s="7"/>
    </row>
    <row r="47" ht="12.75" customHeight="1">
      <c r="D47" s="4"/>
      <c r="F47" s="10"/>
    </row>
    <row r="48" ht="12.75" customHeight="1">
      <c r="D48" s="4"/>
      <c r="F48" s="10"/>
    </row>
    <row r="49" ht="12.75" customHeight="1">
      <c r="D49" s="4"/>
      <c r="F49" s="10"/>
    </row>
    <row r="50" ht="12.75" customHeight="1">
      <c r="D50" s="4"/>
      <c r="F50" s="10"/>
      <c r="H50" s="10"/>
      <c r="I50" s="10"/>
      <c r="J50" s="10"/>
      <c r="K50" s="10"/>
      <c r="L50" s="10"/>
    </row>
    <row r="51" ht="12.75" customHeight="1">
      <c r="D51" s="4"/>
      <c r="F51" s="10"/>
      <c r="H51" s="10"/>
      <c r="I51" s="10"/>
      <c r="J51" s="10"/>
      <c r="K51" s="10"/>
      <c r="L51" s="10"/>
    </row>
    <row r="52" ht="12.75" customHeight="1">
      <c r="D52" s="4"/>
      <c r="F52" s="10"/>
      <c r="H52" s="10"/>
      <c r="I52" s="10"/>
      <c r="J52" s="10"/>
      <c r="K52" s="10"/>
      <c r="L52" s="10"/>
    </row>
    <row r="53" ht="12.75" customHeight="1">
      <c r="D53" s="4"/>
      <c r="F53" s="11"/>
      <c r="G53" s="10"/>
      <c r="H53" s="10"/>
      <c r="I53" s="10"/>
      <c r="J53" s="10"/>
      <c r="K53" s="10"/>
      <c r="L53" s="10"/>
    </row>
    <row r="54" ht="12.75" customHeight="1">
      <c r="D54" s="4"/>
      <c r="F54" s="10"/>
      <c r="G54" s="10"/>
      <c r="H54" s="10"/>
      <c r="I54" s="10"/>
      <c r="J54" s="10"/>
      <c r="K54" s="10"/>
      <c r="L54" s="10"/>
    </row>
    <row r="55" ht="12" customHeight="1">
      <c r="D55" s="4"/>
      <c r="F55" s="12"/>
      <c r="G55" s="13"/>
      <c r="H55" s="12"/>
      <c r="I55" s="13"/>
      <c r="J55" s="12"/>
      <c r="K55" s="13"/>
      <c r="L55" s="14"/>
    </row>
    <row r="56" ht="12.75" customHeight="1">
      <c r="D56" s="4"/>
      <c r="G56" s="15"/>
      <c r="H56" s="16"/>
      <c r="J56" s="17"/>
      <c r="K56" s="10"/>
      <c r="L56" s="10"/>
    </row>
    <row r="57" ht="12" customHeight="1">
      <c r="D57" s="4"/>
      <c r="F57" s="18"/>
      <c r="G57" s="15"/>
      <c r="H57" s="16"/>
      <c r="I57" s="13"/>
      <c r="J57" s="17"/>
    </row>
    <row r="58" ht="12" customHeight="1">
      <c r="D58" s="4"/>
      <c r="G58" s="15"/>
      <c r="H58" s="16"/>
    </row>
  </sheetData>
  <mergeCells>
    <mergeCell ref="F35:G35"/>
  </mergeCells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121D343-F4BB-B718-D581-B436BB9DF6A1}" mc:Ignorable="x14ac xr xr2 xr3">
  <sheetPr>
    <tabColor theme="8" tint="-0.25"/>
  </sheetPr>
  <dimension ref="A1:L118"/>
  <sheetViews>
    <sheetView showGridLines="0" topLeftCell="A1" zoomScale="80" workbookViewId="0">
      <selection activeCell="A1" sqref="A1"/>
    </sheetView>
  </sheetViews>
  <sheetFormatPr defaultRowHeight="24" defaultColWidth="20.7109375" customHeight="1"/>
  <cols>
    <col min="1" max="1" style="34" width="10.7109375" customWidth="1"/>
    <col min="2" max="2" style="34" width="59.28125" customWidth="1"/>
    <col min="3" max="3" style="34" width="20.7109375" customWidth="1"/>
    <col min="4" max="8" style="34" width="22.7109375" customWidth="1"/>
    <col min="9" max="9" style="34" width="6.7109375" customWidth="1"/>
    <col min="10" max="10" style="34" width="22.7109375" customWidth="1"/>
    <col min="11" max="12" style="34" width="20.7109375" customWidth="1"/>
  </cols>
  <sheetData>
    <row r="2" ht="24" customHeight="1">
      <c r="B2" s="20" t="s">
        <v>1</v>
      </c>
      <c r="C2" s="21"/>
      <c r="D2" s="21"/>
      <c r="E2" s="21"/>
      <c r="F2" s="21"/>
      <c r="G2" s="21"/>
      <c r="H2" s="21"/>
      <c r="I2" s="21"/>
      <c r="J2" s="21"/>
    </row>
    <row r="3" ht="24" customHeight="1">
      <c r="B3" s="22" t="s">
        <v>2</v>
      </c>
      <c r="J3" s="23" t="s">
        <v>3</v>
      </c>
    </row>
    <row r="5" ht="24" customHeight="1">
      <c r="B5" s="24" t="s">
        <v>4</v>
      </c>
    </row>
    <row r="6" ht="24" customHeight="1">
      <c r="A6" s="25" t="s">
        <v>5</v>
      </c>
      <c r="B6" s="26" t="s">
        <v>6</v>
      </c>
      <c r="C6" s="26"/>
      <c r="D6" s="26"/>
      <c r="E6" s="26"/>
      <c r="F6" s="26"/>
      <c r="G6" s="26"/>
      <c r="H6" s="26"/>
      <c r="I6" s="26"/>
      <c r="J6" s="26"/>
      <c r="K6" s="25" t="s">
        <v>5</v>
      </c>
    </row>
    <row r="7" ht="6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ht="24" customHeight="1">
      <c r="A8" s="25" t="s">
        <v>5</v>
      </c>
      <c r="B8" s="28" t="s">
        <v>7</v>
      </c>
      <c r="C8" s="28"/>
      <c r="D8" s="28"/>
      <c r="E8" s="28"/>
      <c r="F8" s="28"/>
      <c r="G8" s="28"/>
      <c r="H8" s="28"/>
      <c r="I8" s="28"/>
      <c r="J8" s="28"/>
      <c r="K8" s="25" t="s">
        <v>5</v>
      </c>
    </row>
    <row r="9" ht="6" customHeight="1"/>
    <row r="10" ht="24" customHeight="1">
      <c r="D10" s="29">
        <v>42004</v>
      </c>
      <c r="E10" s="29">
        <f t="shared" si="0" ref="E10:H96">EOMONTH(D10,12)</f>
        <v>42369</v>
      </c>
      <c r="F10" s="29">
        <f t="shared" si="0"/>
        <v>42735</v>
      </c>
      <c r="G10" s="29">
        <f t="shared" si="0"/>
        <v>43100</v>
      </c>
      <c r="H10" s="29">
        <f t="shared" si="0"/>
        <v>43465</v>
      </c>
      <c r="J10" s="30" t="str">
        <f>"'14A - '18A        CAGR"</f>
        <v>'14A - '18A        CAGR</v>
      </c>
    </row>
    <row r="11" ht="24" customHeight="1">
      <c r="B11" s="31"/>
      <c r="C11" s="31"/>
      <c r="D11" s="32">
        <f t="shared" si="1" ref="D11:H97">YEAR(D10)</f>
        <v>2014</v>
      </c>
      <c r="E11" s="32">
        <f t="shared" si="1"/>
        <v>2015</v>
      </c>
      <c r="F11" s="32">
        <f t="shared" si="1"/>
        <v>2016</v>
      </c>
      <c r="G11" s="32">
        <f t="shared" si="1"/>
        <v>2017</v>
      </c>
      <c r="H11" s="32">
        <f t="shared" si="1"/>
        <v>2018</v>
      </c>
      <c r="I11" s="31"/>
      <c r="J11" s="33"/>
    </row>
    <row r="12" ht="6" customHeight="1"/>
    <row r="13" ht="24" customHeight="1">
      <c r="B13" s="34" t="s">
        <v>9</v>
      </c>
      <c r="D13" s="35">
        <v>236.277</v>
      </c>
      <c r="E13" s="35">
        <v>148.565</v>
      </c>
      <c r="F13" s="35">
        <v>134.755</v>
      </c>
      <c r="G13" s="35">
        <v>211.313</v>
      </c>
      <c r="H13" s="35">
        <v>238.459</v>
      </c>
      <c r="J13" s="36">
        <f t="shared" si="2" ref="J13:J35">RATE($H$11-$D$11,0,-$D13,$H13)</f>
        <v>0.002300778300018711</v>
      </c>
    </row>
    <row r="14" ht="24" customHeight="1">
      <c r="B14" s="34" t="s">
        <v>10</v>
      </c>
      <c r="D14" s="37">
        <v>298.665</v>
      </c>
      <c r="E14" s="37">
        <v>208.283</v>
      </c>
      <c r="F14" s="37">
        <v>243.91</v>
      </c>
      <c r="G14" s="37">
        <v>301.656</v>
      </c>
      <c r="H14" s="37">
        <v>314.68</v>
      </c>
      <c r="J14" s="36">
        <f t="shared" si="2"/>
        <v>0.013144059972949491</v>
      </c>
    </row>
    <row r="15" ht="24" customHeight="1">
      <c r="B15" s="38" t="s">
        <v>11</v>
      </c>
      <c r="C15" s="39"/>
      <c r="D15" s="40">
        <f t="shared" si="3" ref="D15:H107">SUM(D13:D14)</f>
        <v>534.942</v>
      </c>
      <c r="E15" s="40">
        <f t="shared" si="3"/>
        <v>356.84799999999996</v>
      </c>
      <c r="F15" s="40">
        <f t="shared" si="3"/>
        <v>378.66499999999996</v>
      </c>
      <c r="G15" s="40">
        <f t="shared" si="3"/>
        <v>512.969</v>
      </c>
      <c r="H15" s="40">
        <f t="shared" si="3"/>
        <v>553.139</v>
      </c>
      <c r="I15" s="39"/>
      <c r="J15" s="41">
        <f t="shared" si="2"/>
        <v>0.008397814560508575</v>
      </c>
      <c r="L15" s="42"/>
    </row>
    <row r="16" ht="24" customHeight="1">
      <c r="B16" s="43" t="s">
        <v>12</v>
      </c>
      <c r="E16" s="44">
        <f t="shared" si="4" ref="E16:H16">E15/D15-1</f>
        <v>-0.33292207379491623</v>
      </c>
      <c r="F16" s="44">
        <f t="shared" si="4"/>
        <v>0.06113807559521134</v>
      </c>
      <c r="G16" s="44">
        <f t="shared" si="4"/>
        <v>0.3546776174190911</v>
      </c>
      <c r="H16" s="44">
        <f t="shared" si="4"/>
        <v>0.07830882567952435</v>
      </c>
    </row>
    <row r="17" ht="6" customHeight="1"/>
    <row r="18" ht="24" customHeight="1">
      <c r="B18" s="45" t="s">
        <v>13</v>
      </c>
      <c r="D18" s="37">
        <v>-141.08298690831094</v>
      </c>
      <c r="E18" s="37">
        <v>-101.54866807961822</v>
      </c>
      <c r="F18" s="37">
        <v>-85.73282471447733</v>
      </c>
      <c r="G18" s="37">
        <v>-140.56916428323314</v>
      </c>
      <c r="H18" s="37">
        <v>-158.4088003400921</v>
      </c>
    </row>
    <row r="19" ht="24" customHeight="1">
      <c r="B19" s="45" t="s">
        <v>14</v>
      </c>
      <c r="D19" s="37">
        <v>-227.01604607011376</v>
      </c>
      <c r="E19" s="37">
        <v>-184.62581482514247</v>
      </c>
      <c r="F19" s="37">
        <v>-185.29517528552267</v>
      </c>
      <c r="G19" s="37">
        <v>-229.7638357167669</v>
      </c>
      <c r="H19" s="37">
        <v>-219.661199659908</v>
      </c>
    </row>
    <row r="20" ht="24" customHeight="1">
      <c r="B20" s="38" t="s">
        <v>15</v>
      </c>
      <c r="C20" s="39"/>
      <c r="D20" s="40">
        <f t="shared" si="5" ref="D20:H25">SUM(D15,D18:D19)</f>
        <v>166.8429670215753</v>
      </c>
      <c r="E20" s="40">
        <f t="shared" si="5"/>
        <v>70.67351709523928</v>
      </c>
      <c r="F20" s="40">
        <f t="shared" si="5"/>
        <v>107.63699999999997</v>
      </c>
      <c r="G20" s="40">
        <f t="shared" si="5"/>
        <v>142.63600000000002</v>
      </c>
      <c r="H20" s="40">
        <f t="shared" si="5"/>
        <v>175.0689999999999</v>
      </c>
      <c r="I20" s="39"/>
      <c r="J20" s="41">
        <f t="shared" si="2"/>
        <v>0.01210445534363084</v>
      </c>
    </row>
    <row r="21" ht="24" customHeight="1">
      <c r="B21" s="43" t="s">
        <v>16</v>
      </c>
      <c r="D21" s="44">
        <f t="shared" si="6" ref="D21:H21">D20/D15</f>
        <v>0.3118898254793516</v>
      </c>
      <c r="E21" s="44">
        <f t="shared" si="6"/>
        <v>0.19804935741615276</v>
      </c>
      <c r="F21" s="44">
        <f t="shared" si="6"/>
        <v>0.28425389196255263</v>
      </c>
      <c r="G21" s="44">
        <f t="shared" si="6"/>
        <v>0.2780596878173925</v>
      </c>
      <c r="H21" s="44">
        <f t="shared" si="6"/>
        <v>0.3165009156830379</v>
      </c>
    </row>
    <row r="22" ht="6" customHeight="1">
      <c r="B22" s="43"/>
      <c r="D22" s="46"/>
      <c r="E22" s="46"/>
      <c r="F22" s="46"/>
      <c r="G22" s="46"/>
      <c r="H22" s="46"/>
    </row>
    <row r="23" ht="24" customHeight="1">
      <c r="B23" s="45" t="s">
        <v>17</v>
      </c>
      <c r="D23" s="37">
        <v>-49.069</v>
      </c>
      <c r="E23" s="37">
        <v>-43.735</v>
      </c>
      <c r="F23" s="37">
        <v>-47.117</v>
      </c>
      <c r="G23" s="37">
        <v>-49.146</v>
      </c>
      <c r="H23" s="37">
        <v>-44.828</v>
      </c>
    </row>
    <row r="24" ht="24" customHeight="1">
      <c r="B24" s="45" t="s">
        <v>18</v>
      </c>
      <c r="D24" s="37">
        <v>-11.049</v>
      </c>
      <c r="E24" s="37">
        <v>-7.431</v>
      </c>
      <c r="F24" s="37">
        <v>-9.075</v>
      </c>
      <c r="G24" s="37">
        <v>-12.512</v>
      </c>
      <c r="H24" s="37">
        <v>-10.457</v>
      </c>
    </row>
    <row r="25" ht="24" customHeight="1">
      <c r="B25" s="47" t="s">
        <v>19</v>
      </c>
      <c r="C25" s="48"/>
      <c r="D25" s="49">
        <f t="shared" si="5"/>
        <v>106.72496702157531</v>
      </c>
      <c r="E25" s="49">
        <f t="shared" si="5"/>
        <v>19.507517095239276</v>
      </c>
      <c r="F25" s="49">
        <f t="shared" si="5"/>
        <v>51.44499999999998</v>
      </c>
      <c r="G25" s="49">
        <f t="shared" si="5"/>
        <v>80.97800000000002</v>
      </c>
      <c r="H25" s="49">
        <f t="shared" si="5"/>
        <v>119.7839999999999</v>
      </c>
      <c r="I25" s="48"/>
      <c r="J25" s="50">
        <f t="shared" si="2"/>
        <v>0.029279197798311184</v>
      </c>
    </row>
    <row r="26" ht="24" customHeight="1">
      <c r="B26" s="43" t="s">
        <v>20</v>
      </c>
      <c r="D26" s="44">
        <f t="shared" si="7" ref="D26:H26">D25/D15</f>
        <v>0.19950754852222355</v>
      </c>
      <c r="E26" s="44">
        <f t="shared" si="7"/>
        <v>0.05466618026509684</v>
      </c>
      <c r="F26" s="44">
        <f t="shared" si="7"/>
        <v>0.13585887261827734</v>
      </c>
      <c r="G26" s="44">
        <f t="shared" si="7"/>
        <v>0.15786139123416817</v>
      </c>
      <c r="H26" s="44">
        <f t="shared" si="7"/>
        <v>0.21655316294819188</v>
      </c>
    </row>
    <row r="27" ht="6" customHeight="1">
      <c r="B27" s="43"/>
      <c r="D27" s="44"/>
      <c r="E27" s="44"/>
      <c r="F27" s="44"/>
      <c r="G27" s="44"/>
      <c r="H27" s="44"/>
    </row>
    <row r="28" ht="24" customHeight="1">
      <c r="B28" s="45" t="s">
        <v>21</v>
      </c>
      <c r="D28" s="37">
        <v>-31.877967021575273</v>
      </c>
      <c r="E28" s="37">
        <v>-33.93651709523933</v>
      </c>
      <c r="F28" s="37">
        <v>-36.128</v>
      </c>
      <c r="G28" s="37">
        <v>-38.461</v>
      </c>
      <c r="H28" s="37">
        <v>-42.989</v>
      </c>
    </row>
    <row r="29" ht="24" customHeight="1">
      <c r="B29" s="38" t="s">
        <v>22</v>
      </c>
      <c r="C29" s="39"/>
      <c r="D29" s="40">
        <f t="shared" si="8" ref="D29:H33">SUM(D25,D28)</f>
        <v>74.84700000000004</v>
      </c>
      <c r="E29" s="40">
        <f t="shared" si="8"/>
        <v>-14.429000000000055</v>
      </c>
      <c r="F29" s="40">
        <f t="shared" si="8"/>
        <v>15.316999999999979</v>
      </c>
      <c r="G29" s="40">
        <f t="shared" si="8"/>
        <v>42.517000000000024</v>
      </c>
      <c r="H29" s="40">
        <f t="shared" si="8"/>
        <v>76.7949999999999</v>
      </c>
      <c r="I29" s="39"/>
      <c r="J29" s="41">
        <f t="shared" si="2"/>
        <v>0.006444050115115665</v>
      </c>
    </row>
    <row r="30" ht="24" customHeight="1">
      <c r="B30" s="43" t="s">
        <v>23</v>
      </c>
      <c r="D30" s="44">
        <f t="shared" si="9" ref="D30:H30">D29/D15</f>
        <v>0.13991610305416294</v>
      </c>
      <c r="E30" s="44">
        <f t="shared" si="9"/>
        <v>-0.04043458279155287</v>
      </c>
      <c r="F30" s="44">
        <f t="shared" si="9"/>
        <v>0.04045000198064247</v>
      </c>
      <c r="G30" s="44">
        <f t="shared" si="9"/>
        <v>0.08288415089410865</v>
      </c>
      <c r="H30" s="44">
        <f t="shared" si="9"/>
        <v>0.1388349040657048</v>
      </c>
    </row>
    <row r="31" ht="6" customHeight="1">
      <c r="B31" s="43"/>
      <c r="D31" s="46"/>
      <c r="E31" s="46"/>
      <c r="F31" s="46"/>
      <c r="G31" s="46"/>
      <c r="H31" s="46"/>
    </row>
    <row r="32" ht="24" customHeight="1">
      <c r="B32" s="45" t="s">
        <v>24</v>
      </c>
      <c r="D32" s="37">
        <v>-2.5</v>
      </c>
      <c r="E32" s="37">
        <f t="shared" si="10" ref="E32:H32">D32-0.4</f>
        <v>-2.9</v>
      </c>
      <c r="F32" s="37">
        <f t="shared" si="10"/>
        <v>-3.3</v>
      </c>
      <c r="G32" s="37">
        <f t="shared" si="10"/>
        <v>-3.6999999999999997</v>
      </c>
      <c r="H32" s="37">
        <f t="shared" si="10"/>
        <v>-4.1</v>
      </c>
      <c r="I32" s="51"/>
    </row>
    <row r="33" ht="24" customHeight="1">
      <c r="B33" s="38" t="s">
        <v>25</v>
      </c>
      <c r="C33" s="39"/>
      <c r="D33" s="40">
        <f t="shared" si="8"/>
        <v>72.34700000000004</v>
      </c>
      <c r="E33" s="40">
        <f t="shared" si="8"/>
        <v>-17.329000000000054</v>
      </c>
      <c r="F33" s="40">
        <f t="shared" si="8"/>
        <v>12.016999999999978</v>
      </c>
      <c r="G33" s="40">
        <f t="shared" si="8"/>
        <v>38.81700000000002</v>
      </c>
      <c r="H33" s="40">
        <f t="shared" si="8"/>
        <v>72.69499999999991</v>
      </c>
      <c r="I33" s="39"/>
      <c r="J33" s="39"/>
    </row>
    <row r="34" ht="24" customHeight="1">
      <c r="B34" s="45" t="s">
        <v>26</v>
      </c>
      <c r="D34" s="37">
        <v>-20.849</v>
      </c>
      <c r="E34" s="37">
        <v>12.34</v>
      </c>
      <c r="F34" s="37">
        <v>-6.777</v>
      </c>
      <c r="G34" s="37">
        <v>-14.276</v>
      </c>
      <c r="H34" s="37">
        <v>-24.781</v>
      </c>
    </row>
    <row r="35" ht="24" customHeight="1">
      <c r="B35" s="38" t="s">
        <v>27</v>
      </c>
      <c r="C35" s="39"/>
      <c r="D35" s="40">
        <f t="shared" si="3"/>
        <v>51.49800000000003</v>
      </c>
      <c r="E35" s="40">
        <f t="shared" si="3"/>
        <v>-4.989000000000054</v>
      </c>
      <c r="F35" s="40">
        <f t="shared" si="3"/>
        <v>5.239999999999978</v>
      </c>
      <c r="G35" s="40">
        <f t="shared" si="3"/>
        <v>24.54100000000002</v>
      </c>
      <c r="H35" s="40">
        <f t="shared" si="3"/>
        <v>47.91399999999991</v>
      </c>
      <c r="I35" s="39"/>
      <c r="J35" s="41">
        <f t="shared" si="2"/>
        <v>-0.017872172637965218</v>
      </c>
    </row>
    <row r="36" ht="24" customHeight="1">
      <c r="B36" s="43" t="s">
        <v>28</v>
      </c>
      <c r="D36" s="44">
        <f t="shared" si="11" ref="D36:H36">D35/D15</f>
        <v>0.096268380497325</v>
      </c>
      <c r="E36" s="44">
        <f t="shared" si="11"/>
        <v>-0.013980742501008987</v>
      </c>
      <c r="F36" s="44">
        <f t="shared" si="11"/>
        <v>0.01383808907609623</v>
      </c>
      <c r="G36" s="44">
        <f t="shared" si="11"/>
        <v>0.04784109761018701</v>
      </c>
      <c r="H36" s="44">
        <f t="shared" si="11"/>
        <v>0.08662198832481512</v>
      </c>
    </row>
    <row r="38" ht="24" customHeight="1">
      <c r="A38" s="25" t="s">
        <v>5</v>
      </c>
      <c r="B38" s="28" t="s">
        <v>29</v>
      </c>
      <c r="C38" s="28"/>
      <c r="D38" s="28"/>
      <c r="E38" s="28"/>
      <c r="F38" s="28"/>
      <c r="G38" s="28"/>
      <c r="H38" s="28"/>
      <c r="I38" s="28"/>
      <c r="J38" s="28"/>
      <c r="K38" s="25" t="s">
        <v>5</v>
      </c>
    </row>
    <row r="39" ht="6" customHeight="1"/>
    <row r="40" ht="24" customHeight="1">
      <c r="D40" s="29">
        <v>42004</v>
      </c>
      <c r="E40" s="29">
        <f t="shared" si="0"/>
        <v>42369</v>
      </c>
      <c r="F40" s="29">
        <f t="shared" si="0"/>
        <v>42735</v>
      </c>
      <c r="G40" s="29">
        <f t="shared" si="0"/>
        <v>43100</v>
      </c>
      <c r="H40" s="29">
        <f t="shared" si="0"/>
        <v>43465</v>
      </c>
      <c r="J40" s="30"/>
    </row>
    <row r="41" ht="24" customHeight="1">
      <c r="B41" s="31"/>
      <c r="C41" s="31"/>
      <c r="D41" s="32">
        <f t="shared" si="1"/>
        <v>2014</v>
      </c>
      <c r="E41" s="32">
        <f t="shared" si="1"/>
        <v>2015</v>
      </c>
      <c r="F41" s="32">
        <f t="shared" si="1"/>
        <v>2016</v>
      </c>
      <c r="G41" s="32">
        <f t="shared" si="1"/>
        <v>2017</v>
      </c>
      <c r="H41" s="32">
        <f t="shared" si="1"/>
        <v>2018</v>
      </c>
      <c r="I41" s="31"/>
      <c r="J41" s="33"/>
    </row>
    <row r="42" ht="6" customHeight="1"/>
    <row r="43" ht="24" customHeight="1">
      <c r="B43" s="52" t="s">
        <v>30</v>
      </c>
      <c r="C43" s="53"/>
      <c r="D43" s="53"/>
      <c r="E43" s="53"/>
      <c r="F43" s="53"/>
      <c r="G43" s="53"/>
      <c r="H43" s="53"/>
      <c r="I43" s="53"/>
      <c r="J43" s="53"/>
    </row>
    <row r="44" ht="6" customHeight="1">
      <c r="B44" s="54"/>
    </row>
    <row r="45" ht="24" customHeight="1">
      <c r="B45" s="34" t="s">
        <v>31</v>
      </c>
      <c r="D45" s="35">
        <v>35.937</v>
      </c>
      <c r="E45" s="55">
        <f t="shared" si="12" ref="E45:H45">D45+E114</f>
        <v>39.93</v>
      </c>
      <c r="F45" s="55">
        <f t="shared" si="12"/>
        <v>60.603</v>
      </c>
      <c r="G45" s="55">
        <f t="shared" si="12"/>
        <v>23.068999999999996</v>
      </c>
      <c r="H45" s="55">
        <f t="shared" si="12"/>
        <v>22.013999999999992</v>
      </c>
      <c r="L45" s="56"/>
    </row>
    <row r="46" ht="24" customHeight="1">
      <c r="B46" s="34" t="s">
        <v>32</v>
      </c>
      <c r="D46" s="37">
        <v>48.573</v>
      </c>
      <c r="E46" s="37">
        <v>53.97</v>
      </c>
      <c r="F46" s="37">
        <v>72.971</v>
      </c>
      <c r="G46" s="37">
        <v>117.711</v>
      </c>
      <c r="H46" s="37">
        <v>130.769</v>
      </c>
      <c r="L46" s="56"/>
    </row>
    <row r="47" ht="24" customHeight="1">
      <c r="B47" s="34" t="s">
        <v>33</v>
      </c>
      <c r="D47" s="37">
        <v>66.9051</v>
      </c>
      <c r="E47" s="37">
        <v>74.339</v>
      </c>
      <c r="F47" s="37">
        <v>59.19</v>
      </c>
      <c r="G47" s="37">
        <v>111.769</v>
      </c>
      <c r="H47" s="37">
        <v>124.506</v>
      </c>
      <c r="L47" s="56"/>
    </row>
    <row r="48" ht="24" customHeight="1">
      <c r="B48" s="34" t="s">
        <v>34</v>
      </c>
      <c r="D48" s="37">
        <v>9.8505</v>
      </c>
      <c r="E48" s="37">
        <v>10.945</v>
      </c>
      <c r="F48" s="37">
        <v>2.343</v>
      </c>
      <c r="G48" s="37">
        <v>3.02</v>
      </c>
      <c r="H48" s="37">
        <v>4.228</v>
      </c>
      <c r="L48" s="56"/>
    </row>
    <row r="49" ht="24" customHeight="1">
      <c r="B49" s="34" t="s">
        <v>35</v>
      </c>
      <c r="D49" s="37">
        <v>12.4524</v>
      </c>
      <c r="E49" s="37">
        <v>13.836</v>
      </c>
      <c r="F49" s="37">
        <v>8.11</v>
      </c>
      <c r="G49" s="37">
        <v>4.909</v>
      </c>
      <c r="H49" s="37">
        <v>4.367</v>
      </c>
      <c r="L49" s="56"/>
    </row>
    <row r="50" ht="24" customHeight="1">
      <c r="B50" s="34" t="s">
        <v>36</v>
      </c>
      <c r="D50" s="37">
        <v>16.812</v>
      </c>
      <c r="E50" s="37">
        <v>18.68</v>
      </c>
      <c r="F50" s="37">
        <v>22.768</v>
      </c>
      <c r="G50" s="37">
        <v>33.326</v>
      </c>
      <c r="H50" s="37">
        <v>40.331</v>
      </c>
      <c r="L50" s="56"/>
    </row>
    <row r="51" ht="24" customHeight="1">
      <c r="B51" s="38" t="s">
        <v>37</v>
      </c>
      <c r="C51" s="39"/>
      <c r="D51" s="40">
        <f t="shared" si="13" ref="D51:H51">SUM(D45:D50)</f>
        <v>190.53000000000003</v>
      </c>
      <c r="E51" s="40">
        <f t="shared" si="13"/>
        <v>211.70000000000002</v>
      </c>
      <c r="F51" s="40">
        <f t="shared" si="13"/>
        <v>225.98499999999999</v>
      </c>
      <c r="G51" s="40">
        <f t="shared" si="13"/>
        <v>293.80400000000003</v>
      </c>
      <c r="H51" s="40">
        <f t="shared" si="13"/>
        <v>326.21500000000003</v>
      </c>
      <c r="I51" s="39"/>
      <c r="J51" s="39"/>
    </row>
    <row r="52" ht="6" customHeight="1"/>
    <row r="53" ht="24" customHeight="1">
      <c r="B53" s="34" t="s">
        <v>38</v>
      </c>
      <c r="D53" s="35">
        <v>178</v>
      </c>
      <c r="E53" s="35">
        <v>183.025</v>
      </c>
      <c r="F53" s="35">
        <v>182.686</v>
      </c>
      <c r="G53" s="35">
        <v>203.068</v>
      </c>
      <c r="H53" s="35">
        <v>209.933</v>
      </c>
    </row>
    <row r="54" ht="24" customHeight="1">
      <c r="B54" s="34" t="s">
        <v>39</v>
      </c>
      <c r="D54" s="37">
        <v>29.394</v>
      </c>
      <c r="E54" s="37">
        <v>29.394</v>
      </c>
      <c r="F54" s="37">
        <v>29.394</v>
      </c>
      <c r="G54" s="37">
        <v>32.732</v>
      </c>
      <c r="H54" s="37">
        <v>32.732</v>
      </c>
    </row>
    <row r="55" ht="24" customHeight="1">
      <c r="B55" s="34" t="s">
        <v>35</v>
      </c>
      <c r="D55" s="37">
        <v>12.6</v>
      </c>
      <c r="E55" s="37">
        <v>12.986</v>
      </c>
      <c r="F55" s="37">
        <v>12.69</v>
      </c>
      <c r="G55" s="37">
        <v>12.416</v>
      </c>
      <c r="H55" s="37">
        <v>11.792</v>
      </c>
    </row>
    <row r="56" ht="24" customHeight="1">
      <c r="B56" s="34" t="s">
        <v>40</v>
      </c>
      <c r="D56" s="37">
        <v>5.4</v>
      </c>
      <c r="E56" s="37">
        <v>5.45</v>
      </c>
      <c r="F56" s="37">
        <v>4.153</v>
      </c>
      <c r="G56" s="37">
        <v>7.195</v>
      </c>
      <c r="H56" s="37">
        <v>6.438</v>
      </c>
    </row>
    <row r="57" ht="24" customHeight="1">
      <c r="B57" s="47" t="s">
        <v>41</v>
      </c>
      <c r="C57" s="48"/>
      <c r="D57" s="49">
        <f t="shared" si="14" ref="D57:H57">SUM(D51,D53:D56)</f>
        <v>415.92400000000004</v>
      </c>
      <c r="E57" s="49">
        <f t="shared" si="14"/>
        <v>442.555</v>
      </c>
      <c r="F57" s="49">
        <f t="shared" si="14"/>
        <v>454.908</v>
      </c>
      <c r="G57" s="49">
        <f t="shared" si="14"/>
        <v>549.2150000000001</v>
      </c>
      <c r="H57" s="49">
        <f t="shared" si="14"/>
        <v>587.11</v>
      </c>
      <c r="I57" s="48"/>
      <c r="J57" s="48"/>
    </row>
    <row r="59" ht="24" customHeight="1">
      <c r="B59" s="52" t="s">
        <v>42</v>
      </c>
      <c r="C59" s="53"/>
      <c r="D59" s="53"/>
      <c r="E59" s="53"/>
      <c r="F59" s="53"/>
      <c r="G59" s="53"/>
      <c r="H59" s="53"/>
      <c r="I59" s="53"/>
      <c r="J59" s="53"/>
    </row>
    <row r="60" ht="6" customHeight="1"/>
    <row r="61" ht="24" customHeight="1">
      <c r="B61" s="34" t="s">
        <v>43</v>
      </c>
      <c r="D61" s="35">
        <v>13</v>
      </c>
      <c r="E61" s="35">
        <v>15.992</v>
      </c>
      <c r="F61" s="35">
        <v>23.785</v>
      </c>
      <c r="G61" s="35">
        <v>57.443</v>
      </c>
      <c r="H61" s="35">
        <v>43.603</v>
      </c>
    </row>
    <row r="62" ht="24" customHeight="1">
      <c r="B62" s="34" t="s">
        <v>44</v>
      </c>
      <c r="D62" s="37">
        <v>16</v>
      </c>
      <c r="E62" s="37">
        <v>14.007</v>
      </c>
      <c r="F62" s="37">
        <v>11.987</v>
      </c>
      <c r="G62" s="37">
        <v>25.924</v>
      </c>
      <c r="H62" s="37">
        <v>10.65</v>
      </c>
    </row>
    <row r="63" ht="24" customHeight="1">
      <c r="B63" s="34" t="s">
        <v>45</v>
      </c>
      <c r="D63" s="37">
        <v>2.5</v>
      </c>
      <c r="E63" s="37">
        <v>2.251</v>
      </c>
      <c r="F63" s="37">
        <v>1.698</v>
      </c>
      <c r="G63" s="37">
        <v>3.103</v>
      </c>
      <c r="H63" s="37">
        <v>3.719</v>
      </c>
    </row>
    <row r="64" ht="24" customHeight="1">
      <c r="B64" s="34" t="s">
        <v>46</v>
      </c>
      <c r="D64" s="37">
        <v>0</v>
      </c>
      <c r="E64" s="37">
        <v>0</v>
      </c>
      <c r="F64" s="37">
        <v>3.433</v>
      </c>
      <c r="G64" s="37">
        <v>2.336</v>
      </c>
      <c r="H64" s="37">
        <v>6.894</v>
      </c>
    </row>
    <row r="65" ht="24" customHeight="1">
      <c r="B65" s="34" t="s">
        <v>47</v>
      </c>
      <c r="D65" s="37">
        <v>23</v>
      </c>
      <c r="E65" s="37">
        <v>27.075</v>
      </c>
      <c r="F65" s="37">
        <v>32.289</v>
      </c>
      <c r="G65" s="37">
        <v>34.069</v>
      </c>
      <c r="H65" s="37">
        <v>41.572</v>
      </c>
    </row>
    <row r="66" ht="24" customHeight="1">
      <c r="B66" s="38" t="s">
        <v>48</v>
      </c>
      <c r="C66" s="39"/>
      <c r="D66" s="40">
        <f t="shared" si="15" ref="D66:H89">SUM(D61:D65)</f>
        <v>54.5</v>
      </c>
      <c r="E66" s="40">
        <f t="shared" si="15"/>
        <v>59.325</v>
      </c>
      <c r="F66" s="40">
        <f t="shared" si="15"/>
        <v>73.19200000000001</v>
      </c>
      <c r="G66" s="40">
        <f t="shared" si="15"/>
        <v>122.87499999999999</v>
      </c>
      <c r="H66" s="40">
        <f t="shared" si="15"/>
        <v>106.438</v>
      </c>
      <c r="I66" s="39"/>
      <c r="J66" s="39"/>
    </row>
    <row r="67" ht="6" customHeight="1"/>
    <row r="68" ht="24" customHeight="1">
      <c r="B68" s="34" t="s">
        <v>49</v>
      </c>
      <c r="D68" s="35">
        <v>6</v>
      </c>
      <c r="E68" s="35">
        <v>8.6</v>
      </c>
      <c r="F68" s="35">
        <v>0</v>
      </c>
      <c r="G68" s="35">
        <v>6.625</v>
      </c>
      <c r="H68" s="35">
        <v>0.261</v>
      </c>
    </row>
    <row r="69" ht="24" customHeight="1">
      <c r="B69" s="34" t="s">
        <v>50</v>
      </c>
      <c r="D69" s="37">
        <v>0</v>
      </c>
      <c r="E69" s="37">
        <v>0</v>
      </c>
      <c r="F69" s="37">
        <v>1.168</v>
      </c>
      <c r="G69" s="37">
        <v>2.434</v>
      </c>
      <c r="H69" s="37">
        <v>2.416</v>
      </c>
    </row>
    <row r="70" ht="24" customHeight="1">
      <c r="B70" s="34" t="s">
        <v>51</v>
      </c>
      <c r="D70" s="37">
        <v>6.7</v>
      </c>
      <c r="E70" s="37">
        <v>12.471</v>
      </c>
      <c r="F70" s="37">
        <v>4.879</v>
      </c>
      <c r="G70" s="37">
        <v>4.474</v>
      </c>
      <c r="H70" s="37">
        <v>8.487</v>
      </c>
    </row>
    <row r="71" ht="24" customHeight="1">
      <c r="B71" s="38" t="s">
        <v>52</v>
      </c>
      <c r="C71" s="39"/>
      <c r="D71" s="40">
        <f t="shared" si="16" ref="D71:H71">D66+SUM(D68:D70)</f>
        <v>67.2</v>
      </c>
      <c r="E71" s="40">
        <f t="shared" si="16"/>
        <v>80.396</v>
      </c>
      <c r="F71" s="40">
        <f t="shared" si="16"/>
        <v>79.239</v>
      </c>
      <c r="G71" s="40">
        <f t="shared" si="16"/>
        <v>136.408</v>
      </c>
      <c r="H71" s="40">
        <f t="shared" si="16"/>
        <v>117.602</v>
      </c>
      <c r="I71" s="39"/>
      <c r="J71" s="39"/>
    </row>
    <row r="72" ht="6" customHeight="1">
      <c r="B72" s="54"/>
      <c r="E72" s="46"/>
      <c r="F72" s="46"/>
      <c r="G72" s="46"/>
      <c r="H72" s="46"/>
    </row>
    <row r="73" ht="24" customHeight="1">
      <c r="B73" s="34" t="s">
        <v>53</v>
      </c>
      <c r="D73" s="37">
        <v>348.72400000000005</v>
      </c>
      <c r="E73" s="37">
        <v>362.159</v>
      </c>
      <c r="F73" s="37">
        <v>375.669</v>
      </c>
      <c r="G73" s="37">
        <v>412.807</v>
      </c>
      <c r="H73" s="37">
        <v>469.508</v>
      </c>
    </row>
    <row r="74" ht="24" customHeight="1">
      <c r="B74" s="47" t="s">
        <v>54</v>
      </c>
      <c r="C74" s="48"/>
      <c r="D74" s="49">
        <f t="shared" si="17" ref="D74:H74">SUM(D71,D73)</f>
        <v>415.92400000000004</v>
      </c>
      <c r="E74" s="49">
        <f t="shared" si="17"/>
        <v>442.555</v>
      </c>
      <c r="F74" s="49">
        <f t="shared" si="17"/>
        <v>454.908</v>
      </c>
      <c r="G74" s="49">
        <f t="shared" si="17"/>
        <v>549.215</v>
      </c>
      <c r="H74" s="49">
        <f t="shared" si="17"/>
        <v>587.11</v>
      </c>
      <c r="I74" s="48"/>
      <c r="J74" s="48"/>
    </row>
    <row r="75" ht="24" customHeight="1">
      <c r="D75" s="51"/>
    </row>
    <row r="76" ht="24" customHeight="1">
      <c r="B76" s="57" t="s">
        <v>55</v>
      </c>
      <c r="D76" s="51"/>
    </row>
    <row r="77" ht="24" customHeight="1">
      <c r="B77" s="34" t="s">
        <v>32</v>
      </c>
      <c r="D77" s="51">
        <f t="shared" si="18" ref="D77:H81">D46</f>
        <v>48.573</v>
      </c>
      <c r="E77" s="51">
        <f t="shared" si="18"/>
        <v>53.97</v>
      </c>
      <c r="F77" s="51">
        <f t="shared" si="18"/>
        <v>72.971</v>
      </c>
      <c r="G77" s="51">
        <f t="shared" si="18"/>
        <v>117.711</v>
      </c>
      <c r="H77" s="51">
        <f t="shared" si="18"/>
        <v>130.769</v>
      </c>
    </row>
    <row r="78" ht="24" customHeight="1">
      <c r="B78" s="34" t="s">
        <v>33</v>
      </c>
      <c r="D78" s="58">
        <f t="shared" si="18"/>
        <v>66.9051</v>
      </c>
      <c r="E78" s="58">
        <f t="shared" si="18"/>
        <v>74.339</v>
      </c>
      <c r="F78" s="58">
        <f t="shared" si="18"/>
        <v>59.19</v>
      </c>
      <c r="G78" s="58">
        <f t="shared" si="18"/>
        <v>111.769</v>
      </c>
      <c r="H78" s="58">
        <f t="shared" si="18"/>
        <v>124.506</v>
      </c>
    </row>
    <row r="79" ht="24" customHeight="1">
      <c r="B79" s="34" t="s">
        <v>34</v>
      </c>
      <c r="D79" s="58">
        <f t="shared" si="18"/>
        <v>9.8505</v>
      </c>
      <c r="E79" s="58">
        <f t="shared" si="18"/>
        <v>10.945</v>
      </c>
      <c r="F79" s="58">
        <f t="shared" si="18"/>
        <v>2.343</v>
      </c>
      <c r="G79" s="58">
        <f t="shared" si="18"/>
        <v>3.02</v>
      </c>
      <c r="H79" s="58">
        <f t="shared" si="18"/>
        <v>4.228</v>
      </c>
    </row>
    <row r="80" ht="24" customHeight="1">
      <c r="B80" s="34" t="s">
        <v>35</v>
      </c>
      <c r="D80" s="58">
        <f t="shared" si="18"/>
        <v>12.4524</v>
      </c>
      <c r="E80" s="58">
        <f t="shared" si="18"/>
        <v>13.836</v>
      </c>
      <c r="F80" s="58">
        <f t="shared" si="18"/>
        <v>8.11</v>
      </c>
      <c r="G80" s="58">
        <f t="shared" si="18"/>
        <v>4.909</v>
      </c>
      <c r="H80" s="58">
        <f t="shared" si="18"/>
        <v>4.367</v>
      </c>
    </row>
    <row r="81" ht="24" customHeight="1">
      <c r="B81" s="34" t="s">
        <v>36</v>
      </c>
      <c r="D81" s="58">
        <f t="shared" si="18"/>
        <v>16.812</v>
      </c>
      <c r="E81" s="58">
        <f t="shared" si="18"/>
        <v>18.68</v>
      </c>
      <c r="F81" s="58">
        <f t="shared" si="18"/>
        <v>22.768</v>
      </c>
      <c r="G81" s="58">
        <f t="shared" si="18"/>
        <v>33.326</v>
      </c>
      <c r="H81" s="58">
        <f t="shared" si="18"/>
        <v>40.331</v>
      </c>
    </row>
    <row r="82" ht="24" customHeight="1">
      <c r="B82" s="38" t="s">
        <v>56</v>
      </c>
      <c r="C82" s="39"/>
      <c r="D82" s="40">
        <f t="shared" si="15"/>
        <v>154.59300000000002</v>
      </c>
      <c r="E82" s="40">
        <f t="shared" si="15"/>
        <v>171.77</v>
      </c>
      <c r="F82" s="40">
        <f t="shared" si="15"/>
        <v>165.38199999999998</v>
      </c>
      <c r="G82" s="40">
        <f t="shared" si="15"/>
        <v>270.735</v>
      </c>
      <c r="H82" s="40">
        <f t="shared" si="15"/>
        <v>304.201</v>
      </c>
      <c r="I82" s="39"/>
      <c r="J82" s="39"/>
    </row>
    <row r="83" ht="6" customHeight="1">
      <c r="D83" s="51"/>
    </row>
    <row r="84" ht="24" customHeight="1">
      <c r="B84" s="34" t="s">
        <v>43</v>
      </c>
      <c r="D84" s="51">
        <f t="shared" si="19" ref="D84:H88">D61</f>
        <v>13</v>
      </c>
      <c r="E84" s="51">
        <f t="shared" si="19"/>
        <v>15.992</v>
      </c>
      <c r="F84" s="51">
        <f t="shared" si="19"/>
        <v>23.785</v>
      </c>
      <c r="G84" s="51">
        <f t="shared" si="19"/>
        <v>57.443</v>
      </c>
      <c r="H84" s="51">
        <f t="shared" si="19"/>
        <v>43.603</v>
      </c>
    </row>
    <row r="85" ht="24" customHeight="1">
      <c r="B85" s="34" t="s">
        <v>44</v>
      </c>
      <c r="D85" s="58">
        <f t="shared" si="19"/>
        <v>16</v>
      </c>
      <c r="E85" s="58">
        <f t="shared" si="19"/>
        <v>14.007</v>
      </c>
      <c r="F85" s="58">
        <f t="shared" si="19"/>
        <v>11.987</v>
      </c>
      <c r="G85" s="58">
        <f t="shared" si="19"/>
        <v>25.924</v>
      </c>
      <c r="H85" s="58">
        <f t="shared" si="19"/>
        <v>10.65</v>
      </c>
    </row>
    <row r="86" ht="24" customHeight="1">
      <c r="B86" s="34" t="s">
        <v>45</v>
      </c>
      <c r="D86" s="58">
        <f t="shared" si="19"/>
        <v>2.5</v>
      </c>
      <c r="E86" s="58">
        <f t="shared" si="19"/>
        <v>2.251</v>
      </c>
      <c r="F86" s="58">
        <f t="shared" si="19"/>
        <v>1.698</v>
      </c>
      <c r="G86" s="58">
        <f t="shared" si="19"/>
        <v>3.103</v>
      </c>
      <c r="H86" s="58">
        <f t="shared" si="19"/>
        <v>3.719</v>
      </c>
    </row>
    <row r="87" ht="24" customHeight="1">
      <c r="B87" s="34" t="s">
        <v>46</v>
      </c>
      <c r="D87" s="58">
        <f t="shared" si="19"/>
        <v>0</v>
      </c>
      <c r="E87" s="58">
        <f t="shared" si="19"/>
        <v>0</v>
      </c>
      <c r="F87" s="58">
        <f t="shared" si="19"/>
        <v>3.433</v>
      </c>
      <c r="G87" s="58">
        <f t="shared" si="19"/>
        <v>2.336</v>
      </c>
      <c r="H87" s="58">
        <f t="shared" si="19"/>
        <v>6.894</v>
      </c>
    </row>
    <row r="88" ht="24" customHeight="1">
      <c r="B88" s="34" t="s">
        <v>47</v>
      </c>
      <c r="D88" s="58">
        <f t="shared" si="19"/>
        <v>23</v>
      </c>
      <c r="E88" s="58">
        <f t="shared" si="19"/>
        <v>27.075</v>
      </c>
      <c r="F88" s="58">
        <f t="shared" si="19"/>
        <v>32.289</v>
      </c>
      <c r="G88" s="58">
        <f t="shared" si="19"/>
        <v>34.069</v>
      </c>
      <c r="H88" s="58">
        <f t="shared" si="19"/>
        <v>41.572</v>
      </c>
    </row>
    <row r="89" ht="24" customHeight="1">
      <c r="B89" s="38" t="s">
        <v>57</v>
      </c>
      <c r="C89" s="39"/>
      <c r="D89" s="40">
        <f t="shared" si="15"/>
        <v>54.5</v>
      </c>
      <c r="E89" s="40">
        <f t="shared" si="15"/>
        <v>59.325</v>
      </c>
      <c r="F89" s="40">
        <f t="shared" si="15"/>
        <v>73.19200000000001</v>
      </c>
      <c r="G89" s="40">
        <f t="shared" si="15"/>
        <v>122.87499999999999</v>
      </c>
      <c r="H89" s="40">
        <f t="shared" si="15"/>
        <v>106.438</v>
      </c>
      <c r="I89" s="39"/>
      <c r="J89" s="39"/>
    </row>
    <row r="90" ht="6" customHeight="1">
      <c r="B90" s="54"/>
      <c r="D90" s="51"/>
    </row>
    <row r="91" ht="24" customHeight="1">
      <c r="B91" s="59" t="s">
        <v>58</v>
      </c>
      <c r="C91" s="60"/>
      <c r="D91" s="61">
        <f t="shared" si="20" ref="D91:H91">D82-D89</f>
        <v>100.09300000000002</v>
      </c>
      <c r="E91" s="61">
        <f t="shared" si="20"/>
        <v>112.44500000000001</v>
      </c>
      <c r="F91" s="61">
        <f t="shared" si="20"/>
        <v>92.18999999999997</v>
      </c>
      <c r="G91" s="61">
        <f t="shared" si="20"/>
        <v>147.86</v>
      </c>
      <c r="H91" s="61">
        <f t="shared" si="20"/>
        <v>197.76300000000003</v>
      </c>
      <c r="I91" s="60"/>
      <c r="J91" s="62"/>
    </row>
    <row r="92" ht="24" customHeight="1">
      <c r="B92" s="63" t="s">
        <v>59</v>
      </c>
      <c r="C92" s="64"/>
      <c r="D92" s="65">
        <v>-8.7</v>
      </c>
      <c r="E92" s="66">
        <f t="shared" si="21" ref="E92:H92">D91-E91</f>
        <v>-12.35199999999999</v>
      </c>
      <c r="F92" s="66">
        <f t="shared" si="21"/>
        <v>20.255000000000038</v>
      </c>
      <c r="G92" s="66">
        <f t="shared" si="21"/>
        <v>-55.670000000000044</v>
      </c>
      <c r="H92" s="66">
        <f t="shared" si="21"/>
        <v>-49.90300000000002</v>
      </c>
      <c r="I92" s="64"/>
      <c r="J92" s="67"/>
    </row>
    <row r="93" ht="24" customHeight="1">
      <c r="D93" s="51"/>
    </row>
    <row r="94" ht="24" customHeight="1">
      <c r="A94" s="25" t="s">
        <v>5</v>
      </c>
      <c r="B94" s="28" t="s">
        <v>60</v>
      </c>
      <c r="C94" s="28"/>
      <c r="D94" s="28"/>
      <c r="E94" s="28"/>
      <c r="F94" s="28"/>
      <c r="G94" s="28"/>
      <c r="H94" s="28"/>
      <c r="I94" s="28"/>
      <c r="J94" s="28"/>
      <c r="K94" s="25" t="s">
        <v>5</v>
      </c>
    </row>
    <row r="95" ht="6" customHeight="1"/>
    <row r="96" ht="24" customHeight="1">
      <c r="D96" s="29">
        <v>42004</v>
      </c>
      <c r="E96" s="29">
        <f t="shared" si="0"/>
        <v>42369</v>
      </c>
      <c r="F96" s="29">
        <f t="shared" si="0"/>
        <v>42735</v>
      </c>
      <c r="G96" s="29">
        <f t="shared" si="0"/>
        <v>43100</v>
      </c>
      <c r="H96" s="29">
        <f t="shared" si="0"/>
        <v>43465</v>
      </c>
      <c r="J96" s="30"/>
    </row>
    <row r="97" ht="24" customHeight="1">
      <c r="B97" s="31"/>
      <c r="C97" s="31"/>
      <c r="D97" s="32">
        <f t="shared" si="1"/>
        <v>2014</v>
      </c>
      <c r="E97" s="32">
        <f t="shared" si="1"/>
        <v>2015</v>
      </c>
      <c r="F97" s="32">
        <f t="shared" si="1"/>
        <v>2016</v>
      </c>
      <c r="G97" s="32">
        <f t="shared" si="1"/>
        <v>2017</v>
      </c>
      <c r="H97" s="32">
        <f t="shared" si="1"/>
        <v>2018</v>
      </c>
      <c r="I97" s="31"/>
      <c r="J97" s="33"/>
    </row>
    <row r="98" ht="6" customHeight="1">
      <c r="D98" s="68"/>
      <c r="E98" s="68"/>
      <c r="F98" s="68"/>
      <c r="G98" s="68"/>
      <c r="H98" s="68"/>
      <c r="J98" s="30"/>
    </row>
    <row r="99" ht="24" customHeight="1">
      <c r="B99" s="34" t="s">
        <v>27</v>
      </c>
      <c r="D99" s="51">
        <f t="shared" si="22" ref="D99:H99">D35</f>
        <v>51.49800000000003</v>
      </c>
      <c r="E99" s="51">
        <f t="shared" si="22"/>
        <v>-4.989000000000054</v>
      </c>
      <c r="F99" s="51">
        <f t="shared" si="22"/>
        <v>5.239999999999978</v>
      </c>
      <c r="G99" s="51">
        <f t="shared" si="22"/>
        <v>24.54100000000002</v>
      </c>
      <c r="H99" s="51">
        <f t="shared" si="22"/>
        <v>47.91399999999991</v>
      </c>
    </row>
    <row r="100" ht="24" customHeight="1">
      <c r="B100" s="34" t="s">
        <v>61</v>
      </c>
      <c r="D100" s="58">
        <f t="shared" si="23" ref="D100:H100">-D28</f>
        <v>31.877967021575273</v>
      </c>
      <c r="E100" s="58">
        <f t="shared" si="23"/>
        <v>33.93651709523933</v>
      </c>
      <c r="F100" s="58">
        <f t="shared" si="23"/>
        <v>36.128</v>
      </c>
      <c r="G100" s="58">
        <f t="shared" si="23"/>
        <v>38.461</v>
      </c>
      <c r="H100" s="58">
        <f t="shared" si="23"/>
        <v>42.989</v>
      </c>
    </row>
    <row r="101" ht="24" customHeight="1">
      <c r="B101" s="39" t="s">
        <v>62</v>
      </c>
      <c r="C101" s="39"/>
      <c r="D101" s="69">
        <f t="shared" si="3"/>
        <v>83.3759670215753</v>
      </c>
      <c r="E101" s="69">
        <f t="shared" si="3"/>
        <v>28.947517095239277</v>
      </c>
      <c r="F101" s="69">
        <f t="shared" si="3"/>
        <v>41.36799999999998</v>
      </c>
      <c r="G101" s="69">
        <f t="shared" si="3"/>
        <v>63.002000000000024</v>
      </c>
      <c r="H101" s="69">
        <f t="shared" si="3"/>
        <v>90.9029999999999</v>
      </c>
      <c r="I101" s="39"/>
      <c r="J101" s="39"/>
    </row>
    <row r="102" ht="24" customHeight="1">
      <c r="B102" s="34" t="s">
        <v>63</v>
      </c>
      <c r="D102" s="58">
        <f t="shared" si="24" ref="D102:H102">D92</f>
        <v>-8.7</v>
      </c>
      <c r="E102" s="58">
        <f t="shared" si="24"/>
        <v>-12.35199999999999</v>
      </c>
      <c r="F102" s="58">
        <f t="shared" si="24"/>
        <v>20.255000000000038</v>
      </c>
      <c r="G102" s="58">
        <f t="shared" si="24"/>
        <v>-55.670000000000044</v>
      </c>
      <c r="H102" s="58">
        <f t="shared" si="24"/>
        <v>-49.90300000000002</v>
      </c>
    </row>
    <row r="103" ht="24" customHeight="1">
      <c r="B103" s="38" t="s">
        <v>64</v>
      </c>
      <c r="C103" s="39"/>
      <c r="D103" s="40">
        <f t="shared" si="3"/>
        <v>74.6759670215753</v>
      </c>
      <c r="E103" s="40">
        <f t="shared" si="3"/>
        <v>16.595517095239288</v>
      </c>
      <c r="F103" s="40">
        <f t="shared" si="3"/>
        <v>61.62300000000002</v>
      </c>
      <c r="G103" s="40">
        <f t="shared" si="3"/>
        <v>7.331999999999979</v>
      </c>
      <c r="H103" s="40">
        <f t="shared" si="3"/>
        <v>40.999999999999886</v>
      </c>
      <c r="I103" s="39"/>
      <c r="J103" s="39"/>
    </row>
    <row r="104" ht="6" customHeight="1"/>
    <row r="105" ht="24" customHeight="1">
      <c r="B105" s="34" t="s">
        <v>65</v>
      </c>
      <c r="D105" s="37">
        <v>-52.3732184543066</v>
      </c>
      <c r="E105" s="37">
        <v>-34.9370179551847</v>
      </c>
      <c r="F105" s="37">
        <v>-37.073</v>
      </c>
      <c r="G105" s="37">
        <v>-47.387</v>
      </c>
      <c r="H105" s="37">
        <v>-63.662</v>
      </c>
    </row>
    <row r="106" ht="24" customHeight="1">
      <c r="B106" s="34" t="s">
        <v>66</v>
      </c>
      <c r="D106" s="37">
        <v>0</v>
      </c>
      <c r="E106" s="37">
        <v>19.734500859945413</v>
      </c>
      <c r="F106" s="37">
        <v>4.722999999999983</v>
      </c>
      <c r="G106" s="37">
        <v>0</v>
      </c>
      <c r="H106" s="37">
        <v>27.971000000000114</v>
      </c>
    </row>
    <row r="107" ht="24" customHeight="1">
      <c r="B107" s="38" t="s">
        <v>67</v>
      </c>
      <c r="C107" s="39"/>
      <c r="D107" s="40">
        <f t="shared" si="3"/>
        <v>-52.3732184543066</v>
      </c>
      <c r="E107" s="40">
        <f t="shared" si="3"/>
        <v>-15.202517095239287</v>
      </c>
      <c r="F107" s="40">
        <f t="shared" si="3"/>
        <v>-32.350000000000016</v>
      </c>
      <c r="G107" s="40">
        <f t="shared" si="3"/>
        <v>-47.387</v>
      </c>
      <c r="H107" s="40">
        <f t="shared" si="3"/>
        <v>-35.69099999999989</v>
      </c>
      <c r="I107" s="39"/>
      <c r="J107" s="39"/>
    </row>
    <row r="108" ht="6" customHeight="1"/>
    <row r="109" ht="24" customHeight="1">
      <c r="B109" s="34" t="s">
        <v>68</v>
      </c>
      <c r="D109" s="51">
        <f t="shared" si="25" ref="D109:H109">D68-C68</f>
        <v>6</v>
      </c>
      <c r="E109" s="51">
        <f t="shared" si="25"/>
        <v>2.5999999999999996</v>
      </c>
      <c r="F109" s="51">
        <f t="shared" si="25"/>
        <v>-8.6</v>
      </c>
      <c r="G109" s="51">
        <f t="shared" si="25"/>
        <v>6.625</v>
      </c>
      <c r="H109" s="51">
        <f t="shared" si="25"/>
        <v>-6.364</v>
      </c>
    </row>
    <row r="110" ht="24" customHeight="1">
      <c r="B110" s="34" t="s">
        <v>69</v>
      </c>
      <c r="D110" s="37">
        <v>0</v>
      </c>
      <c r="E110" s="37">
        <v>0</v>
      </c>
      <c r="F110" s="37">
        <v>0</v>
      </c>
      <c r="G110" s="37">
        <v>0</v>
      </c>
      <c r="H110" s="37">
        <v>0</v>
      </c>
    </row>
    <row r="111" ht="24" customHeight="1">
      <c r="B111" s="34" t="s">
        <v>70</v>
      </c>
      <c r="D111" s="37">
        <v>0</v>
      </c>
      <c r="E111" s="37">
        <v>0</v>
      </c>
      <c r="F111" s="37">
        <v>0</v>
      </c>
      <c r="G111" s="37">
        <v>-4.103999999999985</v>
      </c>
      <c r="H111" s="37">
        <v>0</v>
      </c>
    </row>
    <row r="112" ht="24" customHeight="1">
      <c r="B112" s="38" t="s">
        <v>71</v>
      </c>
      <c r="C112" s="39"/>
      <c r="D112" s="40">
        <f t="shared" si="26" ref="D112:H112">SUM(D109:D111)</f>
        <v>6</v>
      </c>
      <c r="E112" s="40">
        <f t="shared" si="26"/>
        <v>2.5999999999999996</v>
      </c>
      <c r="F112" s="40">
        <f t="shared" si="26"/>
        <v>-8.6</v>
      </c>
      <c r="G112" s="40">
        <f t="shared" si="26"/>
        <v>2.521000000000015</v>
      </c>
      <c r="H112" s="40">
        <f t="shared" si="26"/>
        <v>-6.364</v>
      </c>
      <c r="I112" s="39"/>
      <c r="J112" s="39"/>
    </row>
    <row r="114" ht="24" customHeight="1">
      <c r="B114" s="70" t="s">
        <v>72</v>
      </c>
      <c r="C114" s="71"/>
      <c r="D114" s="72">
        <f t="shared" si="27" ref="D114:H114">SUM(D103,D107,D112)</f>
        <v>28.3027485672687</v>
      </c>
      <c r="E114" s="72">
        <f t="shared" si="27"/>
        <v>3.9930000000000003</v>
      </c>
      <c r="F114" s="72">
        <f t="shared" si="27"/>
        <v>20.673000000000002</v>
      </c>
      <c r="G114" s="72">
        <f t="shared" si="27"/>
        <v>-37.534000000000006</v>
      </c>
      <c r="H114" s="72">
        <f t="shared" si="27"/>
        <v>-1.0550000000000024</v>
      </c>
      <c r="I114" s="71"/>
      <c r="J114" s="73"/>
    </row>
    <row r="118" ht="24" customHeight="1">
      <c r="E118" s="51"/>
      <c r="F118" s="51"/>
      <c r="G118" s="51"/>
      <c r="H118" s="51"/>
    </row>
  </sheetData>
  <mergeCells>
    <mergeCell ref="J10:J11"/>
    <mergeCell ref="J40:J41"/>
    <mergeCell ref="J96:J97"/>
  </mergeCells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56056AA-1008-1383-E057-C4BDDAEA113E}" mc:Ignorable="x14ac xr xr2 xr3">
  <sheetPr>
    <tabColor theme="8" tint="-0.25"/>
  </sheetPr>
  <dimension ref="A1:N64"/>
  <sheetViews>
    <sheetView showGridLines="0" topLeftCell="A1" zoomScale="80" workbookViewId="0">
      <selection activeCell="A1" sqref="A1"/>
    </sheetView>
  </sheetViews>
  <sheetFormatPr defaultRowHeight="24" defaultColWidth="20.7109375" customHeight="1"/>
  <cols>
    <col min="1" max="1" style="34" width="10.7109375" customWidth="1"/>
    <col min="2" max="2" style="34" width="59.28125" customWidth="1"/>
    <col min="3" max="3" style="34" width="20.7109375" customWidth="1"/>
    <col min="4" max="13" style="34" width="16.7109375" customWidth="1"/>
    <col min="14" max="14" style="34" width="20.7109375" customWidth="1"/>
  </cols>
  <sheetData>
    <row r="2" ht="24" customHeight="1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ht="24" customHeight="1">
      <c r="B3" s="22" t="s">
        <v>73</v>
      </c>
      <c r="L3" s="23"/>
      <c r="M3" s="23" t="s">
        <v>3</v>
      </c>
    </row>
    <row r="5" ht="24" customHeight="1">
      <c r="B5" s="24" t="s">
        <v>4</v>
      </c>
    </row>
    <row r="6" ht="24" customHeight="1">
      <c r="A6" s="25" t="s">
        <v>5</v>
      </c>
      <c r="B6" s="26" t="s">
        <v>74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5" t="s">
        <v>5</v>
      </c>
    </row>
    <row r="7" ht="6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ht="24" customHeight="1">
      <c r="A8" s="27"/>
      <c r="B8" s="74" t="s">
        <v>75</v>
      </c>
      <c r="C8" s="75"/>
      <c r="D8" s="75"/>
      <c r="E8" s="76">
        <f>'P&amp;L Drivers'!$E$8</f>
        <v>1</v>
      </c>
      <c r="F8" s="27"/>
      <c r="G8" s="27"/>
      <c r="H8" s="27"/>
      <c r="I8" s="27"/>
      <c r="J8" s="27"/>
      <c r="K8" s="27"/>
      <c r="L8" s="27"/>
    </row>
    <row r="9" ht="6" customHeight="1">
      <c r="A9" s="27"/>
      <c r="B9" s="75"/>
      <c r="C9" s="75"/>
      <c r="D9" s="75"/>
      <c r="E9" s="75"/>
      <c r="F9" s="27"/>
      <c r="G9" s="27"/>
      <c r="H9" s="27"/>
      <c r="I9" s="27"/>
      <c r="J9" s="27"/>
      <c r="K9" s="27"/>
      <c r="L9" s="27"/>
    </row>
    <row r="10" ht="24" customHeight="1">
      <c r="A10" s="27"/>
      <c r="B10" s="74" t="s">
        <v>76</v>
      </c>
      <c r="C10" s="75"/>
      <c r="D10" s="75"/>
      <c r="E10" s="77" t="str">
        <f>CHOOSE($E$8,B22,B23,B24)</f>
        <v>Base Case</v>
      </c>
      <c r="F10" s="27"/>
      <c r="G10" s="27"/>
      <c r="H10" s="27"/>
      <c r="I10" s="27"/>
      <c r="J10" s="27"/>
      <c r="K10" s="27"/>
      <c r="L10" s="27"/>
    </row>
    <row r="11" ht="24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</row>
    <row r="12" ht="24" customHeight="1">
      <c r="D12" s="29">
        <v>42004</v>
      </c>
      <c r="E12" s="29">
        <f t="shared" si="0" ref="E12:M28">EOMONTH(D12,12)</f>
        <v>42369</v>
      </c>
      <c r="F12" s="29">
        <f t="shared" si="0"/>
        <v>42735</v>
      </c>
      <c r="G12" s="29">
        <f t="shared" si="0"/>
        <v>43100</v>
      </c>
      <c r="H12" s="29">
        <f t="shared" si="0"/>
        <v>43465</v>
      </c>
      <c r="I12" s="29">
        <f t="shared" si="0"/>
        <v>43830</v>
      </c>
      <c r="J12" s="29">
        <f t="shared" si="0"/>
        <v>44196</v>
      </c>
      <c r="K12" s="29">
        <f t="shared" si="0"/>
        <v>44561</v>
      </c>
      <c r="L12" s="29">
        <f t="shared" si="0"/>
        <v>44926</v>
      </c>
      <c r="M12" s="29">
        <f t="shared" si="0"/>
        <v>45291</v>
      </c>
    </row>
    <row r="13" ht="24" customHeight="1">
      <c r="B13" s="31"/>
      <c r="C13" s="31"/>
      <c r="D13" s="32">
        <f t="shared" si="1" ref="D13:M29">YEAR(D12)</f>
        <v>2014</v>
      </c>
      <c r="E13" s="32">
        <f t="shared" si="1"/>
        <v>2015</v>
      </c>
      <c r="F13" s="32">
        <f t="shared" si="1"/>
        <v>2016</v>
      </c>
      <c r="G13" s="32">
        <f t="shared" si="1"/>
        <v>2017</v>
      </c>
      <c r="H13" s="32">
        <f t="shared" si="1"/>
        <v>2018</v>
      </c>
      <c r="I13" s="78">
        <f t="shared" si="1"/>
        <v>2019</v>
      </c>
      <c r="J13" s="78">
        <f t="shared" si="1"/>
        <v>2020</v>
      </c>
      <c r="K13" s="78">
        <f t="shared" si="1"/>
        <v>2021</v>
      </c>
      <c r="L13" s="78">
        <f t="shared" si="1"/>
        <v>2022</v>
      </c>
      <c r="M13" s="78">
        <f t="shared" si="1"/>
        <v>2023</v>
      </c>
    </row>
    <row r="14" ht="6" customHeight="1"/>
    <row r="15" ht="24" customHeight="1">
      <c r="A15" s="25" t="s">
        <v>5</v>
      </c>
      <c r="B15" s="28" t="s">
        <v>78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5" t="s">
        <v>5</v>
      </c>
    </row>
    <row r="16" ht="6" customHeight="1"/>
    <row r="17" ht="24" customHeight="1">
      <c r="B17" s="34" t="s">
        <v>79</v>
      </c>
      <c r="D17" s="79">
        <f>'Historical Financials'!D105</f>
        <v>-52.3732184543066</v>
      </c>
      <c r="E17" s="79">
        <f>'Historical Financials'!E105</f>
        <v>-34.9370179551847</v>
      </c>
      <c r="F17" s="79">
        <f>'Historical Financials'!F105</f>
        <v>-37.073</v>
      </c>
      <c r="G17" s="79">
        <f>'Historical Financials'!G105</f>
        <v>-47.387</v>
      </c>
      <c r="H17" s="79">
        <f>'Historical Financials'!H105</f>
        <v>-63.662</v>
      </c>
      <c r="I17" s="79">
        <f>-PRODUCT(I$20,SUM('P&amp;L Drivers'!I17,'P&amp;L Drivers'!I28))</f>
        <v>-74.902428</v>
      </c>
      <c r="J17" s="79">
        <f>-PRODUCT(J$20,SUM('P&amp;L Drivers'!J17,'P&amp;L Drivers'!J28))</f>
        <v>-84.5639628</v>
      </c>
      <c r="K17" s="79">
        <f>-PRODUCT(K$20,SUM('P&amp;L Drivers'!K17,'P&amp;L Drivers'!K28))</f>
        <v>-95.51734487999998</v>
      </c>
      <c r="L17" s="79">
        <f>-PRODUCT(L$20,SUM('P&amp;L Drivers'!L17,'P&amp;L Drivers'!L28))</f>
        <v>-107.940613038</v>
      </c>
      <c r="M17" s="79">
        <f>-PRODUCT(M$20,SUM('P&amp;L Drivers'!M17,'P&amp;L Drivers'!M28))</f>
        <v>-122.03693806229997</v>
      </c>
    </row>
    <row r="18" ht="24" customHeight="1">
      <c r="B18" s="80" t="s">
        <v>80</v>
      </c>
      <c r="D18" s="81">
        <f>-D17/'Historical Financials'!D15</f>
        <v>0.09790448021338127</v>
      </c>
      <c r="E18" s="81">
        <f>-E17/'Historical Financials'!E15</f>
        <v>0.09790448021338134</v>
      </c>
      <c r="F18" s="81">
        <f>-F17/'Historical Financials'!F15</f>
        <v>0.09790448021338123</v>
      </c>
      <c r="G18" s="81">
        <f>-G17/'Historical Financials'!G15</f>
        <v>0.09237790197848213</v>
      </c>
      <c r="H18" s="81">
        <f>-H17/'Historical Financials'!H15</f>
        <v>0.11509222817411174</v>
      </c>
      <c r="I18" s="81">
        <f>-I17/SUM('P&amp;L Drivers'!I17,'P&amp;L Drivers'!I28)</f>
        <v>0.12</v>
      </c>
      <c r="J18" s="81">
        <f>-J17/SUM('P&amp;L Drivers'!J17,'P&amp;L Drivers'!J28)</f>
        <v>0.12</v>
      </c>
      <c r="K18" s="81">
        <f>-K17/SUM('P&amp;L Drivers'!K17,'P&amp;L Drivers'!K28)</f>
        <v>0.11999999999999998</v>
      </c>
      <c r="L18" s="81">
        <f>-L17/SUM('P&amp;L Drivers'!L17,'P&amp;L Drivers'!L28)</f>
        <v>0.12</v>
      </c>
      <c r="M18" s="81">
        <f>-M17/SUM('P&amp;L Drivers'!M17,'P&amp;L Drivers'!M28)</f>
        <v>0.12</v>
      </c>
    </row>
    <row r="20" ht="24" customHeight="1">
      <c r="B20" s="82" t="str">
        <f>"Operating Scenario: "&amp;$E$10&amp;" % of Total Revenue"</f>
        <v>Operating Scenario: Base Case % of Total Revenue</v>
      </c>
      <c r="C20" s="83"/>
      <c r="D20" s="83"/>
      <c r="E20" s="84"/>
      <c r="F20" s="84"/>
      <c r="G20" s="84"/>
      <c r="H20" s="85"/>
      <c r="I20" s="86">
        <f t="shared" si="2" ref="I20:M20">INDEX(I$22:I$24,MATCH($E$10,$B$22:$B$24,0),0)</f>
        <v>0.12</v>
      </c>
      <c r="J20" s="86">
        <f t="shared" si="2"/>
        <v>0.12</v>
      </c>
      <c r="K20" s="86">
        <f t="shared" si="2"/>
        <v>0.12</v>
      </c>
      <c r="L20" s="86">
        <f t="shared" si="2"/>
        <v>0.12</v>
      </c>
      <c r="M20" s="87">
        <f t="shared" si="2"/>
        <v>0.12</v>
      </c>
    </row>
    <row r="21" ht="6" customHeight="1">
      <c r="I21" s="88"/>
      <c r="J21" s="88"/>
      <c r="K21" s="88"/>
      <c r="L21" s="88"/>
      <c r="M21" s="88"/>
    </row>
    <row r="22" ht="24" customHeight="1">
      <c r="B22" s="80" t="s">
        <v>77</v>
      </c>
      <c r="I22" s="89">
        <v>0.12</v>
      </c>
      <c r="J22" s="89">
        <v>0.12</v>
      </c>
      <c r="K22" s="89">
        <v>0.12</v>
      </c>
      <c r="L22" s="89">
        <v>0.12</v>
      </c>
      <c r="M22" s="89">
        <v>0.12</v>
      </c>
    </row>
    <row r="23" ht="24" customHeight="1">
      <c r="B23" s="80" t="s">
        <v>82</v>
      </c>
      <c r="I23" s="89">
        <v>0.1</v>
      </c>
      <c r="J23" s="89">
        <v>0.1</v>
      </c>
      <c r="K23" s="89">
        <v>0.1</v>
      </c>
      <c r="L23" s="89">
        <v>0.1</v>
      </c>
      <c r="M23" s="89">
        <v>0.1</v>
      </c>
    </row>
    <row r="24" ht="24" customHeight="1">
      <c r="B24" s="80" t="s">
        <v>83</v>
      </c>
      <c r="I24" s="89">
        <v>0.15</v>
      </c>
      <c r="J24" s="89">
        <v>0.15</v>
      </c>
      <c r="K24" s="89">
        <v>0.15</v>
      </c>
      <c r="L24" s="89">
        <v>0.15</v>
      </c>
      <c r="M24" s="89">
        <v>0.15</v>
      </c>
    </row>
    <row r="26" ht="24" customHeight="1">
      <c r="A26" s="25" t="s">
        <v>5</v>
      </c>
      <c r="B26" s="26" t="s">
        <v>84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5" t="s">
        <v>5</v>
      </c>
    </row>
    <row r="27" ht="6" customHeight="1"/>
    <row r="28" ht="24" customHeight="1">
      <c r="D28" s="29">
        <v>42004</v>
      </c>
      <c r="E28" s="29">
        <f t="shared" si="0"/>
        <v>42369</v>
      </c>
      <c r="F28" s="29">
        <f t="shared" si="0"/>
        <v>42735</v>
      </c>
      <c r="G28" s="29">
        <f t="shared" si="0"/>
        <v>43100</v>
      </c>
      <c r="H28" s="29">
        <f t="shared" si="0"/>
        <v>43465</v>
      </c>
      <c r="I28" s="29">
        <f t="shared" si="0"/>
        <v>43830</v>
      </c>
      <c r="J28" s="29">
        <f t="shared" si="0"/>
        <v>44196</v>
      </c>
      <c r="K28" s="29">
        <f t="shared" si="0"/>
        <v>44561</v>
      </c>
      <c r="L28" s="29">
        <f t="shared" si="0"/>
        <v>44926</v>
      </c>
      <c r="M28" s="29">
        <f t="shared" si="0"/>
        <v>45291</v>
      </c>
    </row>
    <row r="29" ht="24" customHeight="1">
      <c r="B29" s="31"/>
      <c r="C29" s="31"/>
      <c r="D29" s="32">
        <f t="shared" si="1"/>
        <v>2014</v>
      </c>
      <c r="E29" s="32">
        <f t="shared" si="1"/>
        <v>2015</v>
      </c>
      <c r="F29" s="32">
        <f t="shared" si="1"/>
        <v>2016</v>
      </c>
      <c r="G29" s="32">
        <f t="shared" si="1"/>
        <v>2017</v>
      </c>
      <c r="H29" s="32">
        <f t="shared" si="1"/>
        <v>2018</v>
      </c>
      <c r="I29" s="78">
        <f t="shared" si="1"/>
        <v>2019</v>
      </c>
      <c r="J29" s="78">
        <f t="shared" si="1"/>
        <v>2020</v>
      </c>
      <c r="K29" s="78">
        <f t="shared" si="1"/>
        <v>2021</v>
      </c>
      <c r="L29" s="78">
        <f t="shared" si="1"/>
        <v>2022</v>
      </c>
      <c r="M29" s="78">
        <f t="shared" si="1"/>
        <v>2023</v>
      </c>
    </row>
    <row r="30" ht="6" customHeight="1"/>
    <row r="31" ht="24" customHeight="1">
      <c r="B31" s="90" t="s">
        <v>11</v>
      </c>
      <c r="C31" s="60"/>
      <c r="D31" s="91">
        <f>SUM('P&amp;L Drivers'!D17,'P&amp;L Drivers'!D28)</f>
        <v>534.942</v>
      </c>
      <c r="E31" s="91">
        <f>SUM('P&amp;L Drivers'!E17,'P&amp;L Drivers'!E28)</f>
        <v>356.84799999999996</v>
      </c>
      <c r="F31" s="91">
        <f>SUM('P&amp;L Drivers'!F17,'P&amp;L Drivers'!F28)</f>
        <v>378.66499999999996</v>
      </c>
      <c r="G31" s="91">
        <f>SUM('P&amp;L Drivers'!G17,'P&amp;L Drivers'!G28)</f>
        <v>512.969</v>
      </c>
      <c r="H31" s="91">
        <f>SUM('P&amp;L Drivers'!H17,'P&amp;L Drivers'!H28)</f>
        <v>553.139</v>
      </c>
      <c r="I31" s="91">
        <f>SUM('P&amp;L Drivers'!I17,'P&amp;L Drivers'!I28)</f>
        <v>624.1869</v>
      </c>
      <c r="J31" s="91">
        <f>SUM('P&amp;L Drivers'!J17,'P&amp;L Drivers'!J28)</f>
        <v>704.69969</v>
      </c>
      <c r="K31" s="91">
        <f>SUM('P&amp;L Drivers'!K17,'P&amp;L Drivers'!K28)</f>
        <v>795.9778739999999</v>
      </c>
      <c r="L31" s="91">
        <f>SUM('P&amp;L Drivers'!L17,'P&amp;L Drivers'!L28)</f>
        <v>899.50510865</v>
      </c>
      <c r="M31" s="92">
        <f>SUM('P&amp;L Drivers'!M17,'P&amp;L Drivers'!M28)</f>
        <v>1016.9744838524998</v>
      </c>
    </row>
    <row r="32" ht="24" customHeight="1">
      <c r="B32" s="93" t="s">
        <v>85</v>
      </c>
      <c r="C32" s="64"/>
      <c r="D32" s="94">
        <f>-SUM('P&amp;L Drivers'!D41,'P&amp;L Drivers'!D52)</f>
        <v>368.0990329784247</v>
      </c>
      <c r="E32" s="94">
        <f>-SUM('P&amp;L Drivers'!E41,'P&amp;L Drivers'!E52)</f>
        <v>286.1744829047607</v>
      </c>
      <c r="F32" s="94">
        <f>-SUM('P&amp;L Drivers'!F41,'P&amp;L Drivers'!F52)</f>
        <v>271.028</v>
      </c>
      <c r="G32" s="94">
        <f>-SUM('P&amp;L Drivers'!G41,'P&amp;L Drivers'!G52)</f>
        <v>370.333</v>
      </c>
      <c r="H32" s="94">
        <f>-SUM('P&amp;L Drivers'!H41,'P&amp;L Drivers'!H52)</f>
        <v>378.0700000000001</v>
      </c>
      <c r="I32" s="94">
        <f>-SUM('P&amp;L Drivers'!I41,'P&amp;L Drivers'!I52)</f>
        <v>405.72148500000003</v>
      </c>
      <c r="J32" s="94">
        <f>-SUM('P&amp;L Drivers'!J41,'P&amp;L Drivers'!J52)</f>
        <v>458.05479850000006</v>
      </c>
      <c r="K32" s="94">
        <f>-SUM('P&amp;L Drivers'!K41,'P&amp;L Drivers'!K52)</f>
        <v>517.3856181</v>
      </c>
      <c r="L32" s="94">
        <f>-SUM('P&amp;L Drivers'!L41,'P&amp;L Drivers'!L52)</f>
        <v>584.6783206225</v>
      </c>
      <c r="M32" s="95">
        <f>-SUM('P&amp;L Drivers'!M41,'P&amp;L Drivers'!M52)</f>
        <v>661.033414504125</v>
      </c>
    </row>
    <row r="34" ht="24" customHeight="1">
      <c r="B34" s="57" t="s">
        <v>55</v>
      </c>
    </row>
    <row r="35" ht="24" customHeight="1">
      <c r="B35" s="34" t="s">
        <v>32</v>
      </c>
      <c r="D35" s="79">
        <f>'Historical Financials'!D77</f>
        <v>48.573</v>
      </c>
      <c r="E35" s="79">
        <f>'Historical Financials'!E77</f>
        <v>53.97</v>
      </c>
      <c r="F35" s="79">
        <f>'Historical Financials'!F77</f>
        <v>72.971</v>
      </c>
      <c r="G35" s="79">
        <f>'Historical Financials'!G77</f>
        <v>117.711</v>
      </c>
      <c r="H35" s="79">
        <f>'Historical Financials'!H77</f>
        <v>130.769</v>
      </c>
      <c r="I35" s="55">
        <f t="shared" si="3" ref="I35:M35">PRODUCT(I$54/365.25)*I$31</f>
        <v>145.25910061601644</v>
      </c>
      <c r="J35" s="55">
        <f t="shared" si="3"/>
        <v>163.99582108145106</v>
      </c>
      <c r="K35" s="55">
        <f t="shared" si="3"/>
        <v>185.23783515400407</v>
      </c>
      <c r="L35" s="55">
        <f t="shared" si="3"/>
        <v>209.33041542847363</v>
      </c>
      <c r="M35" s="55">
        <f t="shared" si="3"/>
        <v>236.66757324425046</v>
      </c>
    </row>
    <row r="36" ht="24" customHeight="1">
      <c r="B36" s="34" t="s">
        <v>33</v>
      </c>
      <c r="D36" s="96">
        <f>'Historical Financials'!D78</f>
        <v>66.9051</v>
      </c>
      <c r="E36" s="96">
        <f>'Historical Financials'!E78</f>
        <v>74.339</v>
      </c>
      <c r="F36" s="96">
        <f>'Historical Financials'!F78</f>
        <v>59.19</v>
      </c>
      <c r="G36" s="96">
        <f>'Historical Financials'!G78</f>
        <v>111.769</v>
      </c>
      <c r="H36" s="96">
        <f>'Historical Financials'!H78</f>
        <v>124.506</v>
      </c>
      <c r="I36" s="97">
        <f t="shared" si="4" ref="I36:M36">PRODUCT(I$55/365.25)*I$32</f>
        <v>111.0804887063655</v>
      </c>
      <c r="J36" s="97">
        <f t="shared" si="4"/>
        <v>125.40856906228612</v>
      </c>
      <c r="K36" s="97">
        <f t="shared" si="4"/>
        <v>141.65246217659137</v>
      </c>
      <c r="L36" s="97">
        <f t="shared" si="4"/>
        <v>160.07620003353867</v>
      </c>
      <c r="M36" s="97">
        <f t="shared" si="4"/>
        <v>180.9810854220739</v>
      </c>
    </row>
    <row r="37" ht="24" customHeight="1">
      <c r="B37" s="34" t="s">
        <v>34</v>
      </c>
      <c r="D37" s="96">
        <f>'Historical Financials'!D79</f>
        <v>9.8505</v>
      </c>
      <c r="E37" s="96">
        <f>'Historical Financials'!E79</f>
        <v>10.945</v>
      </c>
      <c r="F37" s="96">
        <f>'Historical Financials'!F79</f>
        <v>2.343</v>
      </c>
      <c r="G37" s="96">
        <f>'Historical Financials'!G79</f>
        <v>3.02</v>
      </c>
      <c r="H37" s="96">
        <f>'Historical Financials'!H79</f>
        <v>4.228</v>
      </c>
      <c r="I37" s="97">
        <f t="shared" si="5" ref="I37:M37">PRODUCT(I$56,I$31)</f>
        <v>6.241869</v>
      </c>
      <c r="J37" s="97">
        <f t="shared" si="5"/>
        <v>7.046996900000001</v>
      </c>
      <c r="K37" s="97">
        <f t="shared" si="5"/>
        <v>7.959778739999999</v>
      </c>
      <c r="L37" s="97">
        <f t="shared" si="5"/>
        <v>8.9950510865</v>
      </c>
      <c r="M37" s="97">
        <f t="shared" si="5"/>
        <v>10.169744838524998</v>
      </c>
    </row>
    <row r="38" ht="24" customHeight="1">
      <c r="B38" s="34" t="s">
        <v>35</v>
      </c>
      <c r="D38" s="96">
        <f>'Historical Financials'!D80</f>
        <v>12.4524</v>
      </c>
      <c r="E38" s="96">
        <f>'Historical Financials'!E80</f>
        <v>13.836</v>
      </c>
      <c r="F38" s="96">
        <f>'Historical Financials'!F80</f>
        <v>8.11</v>
      </c>
      <c r="G38" s="96">
        <f>'Historical Financials'!G80</f>
        <v>4.909</v>
      </c>
      <c r="H38" s="96">
        <f>'Historical Financials'!H80</f>
        <v>4.367</v>
      </c>
      <c r="I38" s="97">
        <f t="shared" si="6" ref="I38:M38">PRODUCT(I$57,I$31)</f>
        <v>9.3628035</v>
      </c>
      <c r="J38" s="97">
        <f t="shared" si="6"/>
        <v>10.57049535</v>
      </c>
      <c r="K38" s="97">
        <f t="shared" si="6"/>
        <v>11.939668109999998</v>
      </c>
      <c r="L38" s="97">
        <f t="shared" si="6"/>
        <v>13.49257662975</v>
      </c>
      <c r="M38" s="97">
        <f t="shared" si="6"/>
        <v>15.254617257787496</v>
      </c>
    </row>
    <row r="39" ht="24" customHeight="1">
      <c r="B39" s="34" t="s">
        <v>36</v>
      </c>
      <c r="D39" s="96">
        <f>'Historical Financials'!D81</f>
        <v>16.812</v>
      </c>
      <c r="E39" s="96">
        <f>'Historical Financials'!E81</f>
        <v>18.68</v>
      </c>
      <c r="F39" s="96">
        <f>'Historical Financials'!F81</f>
        <v>22.768</v>
      </c>
      <c r="G39" s="96">
        <f>'Historical Financials'!G81</f>
        <v>33.326</v>
      </c>
      <c r="H39" s="96">
        <f>'Historical Financials'!H81</f>
        <v>40.331</v>
      </c>
      <c r="I39" s="97">
        <f>PRODUCT(I$58,I$32)</f>
        <v>34.486326225000006</v>
      </c>
      <c r="J39" s="97">
        <f t="shared" si="7" ref="J39:M39">PRODUCT(J$58,J32)</f>
        <v>38.93465787250001</v>
      </c>
      <c r="K39" s="97">
        <f t="shared" si="7"/>
        <v>43.9777775385</v>
      </c>
      <c r="L39" s="97">
        <f t="shared" si="7"/>
        <v>49.69765725291251</v>
      </c>
      <c r="M39" s="97">
        <f t="shared" si="7"/>
        <v>56.187840232850625</v>
      </c>
    </row>
    <row r="40" ht="24" customHeight="1">
      <c r="B40" s="38" t="s">
        <v>56</v>
      </c>
      <c r="C40" s="39"/>
      <c r="D40" s="40">
        <f t="shared" si="8" ref="D40:M47">SUM(D35:D39)</f>
        <v>154.59300000000002</v>
      </c>
      <c r="E40" s="40">
        <f t="shared" si="8"/>
        <v>171.77</v>
      </c>
      <c r="F40" s="40">
        <f t="shared" si="8"/>
        <v>165.38199999999998</v>
      </c>
      <c r="G40" s="40">
        <f t="shared" si="8"/>
        <v>270.735</v>
      </c>
      <c r="H40" s="40">
        <f t="shared" si="8"/>
        <v>304.201</v>
      </c>
      <c r="I40" s="40">
        <f t="shared" si="8"/>
        <v>306.43058804738195</v>
      </c>
      <c r="J40" s="40">
        <f t="shared" si="8"/>
        <v>345.95654026623714</v>
      </c>
      <c r="K40" s="40">
        <f t="shared" si="8"/>
        <v>390.76752171909544</v>
      </c>
      <c r="L40" s="40">
        <f t="shared" si="8"/>
        <v>441.59190043117474</v>
      </c>
      <c r="M40" s="40">
        <f t="shared" si="8"/>
        <v>499.2608609954875</v>
      </c>
    </row>
    <row r="42" ht="24" customHeight="1">
      <c r="B42" s="34" t="s">
        <v>43</v>
      </c>
      <c r="D42" s="79">
        <f>'Historical Financials'!D84</f>
        <v>13</v>
      </c>
      <c r="E42" s="79">
        <f>'Historical Financials'!E84</f>
        <v>15.992</v>
      </c>
      <c r="F42" s="79">
        <f>'Historical Financials'!F84</f>
        <v>23.785</v>
      </c>
      <c r="G42" s="79">
        <f>'Historical Financials'!G84</f>
        <v>57.443</v>
      </c>
      <c r="H42" s="79">
        <f>'Historical Financials'!H84</f>
        <v>43.603</v>
      </c>
      <c r="I42" s="55">
        <f t="shared" si="9" ref="I42:M42">(I60/365.25)*I32</f>
        <v>44.432195482546206</v>
      </c>
      <c r="J42" s="55">
        <f t="shared" si="9"/>
        <v>50.16342762491445</v>
      </c>
      <c r="K42" s="55">
        <f t="shared" si="9"/>
        <v>56.66098487063655</v>
      </c>
      <c r="L42" s="55">
        <f t="shared" si="9"/>
        <v>64.03048001341547</v>
      </c>
      <c r="M42" s="55">
        <f t="shared" si="9"/>
        <v>72.39243416882955</v>
      </c>
    </row>
    <row r="43" ht="24" customHeight="1">
      <c r="B43" s="34" t="s">
        <v>44</v>
      </c>
      <c r="D43" s="96">
        <f>'Historical Financials'!D85</f>
        <v>16</v>
      </c>
      <c r="E43" s="96">
        <f>'Historical Financials'!E85</f>
        <v>14.007</v>
      </c>
      <c r="F43" s="96">
        <f>'Historical Financials'!F85</f>
        <v>11.987</v>
      </c>
      <c r="G43" s="96">
        <f>'Historical Financials'!G85</f>
        <v>25.924</v>
      </c>
      <c r="H43" s="96">
        <f>'Historical Financials'!H85</f>
        <v>10.65</v>
      </c>
      <c r="I43" s="58">
        <f t="shared" si="10" ref="I43:M43">PRODUCT(I$61,I$31)</f>
        <v>18.725607</v>
      </c>
      <c r="J43" s="58">
        <f t="shared" si="10"/>
        <v>21.1409907</v>
      </c>
      <c r="K43" s="58">
        <f t="shared" si="10"/>
        <v>23.879336219999995</v>
      </c>
      <c r="L43" s="58">
        <f t="shared" si="10"/>
        <v>26.9851532595</v>
      </c>
      <c r="M43" s="58">
        <f t="shared" si="10"/>
        <v>30.50923451557499</v>
      </c>
    </row>
    <row r="44" ht="24" customHeight="1">
      <c r="B44" s="34" t="s">
        <v>45</v>
      </c>
      <c r="D44" s="96">
        <f>'Historical Financials'!D86</f>
        <v>2.5</v>
      </c>
      <c r="E44" s="96">
        <f>'Historical Financials'!E86</f>
        <v>2.251</v>
      </c>
      <c r="F44" s="96">
        <f>'Historical Financials'!F86</f>
        <v>1.698</v>
      </c>
      <c r="G44" s="96">
        <f>'Historical Financials'!G86</f>
        <v>3.103</v>
      </c>
      <c r="H44" s="96">
        <f>'Historical Financials'!H86</f>
        <v>3.719</v>
      </c>
      <c r="I44" s="58">
        <f t="shared" si="11" ref="I44:M44">PRODUCT(I$62,I$31)</f>
        <v>3.1209345</v>
      </c>
      <c r="J44" s="58">
        <f t="shared" si="11"/>
        <v>3.5234984500000004</v>
      </c>
      <c r="K44" s="58">
        <f t="shared" si="11"/>
        <v>3.9798893699999995</v>
      </c>
      <c r="L44" s="58">
        <f t="shared" si="11"/>
        <v>4.49752554325</v>
      </c>
      <c r="M44" s="58">
        <f t="shared" si="11"/>
        <v>5.084872419262499</v>
      </c>
    </row>
    <row r="45" ht="24" customHeight="1">
      <c r="B45" s="34" t="s">
        <v>46</v>
      </c>
      <c r="D45" s="96">
        <f>'Historical Financials'!D87</f>
        <v>0</v>
      </c>
      <c r="E45" s="96">
        <f>'Historical Financials'!E87</f>
        <v>0</v>
      </c>
      <c r="F45" s="96">
        <f>'Historical Financials'!F87</f>
        <v>3.433</v>
      </c>
      <c r="G45" s="96">
        <f>'Historical Financials'!G87</f>
        <v>2.336</v>
      </c>
      <c r="H45" s="96">
        <f>'Historical Financials'!H87</f>
        <v>6.894</v>
      </c>
      <c r="I45" s="58">
        <f t="shared" si="12" ref="I45:M45">PRODUCT(I$63,I$32)</f>
        <v>4.05721485</v>
      </c>
      <c r="J45" s="58">
        <f t="shared" si="12"/>
        <v>4.580547985000001</v>
      </c>
      <c r="K45" s="58">
        <f t="shared" si="12"/>
        <v>5.173856181</v>
      </c>
      <c r="L45" s="58">
        <f t="shared" si="12"/>
        <v>5.846783206225</v>
      </c>
      <c r="M45" s="58">
        <f t="shared" si="12"/>
        <v>6.61033414504125</v>
      </c>
    </row>
    <row r="46" ht="24" customHeight="1">
      <c r="B46" s="34" t="s">
        <v>47</v>
      </c>
      <c r="D46" s="96">
        <f>'Historical Financials'!D88</f>
        <v>23</v>
      </c>
      <c r="E46" s="96">
        <f>'Historical Financials'!E88</f>
        <v>27.075</v>
      </c>
      <c r="F46" s="96">
        <f>'Historical Financials'!F88</f>
        <v>32.289</v>
      </c>
      <c r="G46" s="96">
        <f>'Historical Financials'!G88</f>
        <v>34.069</v>
      </c>
      <c r="H46" s="96">
        <f>'Historical Financials'!H88</f>
        <v>41.572</v>
      </c>
      <c r="I46" s="58">
        <f t="shared" si="13" ref="I46:M46">PRODUCT(I$64,I$32)</f>
        <v>40.572148500000004</v>
      </c>
      <c r="J46" s="58">
        <f t="shared" si="13"/>
        <v>45.80547985000001</v>
      </c>
      <c r="K46" s="58">
        <f t="shared" si="13"/>
        <v>51.73856181</v>
      </c>
      <c r="L46" s="58">
        <f t="shared" si="13"/>
        <v>58.467832062250004</v>
      </c>
      <c r="M46" s="58">
        <f t="shared" si="13"/>
        <v>66.1033414504125</v>
      </c>
    </row>
    <row r="47" ht="24" customHeight="1">
      <c r="B47" s="38" t="s">
        <v>57</v>
      </c>
      <c r="C47" s="39"/>
      <c r="D47" s="40">
        <f t="shared" si="8"/>
        <v>54.5</v>
      </c>
      <c r="E47" s="40">
        <f t="shared" si="8"/>
        <v>59.325</v>
      </c>
      <c r="F47" s="40">
        <f t="shared" si="8"/>
        <v>73.19200000000001</v>
      </c>
      <c r="G47" s="40">
        <f t="shared" si="8"/>
        <v>122.87499999999999</v>
      </c>
      <c r="H47" s="40">
        <f t="shared" si="8"/>
        <v>106.438</v>
      </c>
      <c r="I47" s="40">
        <f t="shared" si="8"/>
        <v>110.90810033254621</v>
      </c>
      <c r="J47" s="40">
        <f t="shared" si="8"/>
        <v>125.21394460991446</v>
      </c>
      <c r="K47" s="40">
        <f t="shared" si="8"/>
        <v>141.43262845163653</v>
      </c>
      <c r="L47" s="40">
        <f t="shared" si="8"/>
        <v>159.82777408464048</v>
      </c>
      <c r="M47" s="40">
        <f t="shared" si="8"/>
        <v>180.7002166991208</v>
      </c>
    </row>
    <row r="48" ht="24" customHeight="1">
      <c r="B48" s="54"/>
    </row>
    <row r="49" ht="24" customHeight="1">
      <c r="B49" s="59" t="s">
        <v>58</v>
      </c>
      <c r="C49" s="60"/>
      <c r="D49" s="61">
        <f t="shared" si="14" ref="D49:M49">D40-D47</f>
        <v>100.09300000000002</v>
      </c>
      <c r="E49" s="61">
        <f t="shared" si="14"/>
        <v>112.44500000000001</v>
      </c>
      <c r="F49" s="61">
        <f t="shared" si="14"/>
        <v>92.18999999999997</v>
      </c>
      <c r="G49" s="61">
        <f t="shared" si="14"/>
        <v>147.86</v>
      </c>
      <c r="H49" s="61">
        <f t="shared" si="14"/>
        <v>197.76300000000003</v>
      </c>
      <c r="I49" s="61">
        <f t="shared" si="14"/>
        <v>195.52248771483573</v>
      </c>
      <c r="J49" s="61">
        <f t="shared" si="14"/>
        <v>220.7425956563227</v>
      </c>
      <c r="K49" s="61">
        <f t="shared" si="14"/>
        <v>249.3348932674589</v>
      </c>
      <c r="L49" s="61">
        <f t="shared" si="14"/>
        <v>281.7641263465342</v>
      </c>
      <c r="M49" s="98">
        <f t="shared" si="14"/>
        <v>318.5606442963667</v>
      </c>
    </row>
    <row r="50" ht="24" customHeight="1">
      <c r="B50" s="63" t="s">
        <v>59</v>
      </c>
      <c r="C50" s="64"/>
      <c r="D50" s="99">
        <f>'Historical Financials'!D92</f>
        <v>-8.7</v>
      </c>
      <c r="E50" s="100">
        <f t="shared" si="15" ref="E50:M50">D49-E49</f>
        <v>-12.35199999999999</v>
      </c>
      <c r="F50" s="100">
        <f t="shared" si="15"/>
        <v>20.255000000000038</v>
      </c>
      <c r="G50" s="100">
        <f t="shared" si="15"/>
        <v>-55.670000000000044</v>
      </c>
      <c r="H50" s="100">
        <f t="shared" si="15"/>
        <v>-49.90300000000002</v>
      </c>
      <c r="I50" s="100">
        <f t="shared" si="15"/>
        <v>2.2405122851643</v>
      </c>
      <c r="J50" s="100">
        <f t="shared" si="15"/>
        <v>-25.22010794148696</v>
      </c>
      <c r="K50" s="100">
        <f t="shared" si="15"/>
        <v>-28.592297611136217</v>
      </c>
      <c r="L50" s="100">
        <f t="shared" si="15"/>
        <v>-32.42923307907532</v>
      </c>
      <c r="M50" s="101">
        <f t="shared" si="15"/>
        <v>-36.79651794983249</v>
      </c>
    </row>
    <row r="52" ht="24" customHeight="1">
      <c r="B52" s="102" t="s">
        <v>84</v>
      </c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</row>
    <row r="53" ht="6" customHeight="1"/>
    <row r="54" ht="24" customHeight="1">
      <c r="B54" s="80" t="s">
        <v>86</v>
      </c>
      <c r="D54" s="58">
        <f t="shared" si="16" ref="D54:H55">D35/D31*365.25</f>
        <v>33.16488189373801</v>
      </c>
      <c r="E54" s="58">
        <f t="shared" si="16"/>
        <v>55.24072574317357</v>
      </c>
      <c r="F54" s="58">
        <f t="shared" si="16"/>
        <v>70.38584962961986</v>
      </c>
      <c r="G54" s="58">
        <f t="shared" si="16"/>
        <v>83.81392004195185</v>
      </c>
      <c r="H54" s="58">
        <f t="shared" si="16"/>
        <v>86.34968290068139</v>
      </c>
      <c r="I54" s="103">
        <v>85</v>
      </c>
      <c r="J54" s="58">
        <f t="shared" si="17" ref="J54:M54">$I$54</f>
        <v>85</v>
      </c>
      <c r="K54" s="58">
        <f t="shared" si="17"/>
        <v>85</v>
      </c>
      <c r="L54" s="58">
        <f t="shared" si="17"/>
        <v>85</v>
      </c>
      <c r="M54" s="58">
        <f t="shared" si="17"/>
        <v>85</v>
      </c>
    </row>
    <row r="55" ht="24" customHeight="1">
      <c r="B55" s="80" t="s">
        <v>87</v>
      </c>
      <c r="D55" s="58">
        <f t="shared" si="16"/>
        <v>66.38726425676953</v>
      </c>
      <c r="E55" s="58">
        <f t="shared" si="16"/>
        <v>94.88029636463547</v>
      </c>
      <c r="F55" s="58">
        <f t="shared" si="16"/>
        <v>79.76721039892557</v>
      </c>
      <c r="G55" s="58">
        <f t="shared" si="16"/>
        <v>110.23491627805247</v>
      </c>
      <c r="H55" s="58">
        <f t="shared" si="16"/>
        <v>120.28411802047236</v>
      </c>
      <c r="I55" s="103">
        <v>100</v>
      </c>
      <c r="J55" s="58">
        <f t="shared" si="18" ref="J55:M55">$I$55</f>
        <v>100</v>
      </c>
      <c r="K55" s="58">
        <f t="shared" si="18"/>
        <v>100</v>
      </c>
      <c r="L55" s="58">
        <f t="shared" si="18"/>
        <v>100</v>
      </c>
      <c r="M55" s="58">
        <f t="shared" si="18"/>
        <v>100</v>
      </c>
    </row>
    <row r="56" ht="24" customHeight="1">
      <c r="B56" s="80" t="s">
        <v>88</v>
      </c>
      <c r="D56" s="81">
        <f t="shared" si="19" ref="D56:H56">D37/D31</f>
        <v>0.018414145832632324</v>
      </c>
      <c r="E56" s="81">
        <f t="shared" si="19"/>
        <v>0.03067132224364436</v>
      </c>
      <c r="F56" s="81">
        <f t="shared" si="19"/>
        <v>0.0061875272338346565</v>
      </c>
      <c r="G56" s="81">
        <f t="shared" si="19"/>
        <v>0.0058872953336361455</v>
      </c>
      <c r="H56" s="81">
        <f t="shared" si="19"/>
        <v>0.0076436483415561005</v>
      </c>
      <c r="I56" s="89">
        <v>0.01</v>
      </c>
      <c r="J56" s="81">
        <f t="shared" si="20" ref="J56:M56">$I$56</f>
        <v>0.01</v>
      </c>
      <c r="K56" s="81">
        <f t="shared" si="20"/>
        <v>0.01</v>
      </c>
      <c r="L56" s="81">
        <f t="shared" si="20"/>
        <v>0.01</v>
      </c>
      <c r="M56" s="81">
        <f t="shared" si="20"/>
        <v>0.01</v>
      </c>
    </row>
    <row r="57" ht="24" customHeight="1">
      <c r="B57" s="80" t="s">
        <v>89</v>
      </c>
      <c r="D57" s="81">
        <f t="shared" si="21" ref="D57:H58">D38/D31</f>
        <v>0.023278037619031598</v>
      </c>
      <c r="E57" s="81">
        <f t="shared" si="21"/>
        <v>0.03877281083262342</v>
      </c>
      <c r="F57" s="81">
        <f t="shared" si="21"/>
        <v>0.021417347787622304</v>
      </c>
      <c r="G57" s="81">
        <f t="shared" si="21"/>
        <v>0.009569779070470144</v>
      </c>
      <c r="H57" s="81">
        <f t="shared" si="21"/>
        <v>0.007894941416172065</v>
      </c>
      <c r="I57" s="89">
        <v>0.015</v>
      </c>
      <c r="J57" s="81">
        <f t="shared" si="22" ref="J57:M57">$I$57</f>
        <v>0.015</v>
      </c>
      <c r="K57" s="81">
        <f t="shared" si="22"/>
        <v>0.015</v>
      </c>
      <c r="L57" s="81">
        <f t="shared" si="22"/>
        <v>0.015</v>
      </c>
      <c r="M57" s="81">
        <f t="shared" si="22"/>
        <v>0.015</v>
      </c>
    </row>
    <row r="58" ht="24" customHeight="1">
      <c r="B58" s="80" t="s">
        <v>90</v>
      </c>
      <c r="D58" s="81">
        <f t="shared" si="21"/>
        <v>0.04567249162261559</v>
      </c>
      <c r="E58" s="81">
        <f t="shared" si="21"/>
        <v>0.0652748624209683</v>
      </c>
      <c r="F58" s="81">
        <f t="shared" si="21"/>
        <v>0.08400608055256283</v>
      </c>
      <c r="G58" s="81">
        <f t="shared" si="21"/>
        <v>0.08998927991834375</v>
      </c>
      <c r="H58" s="81">
        <f t="shared" si="21"/>
        <v>0.10667601237866002</v>
      </c>
      <c r="I58" s="89">
        <v>0.085</v>
      </c>
      <c r="J58" s="81">
        <f t="shared" si="23" ref="J58:M58">$I$58</f>
        <v>0.085</v>
      </c>
      <c r="K58" s="81">
        <f t="shared" si="23"/>
        <v>0.085</v>
      </c>
      <c r="L58" s="81">
        <f t="shared" si="23"/>
        <v>0.085</v>
      </c>
      <c r="M58" s="81">
        <f t="shared" si="23"/>
        <v>0.085</v>
      </c>
    </row>
    <row r="60" ht="24" customHeight="1">
      <c r="B60" s="80" t="s">
        <v>91</v>
      </c>
      <c r="D60" s="58">
        <f t="shared" si="24" ref="D60:H60">D42/D32*365.25</f>
        <v>12.899381890737832</v>
      </c>
      <c r="E60" s="58">
        <f t="shared" si="24"/>
        <v>20.4108973683161</v>
      </c>
      <c r="F60" s="58">
        <f t="shared" si="24"/>
        <v>32.05377765396933</v>
      </c>
      <c r="G60" s="58">
        <f t="shared" si="24"/>
        <v>56.65456697080735</v>
      </c>
      <c r="H60" s="58">
        <f t="shared" si="24"/>
        <v>42.12446306239584</v>
      </c>
      <c r="I60" s="103">
        <v>40</v>
      </c>
      <c r="J60" s="58">
        <f t="shared" si="25" ref="J60:M60">$I$60</f>
        <v>40</v>
      </c>
      <c r="K60" s="58">
        <f t="shared" si="25"/>
        <v>40</v>
      </c>
      <c r="L60" s="58">
        <f t="shared" si="25"/>
        <v>40</v>
      </c>
      <c r="M60" s="58">
        <f t="shared" si="25"/>
        <v>40</v>
      </c>
    </row>
    <row r="61" ht="24" customHeight="1">
      <c r="B61" s="80" t="s">
        <v>92</v>
      </c>
      <c r="D61" s="81">
        <f t="shared" si="26" ref="D61:H61">D43/D31</f>
        <v>0.02990978461216356</v>
      </c>
      <c r="E61" s="81">
        <f t="shared" si="26"/>
        <v>0.039252006456530514</v>
      </c>
      <c r="F61" s="81">
        <f t="shared" si="26"/>
        <v>0.03165594918991721</v>
      </c>
      <c r="G61" s="81">
        <f t="shared" si="26"/>
        <v>0.05053716696330577</v>
      </c>
      <c r="H61" s="81">
        <f t="shared" si="26"/>
        <v>0.019253749961582894</v>
      </c>
      <c r="I61" s="89">
        <v>0.03</v>
      </c>
      <c r="J61" s="81">
        <f t="shared" si="27" ref="J61:M61">$I$61</f>
        <v>0.03</v>
      </c>
      <c r="K61" s="81">
        <f t="shared" si="27"/>
        <v>0.03</v>
      </c>
      <c r="L61" s="81">
        <f t="shared" si="27"/>
        <v>0.03</v>
      </c>
      <c r="M61" s="81">
        <f t="shared" si="27"/>
        <v>0.03</v>
      </c>
    </row>
    <row r="62" ht="24" customHeight="1">
      <c r="B62" s="80" t="s">
        <v>93</v>
      </c>
      <c r="D62" s="81">
        <f t="shared" si="28" ref="D62:H63">D44/D31</f>
        <v>0.004673403845650556</v>
      </c>
      <c r="E62" s="81">
        <f t="shared" si="28"/>
        <v>0.00630800789131507</v>
      </c>
      <c r="F62" s="81">
        <f t="shared" si="28"/>
        <v>0.0044841746662617355</v>
      </c>
      <c r="G62" s="81">
        <f t="shared" si="28"/>
        <v>0.006049098483534092</v>
      </c>
      <c r="H62" s="81">
        <f t="shared" si="28"/>
        <v>0.0067234456438616695</v>
      </c>
      <c r="I62" s="89">
        <v>0.005</v>
      </c>
      <c r="J62" s="81">
        <f t="shared" si="29" ref="J62:M62">$I$62</f>
        <v>0.005</v>
      </c>
      <c r="K62" s="81">
        <f t="shared" si="29"/>
        <v>0.005</v>
      </c>
      <c r="L62" s="81">
        <f t="shared" si="29"/>
        <v>0.005</v>
      </c>
      <c r="M62" s="81">
        <f t="shared" si="29"/>
        <v>0.005</v>
      </c>
    </row>
    <row r="63" ht="24" customHeight="1">
      <c r="B63" s="80" t="s">
        <v>94</v>
      </c>
      <c r="D63" s="81">
        <f t="shared" si="28"/>
        <v>0</v>
      </c>
      <c r="E63" s="81">
        <f t="shared" si="28"/>
        <v>0</v>
      </c>
      <c r="F63" s="81">
        <f t="shared" si="28"/>
        <v>0.01266658795401213</v>
      </c>
      <c r="G63" s="81">
        <f t="shared" si="28"/>
        <v>0.006307836460698883</v>
      </c>
      <c r="H63" s="81">
        <f t="shared" si="28"/>
        <v>0.018234718438384423</v>
      </c>
      <c r="I63" s="89">
        <v>0.01</v>
      </c>
      <c r="J63" s="81">
        <f t="shared" si="30" ref="J63:M63">$I$63</f>
        <v>0.01</v>
      </c>
      <c r="K63" s="81">
        <f t="shared" si="30"/>
        <v>0.01</v>
      </c>
      <c r="L63" s="81">
        <f t="shared" si="30"/>
        <v>0.01</v>
      </c>
      <c r="M63" s="81">
        <f t="shared" si="30"/>
        <v>0.01</v>
      </c>
    </row>
    <row r="64" ht="24" customHeight="1">
      <c r="B64" s="80" t="s">
        <v>95</v>
      </c>
      <c r="D64" s="81">
        <f t="shared" si="31" ref="D64:H64">D46/D32</f>
        <v>0.06248318506543888</v>
      </c>
      <c r="E64" s="81">
        <f t="shared" si="31"/>
        <v>0.09461011242225464</v>
      </c>
      <c r="F64" s="81">
        <f t="shared" si="31"/>
        <v>0.11913529229452308</v>
      </c>
      <c r="G64" s="81">
        <f t="shared" si="31"/>
        <v>0.09199558235425954</v>
      </c>
      <c r="H64" s="81">
        <f t="shared" si="31"/>
        <v>0.10995847329859547</v>
      </c>
      <c r="I64" s="89">
        <v>0.1</v>
      </c>
      <c r="J64" s="81">
        <f t="shared" si="32" ref="J64:M64">$I$64</f>
        <v>0.1</v>
      </c>
      <c r="K64" s="81">
        <f t="shared" si="32"/>
        <v>0.1</v>
      </c>
      <c r="L64" s="81">
        <f t="shared" si="32"/>
        <v>0.1</v>
      </c>
      <c r="M64" s="81">
        <f t="shared" si="32"/>
        <v>0.1</v>
      </c>
    </row>
  </sheetData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0EB33D7-CDCB-B626-D30C-3E257F226D17}" mc:Ignorable="x14ac xr xr2 xr3">
  <sheetPr>
    <tabColor theme="8" tint="-0.25"/>
  </sheetPr>
  <dimension ref="A1:N92"/>
  <sheetViews>
    <sheetView showGridLines="0" topLeftCell="A1" zoomScale="80" workbookViewId="0">
      <selection activeCell="A1" sqref="A1"/>
    </sheetView>
  </sheetViews>
  <sheetFormatPr defaultRowHeight="24" defaultColWidth="20.7109375" customHeight="1"/>
  <cols>
    <col min="1" max="1" style="34" width="10.7109375" customWidth="1"/>
    <col min="2" max="2" style="34" width="59.28125" customWidth="1"/>
    <col min="3" max="3" style="34" width="20.7109375" customWidth="1"/>
    <col min="4" max="13" style="34" width="16.7109375" customWidth="1"/>
    <col min="14" max="14" style="34" width="20.7109375" customWidth="1"/>
  </cols>
  <sheetData>
    <row r="2" ht="24" customHeight="1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ht="24" customHeight="1">
      <c r="B3" s="22" t="s">
        <v>96</v>
      </c>
      <c r="L3" s="23"/>
      <c r="M3" s="23" t="s">
        <v>3</v>
      </c>
    </row>
    <row r="5" ht="24" customHeight="1">
      <c r="B5" s="24" t="s">
        <v>4</v>
      </c>
    </row>
    <row r="6" ht="24" customHeight="1">
      <c r="A6" s="25" t="s">
        <v>5</v>
      </c>
      <c r="B6" s="26" t="s">
        <v>97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5" t="s">
        <v>5</v>
      </c>
    </row>
    <row r="7" ht="6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ht="24" customHeight="1">
      <c r="A8" s="27"/>
      <c r="B8" s="74" t="s">
        <v>75</v>
      </c>
      <c r="C8" s="75"/>
      <c r="D8" s="75"/>
      <c r="E8" s="104">
        <v>1</v>
      </c>
      <c r="F8" s="27"/>
      <c r="G8" s="27"/>
      <c r="H8" s="27"/>
      <c r="I8" s="27"/>
      <c r="J8" s="27"/>
      <c r="K8" s="27"/>
      <c r="L8" s="27"/>
    </row>
    <row r="9" ht="6" customHeight="1">
      <c r="A9" s="27"/>
      <c r="B9" s="75"/>
      <c r="C9" s="75"/>
      <c r="D9" s="75"/>
      <c r="E9" s="75"/>
      <c r="F9" s="27"/>
      <c r="G9" s="27"/>
      <c r="H9" s="27"/>
      <c r="I9" s="27"/>
      <c r="J9" s="27"/>
      <c r="K9" s="27"/>
      <c r="L9" s="27"/>
    </row>
    <row r="10" ht="24" customHeight="1">
      <c r="A10" s="27"/>
      <c r="B10" s="74" t="s">
        <v>76</v>
      </c>
      <c r="C10" s="75"/>
      <c r="D10" s="75"/>
      <c r="E10" s="77" t="str">
        <f>CHOOSE($E$8,B22,B23,B24)</f>
        <v>Base Case</v>
      </c>
      <c r="F10" s="27"/>
      <c r="G10" s="27"/>
      <c r="H10" s="27"/>
      <c r="I10" s="27"/>
      <c r="J10" s="27"/>
      <c r="K10" s="27"/>
      <c r="L10" s="27"/>
    </row>
    <row r="11" ht="24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</row>
    <row r="12" ht="24" customHeight="1">
      <c r="D12" s="29">
        <v>42004</v>
      </c>
      <c r="E12" s="29">
        <f t="shared" si="0" ref="E12:M12">EOMONTH(D12,12)</f>
        <v>42369</v>
      </c>
      <c r="F12" s="29">
        <f t="shared" si="0"/>
        <v>42735</v>
      </c>
      <c r="G12" s="29">
        <f t="shared" si="0"/>
        <v>43100</v>
      </c>
      <c r="H12" s="29">
        <f t="shared" si="0"/>
        <v>43465</v>
      </c>
      <c r="I12" s="29">
        <f t="shared" si="0"/>
        <v>43830</v>
      </c>
      <c r="J12" s="29">
        <f t="shared" si="0"/>
        <v>44196</v>
      </c>
      <c r="K12" s="29">
        <f t="shared" si="0"/>
        <v>44561</v>
      </c>
      <c r="L12" s="29">
        <f t="shared" si="0"/>
        <v>44926</v>
      </c>
      <c r="M12" s="29">
        <f t="shared" si="0"/>
        <v>45291</v>
      </c>
    </row>
    <row r="13" ht="24" customHeight="1">
      <c r="B13" s="31"/>
      <c r="C13" s="31"/>
      <c r="D13" s="32">
        <f t="shared" si="1" ref="D13:M13">YEAR(D12)</f>
        <v>2014</v>
      </c>
      <c r="E13" s="32">
        <f t="shared" si="1"/>
        <v>2015</v>
      </c>
      <c r="F13" s="32">
        <f t="shared" si="1"/>
        <v>2016</v>
      </c>
      <c r="G13" s="32">
        <f t="shared" si="1"/>
        <v>2017</v>
      </c>
      <c r="H13" s="32">
        <f t="shared" si="1"/>
        <v>2018</v>
      </c>
      <c r="I13" s="78">
        <f t="shared" si="1"/>
        <v>2019</v>
      </c>
      <c r="J13" s="78">
        <f t="shared" si="1"/>
        <v>2020</v>
      </c>
      <c r="K13" s="78">
        <f t="shared" si="1"/>
        <v>2021</v>
      </c>
      <c r="L13" s="78">
        <f t="shared" si="1"/>
        <v>2022</v>
      </c>
      <c r="M13" s="78">
        <f t="shared" si="1"/>
        <v>2023</v>
      </c>
    </row>
    <row r="14" ht="6" customHeight="1"/>
    <row r="15" ht="24" customHeight="1">
      <c r="A15" s="25" t="s">
        <v>5</v>
      </c>
      <c r="B15" s="28" t="s">
        <v>98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5" t="s">
        <v>5</v>
      </c>
    </row>
    <row r="16" ht="6" customHeight="1"/>
    <row r="17" ht="24" customHeight="1">
      <c r="B17" s="34" t="s">
        <v>9</v>
      </c>
      <c r="D17" s="79">
        <f>'Historical Financials'!D13</f>
        <v>236.277</v>
      </c>
      <c r="E17" s="79">
        <f>'Historical Financials'!E13</f>
        <v>148.565</v>
      </c>
      <c r="F17" s="79">
        <f>'Historical Financials'!F13</f>
        <v>134.755</v>
      </c>
      <c r="G17" s="79">
        <f>'Historical Financials'!G13</f>
        <v>211.313</v>
      </c>
      <c r="H17" s="79">
        <f>'Historical Financials'!H13</f>
        <v>238.459</v>
      </c>
      <c r="I17" s="55">
        <f t="shared" si="2" ref="I17:M17">PRODUCT(H17,1+I$20)</f>
        <v>262.30490000000003</v>
      </c>
      <c r="J17" s="55">
        <f t="shared" si="2"/>
        <v>288.53539000000006</v>
      </c>
      <c r="K17" s="55">
        <f t="shared" si="2"/>
        <v>317.3889290000001</v>
      </c>
      <c r="L17" s="55">
        <f t="shared" si="2"/>
        <v>349.12782190000013</v>
      </c>
      <c r="M17" s="55">
        <f t="shared" si="2"/>
        <v>384.04060409000016</v>
      </c>
    </row>
    <row r="18" ht="24" customHeight="1">
      <c r="B18" s="43" t="s">
        <v>99</v>
      </c>
      <c r="E18" s="44">
        <f t="shared" si="3" ref="E18:M29">E17/D17-1</f>
        <v>-0.37122529911925406</v>
      </c>
      <c r="F18" s="44">
        <f t="shared" si="3"/>
        <v>-0.09295594520916772</v>
      </c>
      <c r="G18" s="44">
        <f t="shared" si="3"/>
        <v>0.568127342213647</v>
      </c>
      <c r="H18" s="44">
        <f t="shared" si="3"/>
        <v>0.12846346415033638</v>
      </c>
      <c r="I18" s="44">
        <f t="shared" si="3"/>
        <v>0.10000000000000009</v>
      </c>
      <c r="J18" s="44">
        <f t="shared" si="3"/>
        <v>0.10000000000000009</v>
      </c>
      <c r="K18" s="44">
        <f t="shared" si="3"/>
        <v>0.10000000000000009</v>
      </c>
      <c r="L18" s="44">
        <f t="shared" si="3"/>
        <v>0.10000000000000009</v>
      </c>
      <c r="M18" s="44">
        <f t="shared" si="3"/>
        <v>0.10000000000000009</v>
      </c>
    </row>
    <row r="20" ht="24" customHeight="1">
      <c r="B20" s="82" t="str">
        <f t="shared" si="6" ref="B20:B31">"Operating Scenario: "&amp;$E$10&amp;" Escalation Factors Per Annum"</f>
        <v>Operating Scenario: Base Case Escalation Factors Per Annum</v>
      </c>
      <c r="C20" s="83"/>
      <c r="D20" s="83"/>
      <c r="E20" s="84"/>
      <c r="F20" s="84"/>
      <c r="G20" s="84"/>
      <c r="H20" s="85"/>
      <c r="I20" s="86">
        <f t="shared" si="4" ref="I20:M20">INDEX(I$22:I$24,MATCH($E$10,$B$22:$B$24,0),0)</f>
        <v>0.1</v>
      </c>
      <c r="J20" s="86">
        <f t="shared" si="4"/>
        <v>0.1</v>
      </c>
      <c r="K20" s="86">
        <f t="shared" si="4"/>
        <v>0.1</v>
      </c>
      <c r="L20" s="86">
        <f t="shared" si="4"/>
        <v>0.1</v>
      </c>
      <c r="M20" s="87">
        <f t="shared" si="4"/>
        <v>0.1</v>
      </c>
    </row>
    <row r="21" ht="6" customHeight="1">
      <c r="I21" s="88"/>
      <c r="J21" s="88"/>
      <c r="K21" s="88"/>
      <c r="L21" s="88"/>
      <c r="M21" s="88"/>
    </row>
    <row r="22" ht="24" customHeight="1">
      <c r="B22" s="80" t="s">
        <v>77</v>
      </c>
      <c r="I22" s="89">
        <v>0.1</v>
      </c>
      <c r="J22" s="89">
        <v>0.1</v>
      </c>
      <c r="K22" s="89">
        <v>0.1</v>
      </c>
      <c r="L22" s="89">
        <v>0.1</v>
      </c>
      <c r="M22" s="89">
        <v>0.1</v>
      </c>
    </row>
    <row r="23" ht="24" customHeight="1">
      <c r="B23" s="80" t="s">
        <v>82</v>
      </c>
      <c r="I23" s="89">
        <v>0.2</v>
      </c>
      <c r="J23" s="89">
        <v>0.2</v>
      </c>
      <c r="K23" s="89">
        <v>0.2</v>
      </c>
      <c r="L23" s="89">
        <v>0.2</v>
      </c>
      <c r="M23" s="89">
        <v>0.2</v>
      </c>
    </row>
    <row r="24" ht="24" customHeight="1">
      <c r="B24" s="80" t="s">
        <v>83</v>
      </c>
      <c r="I24" s="89">
        <v>0.05</v>
      </c>
      <c r="J24" s="89">
        <v>0.05</v>
      </c>
      <c r="K24" s="89">
        <v>0.05</v>
      </c>
      <c r="L24" s="89">
        <v>0.05</v>
      </c>
      <c r="M24" s="89">
        <v>0.05</v>
      </c>
    </row>
    <row r="26" ht="24" customHeight="1">
      <c r="A26" s="25" t="s">
        <v>5</v>
      </c>
      <c r="B26" s="28" t="s">
        <v>101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5" t="s">
        <v>5</v>
      </c>
    </row>
    <row r="27" ht="6" customHeight="1"/>
    <row r="28" ht="24" customHeight="1">
      <c r="B28" s="34" t="s">
        <v>102</v>
      </c>
      <c r="D28" s="79">
        <f>'Historical Financials'!D14</f>
        <v>298.665</v>
      </c>
      <c r="E28" s="79">
        <f>'Historical Financials'!E14</f>
        <v>208.283</v>
      </c>
      <c r="F28" s="79">
        <f>'Historical Financials'!F14</f>
        <v>243.91</v>
      </c>
      <c r="G28" s="79">
        <f>'Historical Financials'!G14</f>
        <v>301.656</v>
      </c>
      <c r="H28" s="79">
        <f>'Historical Financials'!H14</f>
        <v>314.68</v>
      </c>
      <c r="I28" s="55">
        <f t="shared" si="5" ref="I28:M28">PRODUCT(H28,1+I$31)</f>
        <v>361.882</v>
      </c>
      <c r="J28" s="55">
        <f t="shared" si="5"/>
        <v>416.16429999999997</v>
      </c>
      <c r="K28" s="55">
        <f t="shared" si="5"/>
        <v>478.5889449999999</v>
      </c>
      <c r="L28" s="55">
        <f t="shared" si="5"/>
        <v>550.3772867499998</v>
      </c>
      <c r="M28" s="55">
        <f t="shared" si="5"/>
        <v>632.9338797624997</v>
      </c>
    </row>
    <row r="29" ht="24" customHeight="1">
      <c r="B29" s="43" t="s">
        <v>99</v>
      </c>
      <c r="E29" s="44">
        <f t="shared" si="3"/>
        <v>-0.3026199922990642</v>
      </c>
      <c r="F29" s="44">
        <f t="shared" si="3"/>
        <v>0.1710509259036983</v>
      </c>
      <c r="G29" s="44">
        <f t="shared" si="3"/>
        <v>0.2367512607109179</v>
      </c>
      <c r="H29" s="44">
        <f t="shared" si="3"/>
        <v>0.04317500729307566</v>
      </c>
      <c r="I29" s="44">
        <f t="shared" si="3"/>
        <v>0.1499999999999999</v>
      </c>
      <c r="J29" s="44">
        <f t="shared" si="3"/>
        <v>0.1499999999999999</v>
      </c>
      <c r="K29" s="44">
        <f t="shared" si="3"/>
        <v>0.1499999999999999</v>
      </c>
      <c r="L29" s="44">
        <f t="shared" si="3"/>
        <v>0.1499999999999999</v>
      </c>
      <c r="M29" s="44">
        <f t="shared" si="3"/>
        <v>0.1499999999999999</v>
      </c>
    </row>
    <row r="31" ht="24" customHeight="1">
      <c r="B31" s="82" t="str">
        <f t="shared" si="6"/>
        <v>Operating Scenario: Base Case Escalation Factors Per Annum</v>
      </c>
      <c r="C31" s="83"/>
      <c r="D31" s="83"/>
      <c r="E31" s="84"/>
      <c r="F31" s="84"/>
      <c r="G31" s="84"/>
      <c r="H31" s="85"/>
      <c r="I31" s="86">
        <f t="shared" si="7" ref="I31:M31">INDEX(I$33:I$35,MATCH($E$10,$B$33:$B$35,0),0)</f>
        <v>0.15</v>
      </c>
      <c r="J31" s="86">
        <f t="shared" si="7"/>
        <v>0.15</v>
      </c>
      <c r="K31" s="86">
        <f t="shared" si="7"/>
        <v>0.15</v>
      </c>
      <c r="L31" s="86">
        <f t="shared" si="7"/>
        <v>0.15</v>
      </c>
      <c r="M31" s="87">
        <f t="shared" si="7"/>
        <v>0.15</v>
      </c>
    </row>
    <row r="32" ht="6" customHeight="1">
      <c r="I32" s="88"/>
      <c r="J32" s="88"/>
      <c r="K32" s="88"/>
      <c r="L32" s="88"/>
      <c r="M32" s="88"/>
    </row>
    <row r="33" ht="24" customHeight="1">
      <c r="B33" s="80" t="s">
        <v>77</v>
      </c>
      <c r="I33" s="89">
        <v>0.15</v>
      </c>
      <c r="J33" s="89">
        <v>0.15</v>
      </c>
      <c r="K33" s="89">
        <v>0.15</v>
      </c>
      <c r="L33" s="89">
        <v>0.15</v>
      </c>
      <c r="M33" s="89">
        <v>0.15</v>
      </c>
    </row>
    <row r="34" ht="24" customHeight="1">
      <c r="B34" s="80" t="s">
        <v>82</v>
      </c>
      <c r="I34" s="89">
        <v>0.2</v>
      </c>
      <c r="J34" s="89">
        <v>0.2</v>
      </c>
      <c r="K34" s="89">
        <v>0.2</v>
      </c>
      <c r="L34" s="89">
        <v>0.2</v>
      </c>
      <c r="M34" s="89">
        <v>0.2</v>
      </c>
    </row>
    <row r="35" ht="24" customHeight="1">
      <c r="B35" s="80" t="s">
        <v>83</v>
      </c>
      <c r="I35" s="89">
        <v>0.1</v>
      </c>
      <c r="J35" s="89">
        <v>0.1</v>
      </c>
      <c r="K35" s="89">
        <v>0.1</v>
      </c>
      <c r="L35" s="89">
        <v>0.1</v>
      </c>
      <c r="M35" s="89">
        <v>0.1</v>
      </c>
    </row>
    <row r="37" ht="24" customHeight="1">
      <c r="A37" s="25" t="s">
        <v>5</v>
      </c>
      <c r="B37" s="26" t="s">
        <v>103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5" t="s">
        <v>5</v>
      </c>
    </row>
    <row r="38" ht="6" customHeight="1"/>
    <row r="39" ht="24" customHeight="1">
      <c r="A39" s="25" t="s">
        <v>5</v>
      </c>
      <c r="B39" s="28" t="s">
        <v>104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5" t="s">
        <v>5</v>
      </c>
    </row>
    <row r="40" ht="6" customHeight="1"/>
    <row r="41" ht="24" customHeight="1">
      <c r="B41" s="34" t="s">
        <v>105</v>
      </c>
      <c r="D41" s="79">
        <f>'Historical Financials'!D18</f>
        <v>-141.08298690831094</v>
      </c>
      <c r="E41" s="79">
        <f>'Historical Financials'!E18</f>
        <v>-101.54866807961822</v>
      </c>
      <c r="F41" s="79">
        <f>'Historical Financials'!F18</f>
        <v>-85.73282471447733</v>
      </c>
      <c r="G41" s="79">
        <f>'Historical Financials'!G18</f>
        <v>-140.56916428323314</v>
      </c>
      <c r="H41" s="79">
        <f>'Historical Financials'!H18</f>
        <v>-158.4088003400921</v>
      </c>
      <c r="I41" s="55">
        <f t="shared" si="8" ref="I41:M41">-PRODUCT(I$44,I17)</f>
        <v>-170.49818500000003</v>
      </c>
      <c r="J41" s="55">
        <f t="shared" si="8"/>
        <v>-187.54800350000005</v>
      </c>
      <c r="K41" s="55">
        <f t="shared" si="8"/>
        <v>-206.30280385000006</v>
      </c>
      <c r="L41" s="55">
        <f t="shared" si="8"/>
        <v>-226.93308423500008</v>
      </c>
      <c r="M41" s="55">
        <f t="shared" si="8"/>
        <v>-249.62639265850012</v>
      </c>
    </row>
    <row r="42" ht="24" customHeight="1">
      <c r="B42" s="80" t="s">
        <v>106</v>
      </c>
      <c r="D42" s="81">
        <f t="shared" si="9" ref="D42:M53">-D41/D17</f>
        <v>0.5971084231995114</v>
      </c>
      <c r="E42" s="81">
        <f t="shared" si="9"/>
        <v>0.6835302263629941</v>
      </c>
      <c r="F42" s="81">
        <f t="shared" si="9"/>
        <v>0.6362125688432885</v>
      </c>
      <c r="G42" s="81">
        <f t="shared" si="9"/>
        <v>0.6652177778141105</v>
      </c>
      <c r="H42" s="81">
        <f t="shared" si="9"/>
        <v>0.6643020407704977</v>
      </c>
      <c r="I42" s="81">
        <f t="shared" si="9"/>
        <v>0.65</v>
      </c>
      <c r="J42" s="81">
        <f t="shared" si="9"/>
        <v>0.65</v>
      </c>
      <c r="K42" s="81">
        <f t="shared" si="9"/>
        <v>0.65</v>
      </c>
      <c r="L42" s="81">
        <f t="shared" si="9"/>
        <v>0.65</v>
      </c>
      <c r="M42" s="81">
        <f t="shared" si="9"/>
        <v>0.65</v>
      </c>
    </row>
    <row r="44" ht="24" customHeight="1">
      <c r="B44" s="82" t="str">
        <f>"Operating Scenario: "&amp;$E$10&amp;" % of Products Revenue"</f>
        <v>Operating Scenario: Base Case % of Products Revenue</v>
      </c>
      <c r="C44" s="83"/>
      <c r="D44" s="83"/>
      <c r="E44" s="84"/>
      <c r="F44" s="84"/>
      <c r="G44" s="84"/>
      <c r="H44" s="85"/>
      <c r="I44" s="86">
        <f t="shared" si="10" ref="I44:M44">INDEX(I$46:I$48,MATCH($E$10,$B$46:$B$48,0),0)</f>
        <v>0.65</v>
      </c>
      <c r="J44" s="86">
        <f t="shared" si="10"/>
        <v>0.65</v>
      </c>
      <c r="K44" s="86">
        <f t="shared" si="10"/>
        <v>0.65</v>
      </c>
      <c r="L44" s="86">
        <f t="shared" si="10"/>
        <v>0.65</v>
      </c>
      <c r="M44" s="87">
        <f t="shared" si="10"/>
        <v>0.65</v>
      </c>
    </row>
    <row r="45" ht="6" customHeight="1">
      <c r="I45" s="88"/>
      <c r="J45" s="88"/>
      <c r="K45" s="88"/>
      <c r="L45" s="88"/>
      <c r="M45" s="88"/>
    </row>
    <row r="46" ht="24" customHeight="1">
      <c r="B46" s="80" t="s">
        <v>77</v>
      </c>
      <c r="I46" s="89">
        <v>0.65</v>
      </c>
      <c r="J46" s="89">
        <v>0.65</v>
      </c>
      <c r="K46" s="89">
        <v>0.65</v>
      </c>
      <c r="L46" s="89">
        <v>0.65</v>
      </c>
      <c r="M46" s="89">
        <v>0.65</v>
      </c>
    </row>
    <row r="47" ht="24" customHeight="1">
      <c r="B47" s="80" t="s">
        <v>82</v>
      </c>
      <c r="I47" s="89">
        <v>0.6</v>
      </c>
      <c r="J47" s="89">
        <v>0.6</v>
      </c>
      <c r="K47" s="89">
        <v>0.6</v>
      </c>
      <c r="L47" s="89">
        <v>0.6</v>
      </c>
      <c r="M47" s="89">
        <v>0.6</v>
      </c>
    </row>
    <row r="48" ht="24" customHeight="1">
      <c r="B48" s="80" t="s">
        <v>83</v>
      </c>
      <c r="I48" s="89">
        <v>0.7</v>
      </c>
      <c r="J48" s="89">
        <v>0.7</v>
      </c>
      <c r="K48" s="89">
        <v>0.7</v>
      </c>
      <c r="L48" s="89">
        <v>0.7</v>
      </c>
      <c r="M48" s="89">
        <v>0.7</v>
      </c>
    </row>
    <row r="50" ht="24" customHeight="1">
      <c r="A50" s="25" t="s">
        <v>5</v>
      </c>
      <c r="B50" s="28" t="s">
        <v>108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5" t="s">
        <v>5</v>
      </c>
    </row>
    <row r="51" ht="6" customHeight="1"/>
    <row r="52" ht="24" customHeight="1">
      <c r="B52" s="34" t="s">
        <v>109</v>
      </c>
      <c r="D52" s="79">
        <f>'Historical Financials'!D19</f>
        <v>-227.01604607011376</v>
      </c>
      <c r="E52" s="79">
        <f>'Historical Financials'!E19</f>
        <v>-184.62581482514247</v>
      </c>
      <c r="F52" s="79">
        <f>'Historical Financials'!F19</f>
        <v>-185.29517528552267</v>
      </c>
      <c r="G52" s="79">
        <f>'Historical Financials'!G19</f>
        <v>-229.7638357167669</v>
      </c>
      <c r="H52" s="79">
        <f>'Historical Financials'!H19</f>
        <v>-219.661199659908</v>
      </c>
      <c r="I52" s="55">
        <f t="shared" si="11" ref="I52:M52">-PRODUCT(I$55,I28)</f>
        <v>-235.22330000000002</v>
      </c>
      <c r="J52" s="55">
        <f t="shared" si="11"/>
        <v>-270.506795</v>
      </c>
      <c r="K52" s="55">
        <f t="shared" si="11"/>
        <v>-311.08281424999996</v>
      </c>
      <c r="L52" s="55">
        <f t="shared" si="11"/>
        <v>-357.7452363874999</v>
      </c>
      <c r="M52" s="55">
        <f t="shared" si="11"/>
        <v>-411.40702184562485</v>
      </c>
    </row>
    <row r="53" ht="24" customHeight="1">
      <c r="B53" s="80" t="s">
        <v>110</v>
      </c>
      <c r="D53" s="81">
        <f t="shared" si="9"/>
        <v>0.7601026101823573</v>
      </c>
      <c r="E53" s="81">
        <f t="shared" si="9"/>
        <v>0.8864180697663394</v>
      </c>
      <c r="F53" s="81">
        <f t="shared" si="9"/>
        <v>0.7596866683839231</v>
      </c>
      <c r="G53" s="81">
        <f t="shared" si="9"/>
        <v>0.7616750063541481</v>
      </c>
      <c r="H53" s="81">
        <f t="shared" si="9"/>
        <v>0.6980462681451252</v>
      </c>
      <c r="I53" s="81">
        <f t="shared" si="9"/>
        <v>0.65</v>
      </c>
      <c r="J53" s="81">
        <f t="shared" si="9"/>
        <v>0.65</v>
      </c>
      <c r="K53" s="81">
        <f t="shared" si="9"/>
        <v>0.65</v>
      </c>
      <c r="L53" s="81">
        <f t="shared" si="9"/>
        <v>0.65</v>
      </c>
      <c r="M53" s="81">
        <f t="shared" si="9"/>
        <v>0.65</v>
      </c>
    </row>
    <row r="55" ht="24" customHeight="1">
      <c r="B55" s="82" t="str">
        <f>"Operating Scenario: "&amp;$E$10&amp;" % of Services Revenue"</f>
        <v>Operating Scenario: Base Case % of Services Revenue</v>
      </c>
      <c r="C55" s="83"/>
      <c r="D55" s="83"/>
      <c r="E55" s="84"/>
      <c r="F55" s="84"/>
      <c r="G55" s="84"/>
      <c r="H55" s="85"/>
      <c r="I55" s="86">
        <f t="shared" si="12" ref="I55:M55">INDEX(I$57:I$59,MATCH($E$10,$B$57:$B$59,0),0)</f>
        <v>0.65</v>
      </c>
      <c r="J55" s="86">
        <f t="shared" si="12"/>
        <v>0.65</v>
      </c>
      <c r="K55" s="86">
        <f t="shared" si="12"/>
        <v>0.65</v>
      </c>
      <c r="L55" s="86">
        <f t="shared" si="12"/>
        <v>0.65</v>
      </c>
      <c r="M55" s="87">
        <f t="shared" si="12"/>
        <v>0.65</v>
      </c>
    </row>
    <row r="56" ht="6" customHeight="1">
      <c r="I56" s="88"/>
      <c r="J56" s="88"/>
      <c r="K56" s="88"/>
      <c r="L56" s="88"/>
      <c r="M56" s="88"/>
    </row>
    <row r="57" ht="24" customHeight="1">
      <c r="B57" s="80" t="s">
        <v>77</v>
      </c>
      <c r="I57" s="89">
        <v>0.65</v>
      </c>
      <c r="J57" s="89">
        <v>0.65</v>
      </c>
      <c r="K57" s="89">
        <v>0.65</v>
      </c>
      <c r="L57" s="89">
        <v>0.65</v>
      </c>
      <c r="M57" s="89">
        <v>0.65</v>
      </c>
    </row>
    <row r="58" ht="24" customHeight="1">
      <c r="B58" s="80" t="s">
        <v>82</v>
      </c>
      <c r="I58" s="89">
        <v>0.6</v>
      </c>
      <c r="J58" s="89">
        <v>0.6</v>
      </c>
      <c r="K58" s="89">
        <v>0.6</v>
      </c>
      <c r="L58" s="89">
        <v>0.6</v>
      </c>
      <c r="M58" s="89">
        <v>0.6</v>
      </c>
    </row>
    <row r="59" ht="24" customHeight="1">
      <c r="B59" s="80" t="s">
        <v>83</v>
      </c>
      <c r="I59" s="89">
        <v>0.75</v>
      </c>
      <c r="J59" s="89">
        <v>0.75</v>
      </c>
      <c r="K59" s="89">
        <v>0.75</v>
      </c>
      <c r="L59" s="89">
        <v>0.75</v>
      </c>
      <c r="M59" s="89">
        <v>0.75</v>
      </c>
    </row>
    <row r="61" ht="24" customHeight="1">
      <c r="A61" s="25" t="s">
        <v>5</v>
      </c>
      <c r="B61" s="28" t="s">
        <v>112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5" t="s">
        <v>5</v>
      </c>
    </row>
    <row r="62" ht="6" customHeight="1"/>
    <row r="63" ht="24" customHeight="1">
      <c r="B63" s="34" t="s">
        <v>113</v>
      </c>
      <c r="D63" s="79">
        <f>'Historical Financials'!D23</f>
        <v>-49.069</v>
      </c>
      <c r="E63" s="79">
        <f>'Historical Financials'!E23</f>
        <v>-43.735</v>
      </c>
      <c r="F63" s="79">
        <f>'Historical Financials'!F23</f>
        <v>-47.117</v>
      </c>
      <c r="G63" s="79">
        <f>'Historical Financials'!G23</f>
        <v>-49.146</v>
      </c>
      <c r="H63" s="79">
        <f>'Historical Financials'!H23</f>
        <v>-44.828</v>
      </c>
      <c r="I63" s="55">
        <f t="shared" si="13" ref="I63:M63">-PRODUCT(I$66,SUM(I17,I28))</f>
        <v>-62.418690000000005</v>
      </c>
      <c r="J63" s="55">
        <f t="shared" si="13"/>
        <v>-70.469969</v>
      </c>
      <c r="K63" s="55">
        <f t="shared" si="13"/>
        <v>-79.5977874</v>
      </c>
      <c r="L63" s="55">
        <f t="shared" si="13"/>
        <v>-89.95051086500001</v>
      </c>
      <c r="M63" s="55">
        <f t="shared" si="13"/>
        <v>-101.69744838524998</v>
      </c>
    </row>
    <row r="64" ht="24" customHeight="1">
      <c r="B64" s="80" t="s">
        <v>114</v>
      </c>
      <c r="D64" s="81">
        <f t="shared" si="14" ref="D64:M64">-D63/SUM(D17,D28)</f>
        <v>0.09172770132089086</v>
      </c>
      <c r="E64" s="81">
        <f t="shared" si="14"/>
        <v>0.12255918486302292</v>
      </c>
      <c r="F64" s="81">
        <f t="shared" si="14"/>
        <v>0.12442924484702839</v>
      </c>
      <c r="G64" s="81">
        <f t="shared" si="14"/>
        <v>0.09580695909499404</v>
      </c>
      <c r="H64" s="81">
        <f t="shared" si="14"/>
        <v>0.08104292049557164</v>
      </c>
      <c r="I64" s="81">
        <f t="shared" si="14"/>
        <v>0.1</v>
      </c>
      <c r="J64" s="81">
        <f t="shared" si="14"/>
        <v>0.1</v>
      </c>
      <c r="K64" s="81">
        <f t="shared" si="14"/>
        <v>0.1</v>
      </c>
      <c r="L64" s="81">
        <f t="shared" si="14"/>
        <v>0.10000000000000002</v>
      </c>
      <c r="M64" s="81">
        <f t="shared" si="14"/>
        <v>0.1</v>
      </c>
    </row>
    <row r="66" ht="24" customHeight="1">
      <c r="B66" s="82" t="str">
        <f t="shared" si="18" ref="B66:B77">"Operating Scenario: "&amp;$E$10&amp;" % of Total Revenue"</f>
        <v>Operating Scenario: Base Case % of Total Revenue</v>
      </c>
      <c r="C66" s="83"/>
      <c r="D66" s="83"/>
      <c r="E66" s="84"/>
      <c r="F66" s="84"/>
      <c r="G66" s="84"/>
      <c r="H66" s="85"/>
      <c r="I66" s="86">
        <f t="shared" si="15" ref="I66:M66">INDEX(I$68:I$70,MATCH($E$10,$B$68:$B$70,0),0)</f>
        <v>0.1</v>
      </c>
      <c r="J66" s="86">
        <f t="shared" si="15"/>
        <v>0.1</v>
      </c>
      <c r="K66" s="86">
        <f t="shared" si="15"/>
        <v>0.1</v>
      </c>
      <c r="L66" s="86">
        <f t="shared" si="15"/>
        <v>0.1</v>
      </c>
      <c r="M66" s="87">
        <f t="shared" si="15"/>
        <v>0.1</v>
      </c>
    </row>
    <row r="67" ht="6" customHeight="1">
      <c r="I67" s="88"/>
      <c r="J67" s="88"/>
      <c r="K67" s="88"/>
      <c r="L67" s="88"/>
      <c r="M67" s="88"/>
    </row>
    <row r="68" ht="24" customHeight="1">
      <c r="B68" s="80" t="s">
        <v>77</v>
      </c>
      <c r="I68" s="89">
        <v>0.1</v>
      </c>
      <c r="J68" s="89">
        <v>0.1</v>
      </c>
      <c r="K68" s="89">
        <v>0.1</v>
      </c>
      <c r="L68" s="89">
        <v>0.1</v>
      </c>
      <c r="M68" s="89">
        <v>0.1</v>
      </c>
    </row>
    <row r="69" ht="24" customHeight="1">
      <c r="B69" s="80" t="s">
        <v>82</v>
      </c>
      <c r="I69" s="89">
        <v>0.08</v>
      </c>
      <c r="J69" s="89">
        <v>0.08</v>
      </c>
      <c r="K69" s="89">
        <v>0.08</v>
      </c>
      <c r="L69" s="89">
        <v>0.08</v>
      </c>
      <c r="M69" s="89">
        <v>0.08</v>
      </c>
    </row>
    <row r="70" ht="24" customHeight="1">
      <c r="B70" s="80" t="s">
        <v>83</v>
      </c>
      <c r="I70" s="89">
        <v>0.12</v>
      </c>
      <c r="J70" s="89">
        <v>0.12</v>
      </c>
      <c r="K70" s="89">
        <v>0.12</v>
      </c>
      <c r="L70" s="89">
        <v>0.12</v>
      </c>
      <c r="M70" s="89">
        <v>0.12</v>
      </c>
    </row>
    <row r="72" ht="24" customHeight="1">
      <c r="A72" s="25" t="s">
        <v>5</v>
      </c>
      <c r="B72" s="28" t="s">
        <v>115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5" t="s">
        <v>5</v>
      </c>
    </row>
    <row r="73" ht="6" customHeight="1"/>
    <row r="74" ht="24" customHeight="1">
      <c r="B74" s="34" t="s">
        <v>116</v>
      </c>
      <c r="D74" s="79">
        <f>'Historical Financials'!D24</f>
        <v>-11.049</v>
      </c>
      <c r="E74" s="79">
        <f>'Historical Financials'!E24</f>
        <v>-7.431</v>
      </c>
      <c r="F74" s="79">
        <f>'Historical Financials'!F24</f>
        <v>-9.075</v>
      </c>
      <c r="G74" s="79">
        <f>'Historical Financials'!G24</f>
        <v>-12.512</v>
      </c>
      <c r="H74" s="79">
        <f>'Historical Financials'!H24</f>
        <v>-10.457</v>
      </c>
      <c r="I74" s="55">
        <f t="shared" si="16" ref="I74:M74">-PRODUCT(I$77,SUM(I17,I28))</f>
        <v>-12.483738</v>
      </c>
      <c r="J74" s="55">
        <f t="shared" si="16"/>
        <v>-14.093993800000002</v>
      </c>
      <c r="K74" s="55">
        <f t="shared" si="16"/>
        <v>-15.919557479999998</v>
      </c>
      <c r="L74" s="55">
        <f t="shared" si="16"/>
        <v>-17.990102173</v>
      </c>
      <c r="M74" s="55">
        <f t="shared" si="16"/>
        <v>-20.339489677049997</v>
      </c>
    </row>
    <row r="75" ht="24" customHeight="1">
      <c r="B75" s="80" t="s">
        <v>114</v>
      </c>
      <c r="D75" s="81">
        <f t="shared" si="17" ref="D75:M75">-D74/SUM(D17,D28)</f>
        <v>0.0206545756362372</v>
      </c>
      <c r="E75" s="81">
        <f t="shared" si="17"/>
        <v>0.020823992288033003</v>
      </c>
      <c r="F75" s="81">
        <f t="shared" si="17"/>
        <v>0.02396577449724691</v>
      </c>
      <c r="G75" s="81">
        <f t="shared" si="17"/>
        <v>0.02439133748823028</v>
      </c>
      <c r="H75" s="81">
        <f t="shared" si="17"/>
        <v>0.018904832239274395</v>
      </c>
      <c r="I75" s="81">
        <f t="shared" si="17"/>
        <v>0.02</v>
      </c>
      <c r="J75" s="81">
        <f t="shared" si="17"/>
        <v>0.02</v>
      </c>
      <c r="K75" s="81">
        <f t="shared" si="17"/>
        <v>0.02</v>
      </c>
      <c r="L75" s="81">
        <f t="shared" si="17"/>
        <v>0.02</v>
      </c>
      <c r="M75" s="81">
        <f t="shared" si="17"/>
        <v>0.02</v>
      </c>
    </row>
    <row r="77" ht="24" customHeight="1">
      <c r="B77" s="82" t="str">
        <f t="shared" si="18"/>
        <v>Operating Scenario: Base Case % of Total Revenue</v>
      </c>
      <c r="C77" s="83"/>
      <c r="D77" s="83"/>
      <c r="E77" s="84"/>
      <c r="F77" s="84"/>
      <c r="G77" s="84"/>
      <c r="H77" s="85"/>
      <c r="I77" s="86">
        <f t="shared" si="19" ref="I77:M77">INDEX(I$79:I$81,MATCH($E$10,$B$79:$B$81,0),0)</f>
        <v>0.02</v>
      </c>
      <c r="J77" s="86">
        <f t="shared" si="19"/>
        <v>0.02</v>
      </c>
      <c r="K77" s="86">
        <f t="shared" si="19"/>
        <v>0.02</v>
      </c>
      <c r="L77" s="86">
        <f t="shared" si="19"/>
        <v>0.02</v>
      </c>
      <c r="M77" s="87">
        <f t="shared" si="19"/>
        <v>0.02</v>
      </c>
    </row>
    <row r="78" ht="6" customHeight="1">
      <c r="I78" s="88"/>
      <c r="J78" s="88"/>
      <c r="K78" s="88"/>
      <c r="L78" s="88"/>
      <c r="M78" s="88"/>
    </row>
    <row r="79" ht="24" customHeight="1">
      <c r="B79" s="80" t="s">
        <v>77</v>
      </c>
      <c r="I79" s="89">
        <v>0.02</v>
      </c>
      <c r="J79" s="89">
        <v>0.02</v>
      </c>
      <c r="K79" s="89">
        <v>0.02</v>
      </c>
      <c r="L79" s="89">
        <v>0.02</v>
      </c>
      <c r="M79" s="89">
        <v>0.02</v>
      </c>
    </row>
    <row r="80" ht="24" customHeight="1">
      <c r="B80" s="80" t="s">
        <v>82</v>
      </c>
      <c r="I80" s="89">
        <v>0.01</v>
      </c>
      <c r="J80" s="89">
        <v>0.01</v>
      </c>
      <c r="K80" s="89">
        <v>0.01</v>
      </c>
      <c r="L80" s="89">
        <v>0.01</v>
      </c>
      <c r="M80" s="89">
        <v>0.01</v>
      </c>
    </row>
    <row r="81" ht="24" customHeight="1">
      <c r="B81" s="80" t="s">
        <v>83</v>
      </c>
      <c r="I81" s="89">
        <v>0.03</v>
      </c>
      <c r="J81" s="89">
        <v>0.03</v>
      </c>
      <c r="K81" s="89">
        <v>0.03</v>
      </c>
      <c r="L81" s="89">
        <v>0.03</v>
      </c>
      <c r="M81" s="89">
        <v>0.03</v>
      </c>
    </row>
    <row r="83" ht="24" customHeight="1">
      <c r="A83" s="25" t="s">
        <v>5</v>
      </c>
      <c r="B83" s="28" t="s">
        <v>117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5" t="s">
        <v>5</v>
      </c>
    </row>
    <row r="84" ht="6" customHeight="1"/>
    <row r="85" ht="24" customHeight="1">
      <c r="B85" s="34" t="s">
        <v>118</v>
      </c>
      <c r="D85" s="79">
        <f>'Historical Financials'!D28</f>
        <v>-31.877967021575273</v>
      </c>
      <c r="E85" s="79">
        <f>'Historical Financials'!E28</f>
        <v>-33.93651709523933</v>
      </c>
      <c r="F85" s="79">
        <f>'Historical Financials'!F28</f>
        <v>-36.128</v>
      </c>
      <c r="G85" s="79">
        <f>'Historical Financials'!G28</f>
        <v>-38.461</v>
      </c>
      <c r="H85" s="79">
        <f>'Historical Financials'!H28</f>
        <v>-42.989</v>
      </c>
      <c r="I85" s="79">
        <f>PRODUCT(I$88,'Capex &amp; NWC Drivers'!I17)</f>
        <v>-56.176821000000004</v>
      </c>
      <c r="J85" s="79">
        <f>PRODUCT(J$88,'Capex &amp; NWC Drivers'!J17)</f>
        <v>-71.87936838</v>
      </c>
      <c r="K85" s="79">
        <f>PRODUCT(K$88,'Capex &amp; NWC Drivers'!K17)</f>
        <v>-85.96561039199999</v>
      </c>
      <c r="L85" s="79">
        <f>PRODUCT(L$88,'Capex &amp; NWC Drivers'!L17)</f>
        <v>-102.54358238609998</v>
      </c>
      <c r="M85" s="79">
        <f>PRODUCT(M$88,'Capex &amp; NWC Drivers'!M17)</f>
        <v>-122.03693806229997</v>
      </c>
    </row>
    <row r="86" ht="24" customHeight="1">
      <c r="B86" s="80" t="s">
        <v>119</v>
      </c>
      <c r="D86" s="81">
        <f>D85/'Capex &amp; NWC Drivers'!D17</f>
        <v>0.6086692390193175</v>
      </c>
      <c r="E86" s="81">
        <f>E85/'Capex &amp; NWC Drivers'!E17</f>
        <v>0.9713627287472343</v>
      </c>
      <c r="F86" s="81">
        <f>F85/'Capex &amp; NWC Drivers'!F17</f>
        <v>0.9745097510317482</v>
      </c>
      <c r="G86" s="81">
        <f>G85/'Capex &amp; NWC Drivers'!G17</f>
        <v>0.8116361027285964</v>
      </c>
      <c r="H86" s="81">
        <f>H85/'Capex &amp; NWC Drivers'!H17</f>
        <v>0.6752693914737206</v>
      </c>
      <c r="I86" s="81">
        <f>I85/'Capex &amp; NWC Drivers'!I17</f>
        <v>0.75</v>
      </c>
      <c r="J86" s="81">
        <f>J85/'Capex &amp; NWC Drivers'!J17</f>
        <v>0.8500000000000001</v>
      </c>
      <c r="K86" s="81">
        <f>K85/'Capex &amp; NWC Drivers'!K17</f>
        <v>0.9</v>
      </c>
      <c r="L86" s="81">
        <f>L85/'Capex &amp; NWC Drivers'!L17</f>
        <v>0.95</v>
      </c>
      <c r="M86" s="81">
        <f>M85/'Capex &amp; NWC Drivers'!M17</f>
        <v>1</v>
      </c>
    </row>
    <row r="88" ht="24" customHeight="1">
      <c r="B88" s="82" t="str">
        <f>"Operating Scenario: "&amp;$E$10&amp;" % of Capex"</f>
        <v>Operating Scenario: Base Case % of Capex</v>
      </c>
      <c r="C88" s="83"/>
      <c r="D88" s="83"/>
      <c r="E88" s="84"/>
      <c r="F88" s="84"/>
      <c r="G88" s="84"/>
      <c r="H88" s="85"/>
      <c r="I88" s="86">
        <f t="shared" si="20" ref="I88:M88">INDEX(I$90:I$92,MATCH($E$10,$B$90:$B$92,0),0)</f>
        <v>0.75</v>
      </c>
      <c r="J88" s="86">
        <f t="shared" si="20"/>
        <v>0.85</v>
      </c>
      <c r="K88" s="86">
        <f t="shared" si="20"/>
        <v>0.9</v>
      </c>
      <c r="L88" s="86">
        <f t="shared" si="20"/>
        <v>0.95</v>
      </c>
      <c r="M88" s="87">
        <f t="shared" si="20"/>
        <v>1</v>
      </c>
    </row>
    <row r="89" ht="6" customHeight="1">
      <c r="I89" s="88"/>
      <c r="J89" s="88"/>
      <c r="K89" s="88"/>
      <c r="L89" s="88"/>
      <c r="M89" s="88"/>
    </row>
    <row r="90" ht="24" customHeight="1">
      <c r="B90" s="80" t="s">
        <v>77</v>
      </c>
      <c r="I90" s="89">
        <v>0.75</v>
      </c>
      <c r="J90" s="89">
        <v>0.85</v>
      </c>
      <c r="K90" s="89">
        <v>0.9</v>
      </c>
      <c r="L90" s="89">
        <v>0.95</v>
      </c>
      <c r="M90" s="89">
        <v>1</v>
      </c>
    </row>
    <row r="91" ht="24" customHeight="1">
      <c r="B91" s="80" t="s">
        <v>82</v>
      </c>
      <c r="I91" s="89">
        <v>0.7</v>
      </c>
      <c r="J91" s="89">
        <v>0.8</v>
      </c>
      <c r="K91" s="89">
        <v>0.85</v>
      </c>
      <c r="L91" s="89">
        <v>0.9</v>
      </c>
      <c r="M91" s="89">
        <v>0.95</v>
      </c>
    </row>
    <row r="92" ht="24" customHeight="1">
      <c r="B92" s="80" t="s">
        <v>83</v>
      </c>
      <c r="I92" s="89">
        <v>0.8</v>
      </c>
      <c r="J92" s="89">
        <v>0.9</v>
      </c>
      <c r="K92" s="89">
        <v>0.95</v>
      </c>
      <c r="L92" s="89">
        <v>1</v>
      </c>
      <c r="M92" s="89">
        <v>1</v>
      </c>
    </row>
  </sheetData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FB8A58B-0E35-4F97-CDFC-23B1238CD5A3}" mc:Ignorable="x14ac xr xr2 xr3">
  <sheetPr>
    <tabColor rgb="FFC00000"/>
  </sheetPr>
  <dimension ref="A1:Q349"/>
  <sheetViews>
    <sheetView showGridLines="0" topLeftCell="A1" zoomScale="80" workbookViewId="0">
      <selection activeCell="A1" sqref="A1"/>
    </sheetView>
  </sheetViews>
  <sheetFormatPr defaultRowHeight="24" defaultColWidth="18.7109375" customHeight="1"/>
  <cols>
    <col min="1" max="1" style="34" width="10.7109375" customWidth="1"/>
    <col min="2" max="2" style="34" width="44.7109375" customWidth="1"/>
    <col min="3" max="3" style="34" width="4.7109375" customWidth="1"/>
    <col min="4" max="17" style="34" width="18.7109375" customWidth="1"/>
  </cols>
  <sheetData>
    <row r="1" ht="24" customHeight="1"/>
    <row r="2" ht="32.25" customHeight="1">
      <c r="B2" s="20" t="s">
        <v>1</v>
      </c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ht="24" customHeight="1">
      <c r="B3" s="22" t="s">
        <v>121</v>
      </c>
      <c r="C3" s="22"/>
      <c r="N3" s="23"/>
      <c r="O3" s="23" t="s">
        <v>3</v>
      </c>
    </row>
    <row r="4" ht="24" customHeight="1"/>
    <row r="5" ht="24" customHeight="1">
      <c r="B5" s="24" t="s">
        <v>4</v>
      </c>
      <c r="C5" s="24"/>
    </row>
    <row r="6" ht="24" customHeight="1">
      <c r="A6" s="25" t="s">
        <v>5</v>
      </c>
      <c r="B6" s="26" t="s">
        <v>122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5" t="s">
        <v>5</v>
      </c>
    </row>
    <row r="7" ht="6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ht="24" customHeight="1">
      <c r="A8" s="25" t="s">
        <v>5</v>
      </c>
      <c r="B8" s="28" t="s">
        <v>123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5" t="s">
        <v>5</v>
      </c>
    </row>
    <row r="9" ht="6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</row>
    <row r="10" ht="24" customHeight="1">
      <c r="A10" s="27"/>
      <c r="B10" s="105" t="s">
        <v>124</v>
      </c>
      <c r="C10" s="105"/>
      <c r="D10" s="27"/>
      <c r="E10" s="106">
        <v>0.21</v>
      </c>
      <c r="F10" s="27"/>
      <c r="G10" s="105" t="s">
        <v>125</v>
      </c>
      <c r="H10" s="27"/>
      <c r="J10" s="106">
        <v>0.01</v>
      </c>
      <c r="K10" s="27"/>
      <c r="L10" s="105" t="s">
        <v>126</v>
      </c>
      <c r="M10" s="27"/>
      <c r="N10" s="106">
        <v>0</v>
      </c>
      <c r="O10" s="27"/>
      <c r="P10" s="27"/>
      <c r="Q10" s="27"/>
    </row>
    <row r="11" ht="24" customHeight="1">
      <c r="A11" s="27"/>
      <c r="B11" s="105" t="s">
        <v>127</v>
      </c>
      <c r="C11" s="105"/>
      <c r="D11" s="27"/>
      <c r="E11" s="106">
        <v>0.15</v>
      </c>
      <c r="F11" s="27"/>
      <c r="G11" s="105" t="s">
        <v>128</v>
      </c>
      <c r="H11" s="27"/>
      <c r="I11" s="27"/>
      <c r="J11" s="106">
        <v>0.05</v>
      </c>
      <c r="K11" s="27"/>
      <c r="L11" s="105" t="s">
        <v>129</v>
      </c>
      <c r="M11" s="27"/>
      <c r="N11" s="107">
        <v>5</v>
      </c>
      <c r="O11" s="27"/>
      <c r="P11" s="27"/>
      <c r="Q11" s="27"/>
    </row>
    <row r="12" ht="24" customHeight="1">
      <c r="A12" s="27"/>
      <c r="B12" s="105" t="s">
        <v>130</v>
      </c>
      <c r="C12" s="105"/>
      <c r="D12" s="27"/>
      <c r="E12" s="108">
        <v>43465</v>
      </c>
      <c r="F12" s="27"/>
      <c r="G12" s="105" t="s">
        <v>131</v>
      </c>
      <c r="H12" s="27"/>
      <c r="I12" s="27"/>
      <c r="J12" s="109">
        <v>0</v>
      </c>
      <c r="K12" s="27"/>
      <c r="L12" s="105" t="s">
        <v>132</v>
      </c>
      <c r="M12" s="27"/>
      <c r="N12" s="106">
        <v>0.08</v>
      </c>
      <c r="O12" s="27"/>
      <c r="P12" s="27"/>
      <c r="Q12" s="27"/>
    </row>
    <row r="13" ht="24" customHeight="1">
      <c r="A13" s="27"/>
      <c r="B13" s="105"/>
      <c r="C13" s="105"/>
      <c r="D13" s="27"/>
      <c r="E13" s="27"/>
      <c r="F13" s="27"/>
      <c r="G13" s="105"/>
      <c r="H13" s="27"/>
      <c r="I13" s="27"/>
      <c r="J13" s="27"/>
      <c r="K13" s="27"/>
      <c r="L13" s="105" t="s">
        <v>133</v>
      </c>
      <c r="M13" s="27"/>
      <c r="N13" s="106">
        <v>0.05</v>
      </c>
      <c r="O13" s="27"/>
      <c r="P13" s="27"/>
      <c r="Q13" s="27"/>
    </row>
    <row r="14" ht="24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</row>
    <row r="15" ht="24" customHeight="1">
      <c r="A15" s="25" t="s">
        <v>5</v>
      </c>
      <c r="B15" s="28" t="s">
        <v>134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5" t="s">
        <v>5</v>
      </c>
    </row>
    <row r="16" ht="6" customHeight="1"/>
    <row r="17" ht="24" customHeight="1">
      <c r="B17" s="57" t="s">
        <v>135</v>
      </c>
      <c r="C17" s="57"/>
      <c r="G17" s="57" t="s">
        <v>136</v>
      </c>
      <c r="L17" s="57" t="s">
        <v>137</v>
      </c>
    </row>
    <row r="18" ht="24" customHeight="1">
      <c r="B18" s="80" t="s">
        <v>138</v>
      </c>
      <c r="C18" s="80"/>
      <c r="E18" s="110">
        <f>'Historical Financials'!H25</f>
        <v>119.7839999999999</v>
      </c>
      <c r="G18" s="80" t="s">
        <v>139</v>
      </c>
      <c r="J18" s="111">
        <f>E23</f>
        <v>620.6729999999995</v>
      </c>
      <c r="L18" s="80" t="s">
        <v>140</v>
      </c>
      <c r="O18" s="111">
        <f>J21</f>
        <v>183.89699999999957</v>
      </c>
      <c r="P18" s="111"/>
    </row>
    <row r="19" ht="24" customHeight="1">
      <c r="B19" s="80" t="s">
        <v>141</v>
      </c>
      <c r="C19" s="80"/>
      <c r="E19" s="112">
        <v>5</v>
      </c>
      <c r="G19" s="113" t="s">
        <v>142</v>
      </c>
      <c r="J19" s="114">
        <f>-G153</f>
        <v>-469.508</v>
      </c>
      <c r="L19" s="113" t="s">
        <v>143</v>
      </c>
      <c r="O19" s="115">
        <f>-PRODUCT(O18,$E$11)</f>
        <v>-27.584549999999933</v>
      </c>
      <c r="P19" s="115"/>
    </row>
    <row r="20" ht="24" customHeight="1">
      <c r="B20" s="116" t="s">
        <v>144</v>
      </c>
      <c r="C20" s="116"/>
      <c r="D20" s="39"/>
      <c r="E20" s="117">
        <f t="shared" si="100" ref="E20:O274">PRODUCT(E18:E19)</f>
        <v>598.9199999999995</v>
      </c>
      <c r="G20" s="113" t="s">
        <v>145</v>
      </c>
      <c r="J20" s="114">
        <f>G132</f>
        <v>32.732</v>
      </c>
      <c r="L20" s="113" t="s">
        <v>146</v>
      </c>
      <c r="O20" s="115">
        <f>-PRODUCT($O$19,$E$10)</f>
        <v>5.792755499999986</v>
      </c>
      <c r="P20" s="115"/>
    </row>
    <row r="21" ht="24" customHeight="1">
      <c r="B21" s="113" t="s">
        <v>147</v>
      </c>
      <c r="C21" s="113"/>
      <c r="E21" s="118">
        <f>-'Historical Financials'!H68</f>
        <v>-0.261</v>
      </c>
      <c r="G21" s="119" t="s">
        <v>140</v>
      </c>
      <c r="H21" s="39"/>
      <c r="I21" s="39"/>
      <c r="J21" s="117">
        <f t="shared" si="0" ref="J21:O21">SUM(J18:J20)</f>
        <v>183.89699999999957</v>
      </c>
      <c r="L21" s="119" t="s">
        <v>148</v>
      </c>
      <c r="M21" s="39"/>
      <c r="N21" s="39"/>
      <c r="O21" s="117">
        <f t="shared" si="0"/>
        <v>162.10520549999964</v>
      </c>
      <c r="P21" s="120"/>
    </row>
    <row r="22" ht="24" customHeight="1">
      <c r="B22" s="80" t="s">
        <v>149</v>
      </c>
      <c r="C22" s="80"/>
      <c r="E22" s="118">
        <f>'Historical Financials'!H45</f>
        <v>22.013999999999992</v>
      </c>
    </row>
    <row r="23" ht="24" customHeight="1">
      <c r="B23" s="116" t="s">
        <v>139</v>
      </c>
      <c r="C23" s="116"/>
      <c r="D23" s="39"/>
      <c r="E23" s="117">
        <f>SUM(E20:E22)</f>
        <v>620.6729999999995</v>
      </c>
      <c r="L23" s="80" t="s">
        <v>137</v>
      </c>
      <c r="O23" s="115">
        <f>O19</f>
        <v>-27.584549999999933</v>
      </c>
      <c r="P23" s="115"/>
    </row>
    <row r="24" ht="24" customHeight="1">
      <c r="B24" s="113" t="s">
        <v>150</v>
      </c>
      <c r="C24" s="113"/>
      <c r="E24" s="114">
        <f>-D35</f>
        <v>-16.833226499999984</v>
      </c>
      <c r="L24" s="80" t="s">
        <v>151</v>
      </c>
      <c r="O24" s="121">
        <v>15</v>
      </c>
      <c r="P24" s="27"/>
    </row>
    <row r="25" ht="24" customHeight="1">
      <c r="B25" s="116" t="s">
        <v>152</v>
      </c>
      <c r="C25" s="116"/>
      <c r="D25" s="39"/>
      <c r="E25" s="117">
        <f t="shared" si="14" ref="E25:O239">SUM(E23:E24)</f>
        <v>603.8397734999995</v>
      </c>
      <c r="L25" s="119" t="s">
        <v>153</v>
      </c>
      <c r="M25" s="39"/>
      <c r="N25" s="39"/>
      <c r="O25" s="117">
        <f>O23/O24</f>
        <v>-1.8389699999999956</v>
      </c>
      <c r="P25" s="120"/>
    </row>
    <row r="27" ht="24" customHeight="1">
      <c r="A27" s="25" t="s">
        <v>5</v>
      </c>
      <c r="B27" s="28" t="s">
        <v>154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5" t="s">
        <v>5</v>
      </c>
    </row>
    <row r="28" ht="6" customHeight="1"/>
    <row r="29" ht="18" customHeight="1">
      <c r="B29" s="122" t="s">
        <v>155</v>
      </c>
      <c r="C29" s="122"/>
      <c r="D29" s="123" t="s">
        <v>156</v>
      </c>
      <c r="E29" s="123" t="s">
        <v>157</v>
      </c>
      <c r="F29" s="123" t="s">
        <v>158</v>
      </c>
      <c r="H29" s="122" t="s">
        <v>159</v>
      </c>
      <c r="I29" s="122"/>
      <c r="J29" s="123" t="s">
        <v>156</v>
      </c>
      <c r="K29" s="123" t="s">
        <v>157</v>
      </c>
      <c r="L29" s="123" t="s">
        <v>158</v>
      </c>
    </row>
    <row r="30" ht="18" customHeight="1">
      <c r="B30" s="124"/>
      <c r="C30" s="124"/>
      <c r="D30" s="125"/>
      <c r="E30" s="125"/>
      <c r="F30" s="125"/>
      <c r="H30" s="124"/>
      <c r="I30" s="124"/>
      <c r="J30" s="125"/>
      <c r="K30" s="125"/>
      <c r="L30" s="125"/>
    </row>
    <row r="31" ht="6" customHeight="1">
      <c r="B31" s="122"/>
      <c r="C31" s="122"/>
      <c r="D31" s="126"/>
      <c r="E31" s="126"/>
      <c r="F31" s="126"/>
      <c r="H31" s="122"/>
      <c r="I31" s="122"/>
      <c r="J31" s="126"/>
      <c r="K31" s="126"/>
      <c r="L31" s="126"/>
    </row>
    <row r="32" ht="24" customHeight="1">
      <c r="B32" s="34" t="s">
        <v>160</v>
      </c>
      <c r="D32" s="51">
        <f t="shared" si="2" ref="D32:D34">E44</f>
        <v>0</v>
      </c>
      <c r="E32" s="81">
        <f t="shared" si="3" ref="E32:E36">D32/$D$37</f>
        <v>0</v>
      </c>
      <c r="F32" s="127">
        <f t="shared" si="1" ref="F32:L36">D32/$E$18</f>
        <v>0</v>
      </c>
      <c r="H32" s="34" t="s">
        <v>161</v>
      </c>
      <c r="J32" s="51">
        <f>E25</f>
        <v>603.8397734999995</v>
      </c>
      <c r="K32" s="81">
        <f t="shared" si="4" ref="K32:K36">J32/$J$37</f>
        <v>0.9492477416332302</v>
      </c>
      <c r="L32" s="127">
        <f t="shared" si="1"/>
        <v>5.041072042175917</v>
      </c>
    </row>
    <row r="33" ht="24" customHeight="1">
      <c r="B33" s="34" t="s">
        <v>162</v>
      </c>
      <c r="D33" s="58">
        <f t="shared" si="2"/>
        <v>179.67599999999987</v>
      </c>
      <c r="E33" s="81">
        <f t="shared" si="3"/>
        <v>0.2824541289108911</v>
      </c>
      <c r="F33" s="127">
        <f t="shared" si="1"/>
        <v>1.5000000000000002</v>
      </c>
      <c r="H33" s="34" t="s">
        <v>163</v>
      </c>
      <c r="J33" s="58">
        <f>D35</f>
        <v>16.833226499999984</v>
      </c>
      <c r="K33" s="81">
        <f t="shared" si="4"/>
        <v>0.026462155924092408</v>
      </c>
      <c r="L33" s="127">
        <f t="shared" si="1"/>
        <v>0.14052984121418552</v>
      </c>
    </row>
    <row r="34" ht="24" customHeight="1">
      <c r="B34" s="34" t="s">
        <v>164</v>
      </c>
      <c r="D34" s="58">
        <f t="shared" si="2"/>
        <v>119.7839999999999</v>
      </c>
      <c r="E34" s="81">
        <f t="shared" si="3"/>
        <v>0.18830275260726073</v>
      </c>
      <c r="F34" s="127">
        <f t="shared" si="1"/>
        <v>1</v>
      </c>
      <c r="H34" s="34" t="s">
        <v>165</v>
      </c>
      <c r="J34" s="58">
        <f>-E21</f>
        <v>0.261</v>
      </c>
      <c r="K34" s="81">
        <f t="shared" si="4"/>
        <v>0.0004102970215595997</v>
      </c>
      <c r="L34" s="127">
        <f t="shared" si="1"/>
        <v>0.0021789220597074753</v>
      </c>
    </row>
    <row r="35" ht="24" customHeight="1">
      <c r="B35" s="34" t="s">
        <v>166</v>
      </c>
      <c r="D35" s="58">
        <f>(D37-SUM(D32:D34))*$J$11</f>
        <v>16.833226499999984</v>
      </c>
      <c r="E35" s="81">
        <f t="shared" si="3"/>
        <v>0.026462155924092408</v>
      </c>
      <c r="F35" s="127">
        <f t="shared" si="1"/>
        <v>0.14052984121418552</v>
      </c>
      <c r="H35" s="34" t="s">
        <v>167</v>
      </c>
      <c r="J35" s="58">
        <f>I47+G47</f>
        <v>8.983799999999997</v>
      </c>
      <c r="K35" s="81">
        <f t="shared" si="4"/>
        <v>0.01412270644554456</v>
      </c>
      <c r="L35" s="127">
        <f t="shared" si="1"/>
        <v>0.07500000000000004</v>
      </c>
    </row>
    <row r="36" ht="24" customHeight="1">
      <c r="B36" s="34" t="s">
        <v>168</v>
      </c>
      <c r="D36" s="58">
        <f>D37-SUM(D32:D35)</f>
        <v>319.8313034999997</v>
      </c>
      <c r="E36" s="81">
        <f t="shared" si="3"/>
        <v>0.5027809625577557</v>
      </c>
      <c r="F36" s="127">
        <f t="shared" si="1"/>
        <v>2.6700669830695247</v>
      </c>
      <c r="H36" s="34" t="s">
        <v>169</v>
      </c>
      <c r="J36" s="58">
        <f>PRODUCT($J$10,$E$23)</f>
        <v>6.206729999999996</v>
      </c>
      <c r="K36" s="81">
        <f t="shared" si="4"/>
        <v>0.009757098975573227</v>
      </c>
      <c r="L36" s="127">
        <f t="shared" si="1"/>
        <v>0.05181601883390103</v>
      </c>
    </row>
    <row r="37" ht="24" customHeight="1">
      <c r="B37" s="47" t="s">
        <v>170</v>
      </c>
      <c r="C37" s="47"/>
      <c r="D37" s="49">
        <f>$J$37</f>
        <v>636.1245299999995</v>
      </c>
      <c r="E37" s="128">
        <f t="shared" si="5" ref="E37:O146">SUM(E32:E36)</f>
        <v>1</v>
      </c>
      <c r="F37" s="129">
        <f t="shared" si="5"/>
        <v>5.31059682428371</v>
      </c>
      <c r="H37" s="47" t="s">
        <v>171</v>
      </c>
      <c r="I37" s="48"/>
      <c r="J37" s="49">
        <f t="shared" si="5"/>
        <v>636.1245299999995</v>
      </c>
      <c r="K37" s="128">
        <f t="shared" si="5"/>
        <v>1</v>
      </c>
      <c r="L37" s="129">
        <f t="shared" si="5"/>
        <v>5.310596824283711</v>
      </c>
    </row>
    <row r="38" ht="24" customHeight="1">
      <c r="D38" s="81"/>
    </row>
    <row r="39" ht="24" customHeight="1">
      <c r="A39" s="25" t="s">
        <v>5</v>
      </c>
      <c r="B39" s="28" t="s">
        <v>172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5" t="s">
        <v>5</v>
      </c>
    </row>
    <row r="40" ht="6" customHeight="1"/>
    <row r="41" ht="24" customHeight="1">
      <c r="D41" s="130" t="s">
        <v>173</v>
      </c>
      <c r="E41" s="130" t="s">
        <v>174</v>
      </c>
      <c r="F41" s="130" t="s">
        <v>175</v>
      </c>
      <c r="G41" s="130" t="s">
        <v>176</v>
      </c>
      <c r="H41" s="130" t="s">
        <v>177</v>
      </c>
      <c r="I41" s="130" t="s">
        <v>178</v>
      </c>
      <c r="J41" s="130" t="s">
        <v>179</v>
      </c>
      <c r="K41" s="130" t="s">
        <v>180</v>
      </c>
      <c r="L41" s="130" t="s">
        <v>181</v>
      </c>
      <c r="M41" s="130" t="s">
        <v>182</v>
      </c>
      <c r="N41" s="130" t="s">
        <v>183</v>
      </c>
      <c r="O41" s="130" t="s">
        <v>184</v>
      </c>
      <c r="P41" s="130"/>
    </row>
    <row r="42" ht="24" customHeight="1">
      <c r="B42" s="31"/>
      <c r="C42" s="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0"/>
    </row>
    <row r="43" ht="6" customHeight="1"/>
    <row r="44" ht="24" customHeight="1">
      <c r="B44" s="34" t="s">
        <v>185</v>
      </c>
      <c r="D44" s="112">
        <v>0</v>
      </c>
      <c r="E44" s="132">
        <f t="shared" si="6" ref="E44:E46">PRODUCT($D44,$E$18)</f>
        <v>0</v>
      </c>
      <c r="F44" s="133">
        <v>0.015</v>
      </c>
      <c r="G44" s="134">
        <v>400</v>
      </c>
      <c r="H44" s="133">
        <v>0.99</v>
      </c>
      <c r="I44" s="133">
        <v>0.0075</v>
      </c>
      <c r="J44" s="133">
        <v>0.02</v>
      </c>
      <c r="K44" s="133">
        <v>0</v>
      </c>
      <c r="L44" s="106">
        <v>1</v>
      </c>
      <c r="M44" s="135">
        <f t="shared" si="7" ref="M44:M46">$E$12</f>
        <v>43465</v>
      </c>
      <c r="N44" s="121">
        <v>3</v>
      </c>
      <c r="O44" s="135">
        <f t="shared" si="8" ref="O44:O46">EOMONTH(M44,12*N44)</f>
        <v>44561</v>
      </c>
      <c r="P44" s="136"/>
    </row>
    <row r="45" ht="24" customHeight="1">
      <c r="B45" s="34" t="s">
        <v>186</v>
      </c>
      <c r="D45" s="137">
        <f>$D$49*0.6</f>
        <v>1.5</v>
      </c>
      <c r="E45" s="132">
        <f t="shared" si="6"/>
        <v>179.67599999999987</v>
      </c>
      <c r="F45" s="133">
        <v>0.015</v>
      </c>
      <c r="G45" s="134">
        <v>400</v>
      </c>
      <c r="H45" s="133">
        <v>0.99</v>
      </c>
      <c r="I45" s="138" t="s">
        <v>187</v>
      </c>
      <c r="J45" s="133">
        <v>0.02</v>
      </c>
      <c r="K45" s="133">
        <v>0.05</v>
      </c>
      <c r="L45" s="106">
        <v>1</v>
      </c>
      <c r="M45" s="135">
        <f t="shared" si="7"/>
        <v>43465</v>
      </c>
      <c r="N45" s="121">
        <v>6</v>
      </c>
      <c r="O45" s="135">
        <f t="shared" si="8"/>
        <v>45657</v>
      </c>
      <c r="P45" s="136"/>
    </row>
    <row r="46" ht="24" customHeight="1">
      <c r="B46" s="34" t="s">
        <v>164</v>
      </c>
      <c r="D46" s="137">
        <f>$D$49*0.4</f>
        <v>1</v>
      </c>
      <c r="E46" s="132">
        <f t="shared" si="6"/>
        <v>119.7839999999999</v>
      </c>
      <c r="F46" s="138" t="s">
        <v>187</v>
      </c>
      <c r="G46" s="139">
        <v>750</v>
      </c>
      <c r="H46" s="138">
        <v>0.99</v>
      </c>
      <c r="I46" s="138" t="s">
        <v>187</v>
      </c>
      <c r="J46" s="138">
        <v>0.02</v>
      </c>
      <c r="K46" s="138">
        <v>0</v>
      </c>
      <c r="L46" s="140">
        <v>1</v>
      </c>
      <c r="M46" s="141">
        <f t="shared" si="7"/>
        <v>43465</v>
      </c>
      <c r="N46" s="142">
        <v>8</v>
      </c>
      <c r="O46" s="141">
        <f t="shared" si="8"/>
        <v>46387</v>
      </c>
      <c r="P46" s="136"/>
    </row>
    <row r="47" ht="24" customHeight="1">
      <c r="B47" s="38" t="s">
        <v>188</v>
      </c>
      <c r="C47" s="38"/>
      <c r="D47" s="143">
        <f t="shared" si="9" ref="D47:O291">SUM(D44:D46)</f>
        <v>2.5</v>
      </c>
      <c r="E47" s="117">
        <f t="shared" si="9"/>
        <v>299.4599999999998</v>
      </c>
      <c r="F47" s="39"/>
      <c r="G47" s="117">
        <f>(1-H44)*E44+(1-H45)*E45+(1-H46)*E46</f>
        <v>2.9946000000000006</v>
      </c>
      <c r="H47" s="39"/>
      <c r="I47" s="117">
        <f>SUMPRODUCT($J$44:$J$46,$E$44:$E$46)</f>
        <v>5.989199999999996</v>
      </c>
      <c r="J47" s="39"/>
      <c r="K47" s="39"/>
      <c r="L47" s="39"/>
      <c r="M47" s="39"/>
      <c r="N47" s="39"/>
    </row>
    <row r="49" ht="24" customHeight="1">
      <c r="B49" s="34" t="s">
        <v>189</v>
      </c>
      <c r="D49" s="107">
        <v>2.5</v>
      </c>
      <c r="F49" s="34" t="s">
        <v>190</v>
      </c>
      <c r="H49" s="144">
        <v>50</v>
      </c>
    </row>
    <row r="51" ht="24" customHeight="1">
      <c r="A51" s="25" t="s">
        <v>5</v>
      </c>
      <c r="B51" s="28" t="s">
        <v>7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5" t="s">
        <v>5</v>
      </c>
    </row>
    <row r="52" ht="6" customHeight="1"/>
    <row r="53" ht="24" customHeight="1">
      <c r="F53" s="145" t="s">
        <v>191</v>
      </c>
      <c r="G53" s="145"/>
      <c r="H53" s="145"/>
      <c r="I53" s="145"/>
      <c r="J53" s="146"/>
      <c r="K53" s="147" t="s">
        <v>192</v>
      </c>
      <c r="L53" s="145"/>
      <c r="M53" s="145"/>
      <c r="N53" s="145"/>
      <c r="O53" s="145"/>
    </row>
    <row r="54" ht="24" customHeight="1">
      <c r="D54" s="148" t="str">
        <f t="shared" si="30" ref="D54:D88">"'19E - '23E Total"</f>
        <v>'19E - '23E Total</v>
      </c>
      <c r="E54" s="149" t="str">
        <f t="shared" si="31" ref="E54:E88">"'19E - '23E CAGR"</f>
        <v>'19E - '23E CAGR</v>
      </c>
      <c r="F54" s="29">
        <v>42004</v>
      </c>
      <c r="G54" s="29">
        <f t="shared" si="10" ref="G54:O296">EOMONTH(F54,12)</f>
        <v>42369</v>
      </c>
      <c r="H54" s="29">
        <f t="shared" si="10"/>
        <v>42735</v>
      </c>
      <c r="I54" s="29">
        <f t="shared" si="10"/>
        <v>43100</v>
      </c>
      <c r="J54" s="150">
        <f t="shared" si="10"/>
        <v>43465</v>
      </c>
      <c r="K54" s="29">
        <f t="shared" si="10"/>
        <v>43830</v>
      </c>
      <c r="L54" s="29">
        <f t="shared" si="10"/>
        <v>44196</v>
      </c>
      <c r="M54" s="29">
        <f t="shared" si="10"/>
        <v>44561</v>
      </c>
      <c r="N54" s="29">
        <f t="shared" si="10"/>
        <v>44926</v>
      </c>
      <c r="O54" s="29">
        <f t="shared" si="10"/>
        <v>45291</v>
      </c>
      <c r="P54" s="29"/>
    </row>
    <row r="55" ht="24" customHeight="1">
      <c r="B55" s="31"/>
      <c r="C55" s="31"/>
      <c r="D55" s="151"/>
      <c r="E55" s="152"/>
      <c r="F55" s="32">
        <f t="shared" si="11" ref="F55:O270">YEAR(F54)</f>
        <v>2014</v>
      </c>
      <c r="G55" s="32">
        <f t="shared" si="11"/>
        <v>2015</v>
      </c>
      <c r="H55" s="32">
        <f t="shared" si="11"/>
        <v>2016</v>
      </c>
      <c r="I55" s="32">
        <f t="shared" si="11"/>
        <v>2017</v>
      </c>
      <c r="J55" s="153">
        <f t="shared" si="11"/>
        <v>2018</v>
      </c>
      <c r="K55" s="78">
        <f t="shared" si="11"/>
        <v>2019</v>
      </c>
      <c r="L55" s="78">
        <f t="shared" si="11"/>
        <v>2020</v>
      </c>
      <c r="M55" s="78">
        <f t="shared" si="11"/>
        <v>2021</v>
      </c>
      <c r="N55" s="78">
        <f t="shared" si="11"/>
        <v>2022</v>
      </c>
      <c r="O55" s="78">
        <f t="shared" si="11"/>
        <v>2023</v>
      </c>
      <c r="P55" s="27"/>
    </row>
    <row r="56" ht="6" customHeight="1">
      <c r="D56" s="154"/>
      <c r="E56" s="155"/>
      <c r="J56" s="156"/>
      <c r="P56" s="27"/>
    </row>
    <row r="57" ht="24" customHeight="1">
      <c r="B57" s="34" t="s">
        <v>9</v>
      </c>
      <c r="D57" s="157">
        <f t="shared" si="12" ref="D57:D107">SUM(K57:O57)</f>
        <v>1601.3976449900006</v>
      </c>
      <c r="E57" s="158">
        <f t="shared" si="13" ref="E57:E82">RATE($O$55-$K$55,0,-$K57,$O57)</f>
        <v>0.1</v>
      </c>
      <c r="F57" s="79">
        <f>'Historical Financials'!D13</f>
        <v>236.277</v>
      </c>
      <c r="G57" s="79">
        <f>'Historical Financials'!E13</f>
        <v>148.565</v>
      </c>
      <c r="H57" s="79">
        <f>'Historical Financials'!F13</f>
        <v>134.755</v>
      </c>
      <c r="I57" s="79">
        <f>'Historical Financials'!G13</f>
        <v>211.313</v>
      </c>
      <c r="J57" s="159">
        <f>'Historical Financials'!H13</f>
        <v>238.459</v>
      </c>
      <c r="K57" s="79">
        <f>'P&amp;L Drivers'!I17</f>
        <v>262.30490000000003</v>
      </c>
      <c r="L57" s="79">
        <f>'P&amp;L Drivers'!J17</f>
        <v>288.53539000000006</v>
      </c>
      <c r="M57" s="79">
        <f>'P&amp;L Drivers'!K17</f>
        <v>317.3889290000001</v>
      </c>
      <c r="N57" s="79">
        <f>'P&amp;L Drivers'!L17</f>
        <v>349.12782190000013</v>
      </c>
      <c r="O57" s="79">
        <f>'P&amp;L Drivers'!M17</f>
        <v>384.04060409000016</v>
      </c>
    </row>
    <row r="58" ht="24" customHeight="1">
      <c r="B58" s="34" t="s">
        <v>10</v>
      </c>
      <c r="D58" s="160">
        <f t="shared" si="12"/>
        <v>2439.9464115124993</v>
      </c>
      <c r="E58" s="158">
        <f t="shared" si="13"/>
        <v>0.1499999999999993</v>
      </c>
      <c r="F58" s="96">
        <f>'Historical Financials'!D14</f>
        <v>298.665</v>
      </c>
      <c r="G58" s="96">
        <f>'Historical Financials'!E14</f>
        <v>208.283</v>
      </c>
      <c r="H58" s="96">
        <f>'Historical Financials'!F14</f>
        <v>243.91</v>
      </c>
      <c r="I58" s="96">
        <f>'Historical Financials'!G14</f>
        <v>301.656</v>
      </c>
      <c r="J58" s="161">
        <f>'Historical Financials'!H14</f>
        <v>314.68</v>
      </c>
      <c r="K58" s="96">
        <f>'P&amp;L Drivers'!I28</f>
        <v>361.882</v>
      </c>
      <c r="L58" s="96">
        <f>'P&amp;L Drivers'!J28</f>
        <v>416.16429999999997</v>
      </c>
      <c r="M58" s="96">
        <f>'P&amp;L Drivers'!K28</f>
        <v>478.5889449999999</v>
      </c>
      <c r="N58" s="96">
        <f>'P&amp;L Drivers'!L28</f>
        <v>550.3772867499998</v>
      </c>
      <c r="O58" s="96">
        <f>'P&amp;L Drivers'!M28</f>
        <v>632.9338797624997</v>
      </c>
    </row>
    <row r="59" ht="24" customHeight="1">
      <c r="B59" s="38" t="s">
        <v>11</v>
      </c>
      <c r="C59" s="39"/>
      <c r="D59" s="162">
        <f t="shared" si="12"/>
        <v>4041.3440565025</v>
      </c>
      <c r="E59" s="163">
        <f t="shared" si="13"/>
        <v>0.1297929274015761</v>
      </c>
      <c r="F59" s="40">
        <f t="shared" si="14"/>
        <v>534.942</v>
      </c>
      <c r="G59" s="40">
        <f t="shared" si="14"/>
        <v>356.84799999999996</v>
      </c>
      <c r="H59" s="40">
        <f t="shared" si="14"/>
        <v>378.66499999999996</v>
      </c>
      <c r="I59" s="40">
        <f t="shared" si="14"/>
        <v>512.969</v>
      </c>
      <c r="J59" s="40">
        <f t="shared" si="14"/>
        <v>553.139</v>
      </c>
      <c r="K59" s="164">
        <f t="shared" si="14"/>
        <v>624.1869</v>
      </c>
      <c r="L59" s="40">
        <f t="shared" si="14"/>
        <v>704.69969</v>
      </c>
      <c r="M59" s="40">
        <f t="shared" si="14"/>
        <v>795.9778739999999</v>
      </c>
      <c r="N59" s="40">
        <f t="shared" si="14"/>
        <v>899.50510865</v>
      </c>
      <c r="O59" s="40">
        <f t="shared" si="14"/>
        <v>1016.9744838524998</v>
      </c>
    </row>
    <row r="60" ht="24" customHeight="1">
      <c r="B60" s="43" t="s">
        <v>12</v>
      </c>
      <c r="D60" s="154"/>
      <c r="E60" s="155"/>
      <c r="G60" s="44">
        <f t="shared" si="15" ref="G60:O60">G59/F59-1</f>
        <v>-0.33292207379491623</v>
      </c>
      <c r="H60" s="44">
        <f t="shared" si="15"/>
        <v>0.06113807559521134</v>
      </c>
      <c r="I60" s="44">
        <f t="shared" si="15"/>
        <v>0.3546776174190911</v>
      </c>
      <c r="J60" s="165">
        <f t="shared" si="15"/>
        <v>0.07830882567952435</v>
      </c>
      <c r="K60" s="44">
        <f t="shared" si="15"/>
        <v>0.1284449297554504</v>
      </c>
      <c r="L60" s="44">
        <f t="shared" si="15"/>
        <v>0.12898827258309975</v>
      </c>
      <c r="M60" s="44">
        <f t="shared" si="15"/>
        <v>0.12952777657671444</v>
      </c>
      <c r="N60" s="44">
        <f t="shared" si="15"/>
        <v>0.1300629553052126</v>
      </c>
      <c r="O60" s="44">
        <f t="shared" si="15"/>
        <v>0.130593338573475</v>
      </c>
    </row>
    <row r="61" ht="6" customHeight="1">
      <c r="D61" s="154"/>
      <c r="E61" s="155"/>
      <c r="J61" s="156"/>
    </row>
    <row r="62" ht="24" customHeight="1">
      <c r="B62" s="45" t="s">
        <v>195</v>
      </c>
      <c r="D62" s="160">
        <f t="shared" si="12"/>
        <v>-1040.9084692435003</v>
      </c>
      <c r="E62" s="155"/>
      <c r="F62" s="96">
        <f>'Historical Financials'!D18</f>
        <v>-141.08298690831094</v>
      </c>
      <c r="G62" s="96">
        <f>'Historical Financials'!E18</f>
        <v>-101.54866807961822</v>
      </c>
      <c r="H62" s="96">
        <f>'Historical Financials'!F18</f>
        <v>-85.73282471447733</v>
      </c>
      <c r="I62" s="96">
        <f>'Historical Financials'!G18</f>
        <v>-140.56916428323314</v>
      </c>
      <c r="J62" s="166">
        <f>'Historical Financials'!H18</f>
        <v>-158.4088003400921</v>
      </c>
      <c r="K62" s="96">
        <f>'P&amp;L Drivers'!I41</f>
        <v>-170.49818500000003</v>
      </c>
      <c r="L62" s="96">
        <f>'P&amp;L Drivers'!J41</f>
        <v>-187.54800350000005</v>
      </c>
      <c r="M62" s="96">
        <f>'P&amp;L Drivers'!K41</f>
        <v>-206.30280385000006</v>
      </c>
      <c r="N62" s="96">
        <f>'P&amp;L Drivers'!L41</f>
        <v>-226.93308423500008</v>
      </c>
      <c r="O62" s="96">
        <f>'P&amp;L Drivers'!M41</f>
        <v>-249.62639265850012</v>
      </c>
    </row>
    <row r="63" ht="24" customHeight="1">
      <c r="B63" s="45" t="s">
        <v>196</v>
      </c>
      <c r="D63" s="160">
        <f t="shared" si="12"/>
        <v>-1585.9651674831248</v>
      </c>
      <c r="E63" s="155"/>
      <c r="F63" s="96">
        <f>'Historical Financials'!D19</f>
        <v>-227.01604607011376</v>
      </c>
      <c r="G63" s="96">
        <f>'Historical Financials'!E19</f>
        <v>-184.62581482514247</v>
      </c>
      <c r="H63" s="96">
        <f>'Historical Financials'!F19</f>
        <v>-185.29517528552267</v>
      </c>
      <c r="I63" s="96">
        <f>'Historical Financials'!G19</f>
        <v>-229.7638357167669</v>
      </c>
      <c r="J63" s="166">
        <f>'Historical Financials'!H19</f>
        <v>-219.661199659908</v>
      </c>
      <c r="K63" s="96">
        <f>'P&amp;L Drivers'!I52</f>
        <v>-235.22330000000002</v>
      </c>
      <c r="L63" s="96">
        <f>'P&amp;L Drivers'!J52</f>
        <v>-270.506795</v>
      </c>
      <c r="M63" s="96">
        <f>'P&amp;L Drivers'!K52</f>
        <v>-311.08281424999996</v>
      </c>
      <c r="N63" s="96">
        <f>'P&amp;L Drivers'!L52</f>
        <v>-357.7452363874999</v>
      </c>
      <c r="O63" s="96">
        <f>'P&amp;L Drivers'!M52</f>
        <v>-411.40702184562485</v>
      </c>
    </row>
    <row r="64" ht="24" customHeight="1">
      <c r="B64" s="38" t="s">
        <v>15</v>
      </c>
      <c r="C64" s="39"/>
      <c r="D64" s="162">
        <f t="shared" si="12"/>
        <v>1414.470419775875</v>
      </c>
      <c r="E64" s="163">
        <f t="shared" si="13"/>
        <v>0.12979292740157614</v>
      </c>
      <c r="F64" s="40">
        <f t="shared" si="16" ref="F64:O64">SUM(F59,F62:F63)</f>
        <v>166.8429670215753</v>
      </c>
      <c r="G64" s="40">
        <f t="shared" si="16"/>
        <v>70.67351709523928</v>
      </c>
      <c r="H64" s="40">
        <f t="shared" si="16"/>
        <v>107.63699999999997</v>
      </c>
      <c r="I64" s="40">
        <f t="shared" si="16"/>
        <v>142.63600000000002</v>
      </c>
      <c r="J64" s="167">
        <f t="shared" si="16"/>
        <v>175.0689999999999</v>
      </c>
      <c r="K64" s="40">
        <f t="shared" si="16"/>
        <v>218.46541499999998</v>
      </c>
      <c r="L64" s="40">
        <f t="shared" si="16"/>
        <v>246.64489149999997</v>
      </c>
      <c r="M64" s="40">
        <f t="shared" si="16"/>
        <v>278.59225589999994</v>
      </c>
      <c r="N64" s="40">
        <f t="shared" si="16"/>
        <v>314.8267880275001</v>
      </c>
      <c r="O64" s="40">
        <f t="shared" si="16"/>
        <v>355.94106934837487</v>
      </c>
    </row>
    <row r="65" ht="24" customHeight="1">
      <c r="B65" s="43" t="s">
        <v>16</v>
      </c>
      <c r="D65" s="168">
        <f t="shared" si="19" ref="D65:D83">D64/D$59</f>
        <v>0.35</v>
      </c>
      <c r="E65" s="169"/>
      <c r="F65" s="44">
        <f t="shared" si="17" ref="F65:O65">F64/F59</f>
        <v>0.3118898254793516</v>
      </c>
      <c r="G65" s="44">
        <f t="shared" si="17"/>
        <v>0.19804935741615276</v>
      </c>
      <c r="H65" s="44">
        <f t="shared" si="17"/>
        <v>0.28425389196255263</v>
      </c>
      <c r="I65" s="44">
        <f t="shared" si="17"/>
        <v>0.2780596878173925</v>
      </c>
      <c r="J65" s="165">
        <f t="shared" si="17"/>
        <v>0.3165009156830379</v>
      </c>
      <c r="K65" s="44">
        <f t="shared" si="17"/>
        <v>0.3499999999999999</v>
      </c>
      <c r="L65" s="44">
        <f t="shared" si="17"/>
        <v>0.3499999999999999</v>
      </c>
      <c r="M65" s="44">
        <f t="shared" si="17"/>
        <v>0.35</v>
      </c>
      <c r="N65" s="44">
        <f t="shared" si="17"/>
        <v>0.3500000000000001</v>
      </c>
      <c r="O65" s="44">
        <f t="shared" si="17"/>
        <v>0.3499999999999999</v>
      </c>
    </row>
    <row r="66" ht="6" customHeight="1">
      <c r="B66" s="43"/>
      <c r="D66" s="154"/>
      <c r="E66" s="169"/>
      <c r="J66" s="156"/>
    </row>
    <row r="67" ht="24" customHeight="1">
      <c r="B67" s="45" t="s">
        <v>197</v>
      </c>
      <c r="D67" s="160">
        <f t="shared" si="12"/>
        <v>-404.13440565025</v>
      </c>
      <c r="E67" s="169"/>
      <c r="F67" s="96">
        <f>'Historical Financials'!D23</f>
        <v>-49.069</v>
      </c>
      <c r="G67" s="96">
        <f>'Historical Financials'!E23</f>
        <v>-43.735</v>
      </c>
      <c r="H67" s="96">
        <f>'Historical Financials'!F23</f>
        <v>-47.117</v>
      </c>
      <c r="I67" s="96">
        <f>'Historical Financials'!G23</f>
        <v>-49.146</v>
      </c>
      <c r="J67" s="166">
        <f>'Historical Financials'!H23</f>
        <v>-44.828</v>
      </c>
      <c r="K67" s="96">
        <f>'P&amp;L Drivers'!I63</f>
        <v>-62.418690000000005</v>
      </c>
      <c r="L67" s="96">
        <f>'P&amp;L Drivers'!J63</f>
        <v>-70.469969</v>
      </c>
      <c r="M67" s="96">
        <f>'P&amp;L Drivers'!K63</f>
        <v>-79.5977874</v>
      </c>
      <c r="N67" s="96">
        <f>'P&amp;L Drivers'!L63</f>
        <v>-89.95051086500001</v>
      </c>
      <c r="O67" s="96">
        <f>'P&amp;L Drivers'!M63</f>
        <v>-101.69744838524998</v>
      </c>
    </row>
    <row r="68" ht="24" customHeight="1">
      <c r="B68" s="45" t="s">
        <v>198</v>
      </c>
      <c r="D68" s="160">
        <f t="shared" si="12"/>
        <v>-80.82688113005</v>
      </c>
      <c r="E68" s="169"/>
      <c r="F68" s="96">
        <f>'Historical Financials'!D24</f>
        <v>-11.049</v>
      </c>
      <c r="G68" s="96">
        <f>'Historical Financials'!E24</f>
        <v>-7.431</v>
      </c>
      <c r="H68" s="96">
        <f>'Historical Financials'!F24</f>
        <v>-9.075</v>
      </c>
      <c r="I68" s="96">
        <f>'Historical Financials'!G24</f>
        <v>-12.512</v>
      </c>
      <c r="J68" s="166">
        <f>'Historical Financials'!H24</f>
        <v>-10.457</v>
      </c>
      <c r="K68" s="96">
        <f>'P&amp;L Drivers'!I74</f>
        <v>-12.483738</v>
      </c>
      <c r="L68" s="96">
        <f>'P&amp;L Drivers'!J74</f>
        <v>-14.093993800000002</v>
      </c>
      <c r="M68" s="96">
        <f>'P&amp;L Drivers'!K74</f>
        <v>-15.919557479999998</v>
      </c>
      <c r="N68" s="96">
        <f>'P&amp;L Drivers'!L74</f>
        <v>-17.990102173</v>
      </c>
      <c r="O68" s="96">
        <f>'P&amp;L Drivers'!M74</f>
        <v>-20.339489677049997</v>
      </c>
    </row>
    <row r="69" ht="24" customHeight="1">
      <c r="B69" s="47" t="s">
        <v>19</v>
      </c>
      <c r="C69" s="48"/>
      <c r="D69" s="162">
        <f t="shared" si="12"/>
        <v>929.5091329955748</v>
      </c>
      <c r="E69" s="163">
        <f t="shared" si="13"/>
        <v>0.1297929274015762</v>
      </c>
      <c r="F69" s="49">
        <f t="shared" si="18" ref="F69:O69">F64+SUM(F67:F68)</f>
        <v>106.72496702157531</v>
      </c>
      <c r="G69" s="49">
        <f t="shared" si="18"/>
        <v>19.50751709523928</v>
      </c>
      <c r="H69" s="49">
        <f t="shared" si="18"/>
        <v>51.44499999999998</v>
      </c>
      <c r="I69" s="49">
        <f t="shared" si="18"/>
        <v>80.97800000000002</v>
      </c>
      <c r="J69" s="170">
        <f t="shared" si="18"/>
        <v>119.7839999999999</v>
      </c>
      <c r="K69" s="49">
        <f t="shared" si="18"/>
        <v>143.56298699999996</v>
      </c>
      <c r="L69" s="49">
        <f t="shared" si="18"/>
        <v>162.08092869999996</v>
      </c>
      <c r="M69" s="49">
        <f t="shared" si="18"/>
        <v>183.07491101999994</v>
      </c>
      <c r="N69" s="49">
        <f t="shared" si="18"/>
        <v>206.88617498950006</v>
      </c>
      <c r="O69" s="49">
        <f t="shared" si="18"/>
        <v>233.9041312860749</v>
      </c>
    </row>
    <row r="70" ht="24" customHeight="1">
      <c r="B70" s="43" t="s">
        <v>20</v>
      </c>
      <c r="D70" s="168">
        <f t="shared" si="19"/>
        <v>0.22999999999999995</v>
      </c>
      <c r="E70" s="155"/>
      <c r="F70" s="44">
        <f t="shared" si="20" ref="F70:O70">F69/F59</f>
        <v>0.19950754852222355</v>
      </c>
      <c r="G70" s="44">
        <f t="shared" si="20"/>
        <v>0.054666180265096856</v>
      </c>
      <c r="H70" s="44">
        <f t="shared" si="20"/>
        <v>0.13585887261827734</v>
      </c>
      <c r="I70" s="44">
        <f t="shared" si="20"/>
        <v>0.15786139123416817</v>
      </c>
      <c r="J70" s="165">
        <f t="shared" si="20"/>
        <v>0.21655316294819188</v>
      </c>
      <c r="K70" s="44">
        <f t="shared" si="20"/>
        <v>0.22999999999999993</v>
      </c>
      <c r="L70" s="44">
        <f t="shared" si="20"/>
        <v>0.22999999999999993</v>
      </c>
      <c r="M70" s="44">
        <f t="shared" si="20"/>
        <v>0.22999999999999995</v>
      </c>
      <c r="N70" s="44">
        <f t="shared" si="20"/>
        <v>0.23000000000000007</v>
      </c>
      <c r="O70" s="44">
        <f t="shared" si="20"/>
        <v>0.22999999999999993</v>
      </c>
    </row>
    <row r="71" ht="6" customHeight="1">
      <c r="B71" s="43"/>
      <c r="D71" s="154"/>
      <c r="E71" s="155"/>
      <c r="J71" s="156"/>
    </row>
    <row r="72" ht="24" customHeight="1">
      <c r="B72" s="45" t="s">
        <v>199</v>
      </c>
      <c r="D72" s="160">
        <f t="shared" si="12"/>
        <v>-438.6023202203999</v>
      </c>
      <c r="E72" s="155"/>
      <c r="F72" s="96">
        <f>'Historical Financials'!D28</f>
        <v>-31.877967021575273</v>
      </c>
      <c r="G72" s="96">
        <f>'Historical Financials'!E28</f>
        <v>-33.93651709523933</v>
      </c>
      <c r="H72" s="96">
        <f>'Historical Financials'!F28</f>
        <v>-36.128</v>
      </c>
      <c r="I72" s="96">
        <f>'Historical Financials'!G28</f>
        <v>-38.461</v>
      </c>
      <c r="J72" s="166">
        <f>'Historical Financials'!H28</f>
        <v>-42.989</v>
      </c>
      <c r="K72" s="96">
        <f>'P&amp;L Drivers'!I85</f>
        <v>-56.176821000000004</v>
      </c>
      <c r="L72" s="96">
        <f>'P&amp;L Drivers'!J85</f>
        <v>-71.87936838</v>
      </c>
      <c r="M72" s="96">
        <f>'P&amp;L Drivers'!K85</f>
        <v>-85.96561039199999</v>
      </c>
      <c r="N72" s="96">
        <f>'P&amp;L Drivers'!L85</f>
        <v>-102.54358238609998</v>
      </c>
      <c r="O72" s="96">
        <f>'P&amp;L Drivers'!M85</f>
        <v>-122.03693806229997</v>
      </c>
    </row>
    <row r="73" ht="24" customHeight="1">
      <c r="B73" s="45" t="s">
        <v>200</v>
      </c>
      <c r="D73" s="160">
        <f t="shared" si="12"/>
        <v>-9.194849999999978</v>
      </c>
      <c r="E73" s="155"/>
      <c r="F73" s="37">
        <v>0</v>
      </c>
      <c r="G73" s="37">
        <v>0</v>
      </c>
      <c r="H73" s="37">
        <v>0</v>
      </c>
      <c r="I73" s="37">
        <v>0</v>
      </c>
      <c r="J73" s="171">
        <v>0</v>
      </c>
      <c r="K73" s="97">
        <f t="shared" si="21" ref="K73:O73">$O$25</f>
        <v>-1.8389699999999956</v>
      </c>
      <c r="L73" s="97">
        <f t="shared" si="21"/>
        <v>-1.8389699999999956</v>
      </c>
      <c r="M73" s="97">
        <f t="shared" si="21"/>
        <v>-1.8389699999999956</v>
      </c>
      <c r="N73" s="97">
        <f t="shared" si="21"/>
        <v>-1.8389699999999956</v>
      </c>
      <c r="O73" s="97">
        <f t="shared" si="21"/>
        <v>-1.8389699999999956</v>
      </c>
    </row>
    <row r="74" ht="24" customHeight="1">
      <c r="B74" s="45" t="s">
        <v>201</v>
      </c>
      <c r="D74" s="160">
        <f t="shared" si="12"/>
        <v>-4.491899999999997</v>
      </c>
      <c r="E74" s="155"/>
      <c r="F74" s="37">
        <v>0</v>
      </c>
      <c r="G74" s="37">
        <v>0</v>
      </c>
      <c r="H74" s="37">
        <v>0</v>
      </c>
      <c r="I74" s="37">
        <v>0</v>
      </c>
      <c r="J74" s="171">
        <v>0</v>
      </c>
      <c r="K74" s="97">
        <f t="shared" si="22" ref="K74:O74">-K254</f>
        <v>-0.8983799999999993</v>
      </c>
      <c r="L74" s="97">
        <f t="shared" si="22"/>
        <v>-0.8983799999999993</v>
      </c>
      <c r="M74" s="97">
        <f t="shared" si="22"/>
        <v>-0.8983799999999993</v>
      </c>
      <c r="N74" s="97">
        <f t="shared" si="22"/>
        <v>-0.8983799999999993</v>
      </c>
      <c r="O74" s="97">
        <f t="shared" si="22"/>
        <v>-0.8983799999999993</v>
      </c>
    </row>
    <row r="75" ht="24" customHeight="1">
      <c r="B75" s="45" t="s">
        <v>202</v>
      </c>
      <c r="D75" s="160">
        <f t="shared" si="12"/>
        <v>-2.2459500000000006</v>
      </c>
      <c r="E75" s="155"/>
      <c r="F75" s="37">
        <v>0</v>
      </c>
      <c r="G75" s="37">
        <v>0</v>
      </c>
      <c r="H75" s="37">
        <v>0</v>
      </c>
      <c r="I75" s="37">
        <v>0</v>
      </c>
      <c r="J75" s="172">
        <v>0</v>
      </c>
      <c r="K75" s="97">
        <f t="shared" si="23" ref="K75:O75">-K265</f>
        <v>-0.4491900000000001</v>
      </c>
      <c r="L75" s="97">
        <f t="shared" si="23"/>
        <v>-0.4491900000000001</v>
      </c>
      <c r="M75" s="97">
        <f t="shared" si="23"/>
        <v>-0.4491900000000001</v>
      </c>
      <c r="N75" s="97">
        <f t="shared" si="23"/>
        <v>-0.4491900000000001</v>
      </c>
      <c r="O75" s="97">
        <f t="shared" si="23"/>
        <v>-0.4491900000000001</v>
      </c>
    </row>
    <row r="76" ht="24" customHeight="1">
      <c r="B76" s="38" t="s">
        <v>22</v>
      </c>
      <c r="C76" s="39"/>
      <c r="D76" s="162">
        <f t="shared" si="12"/>
        <v>474.97411277517494</v>
      </c>
      <c r="E76" s="163">
        <f t="shared" si="13"/>
        <v>0.06588541453186253</v>
      </c>
      <c r="F76" s="40">
        <f t="shared" si="24" ref="F76:O76">SUM(F69,F72:F75)</f>
        <v>74.84700000000004</v>
      </c>
      <c r="G76" s="40">
        <f t="shared" si="24"/>
        <v>-14.429000000000052</v>
      </c>
      <c r="H76" s="40">
        <f t="shared" si="24"/>
        <v>15.316999999999979</v>
      </c>
      <c r="I76" s="40">
        <f t="shared" si="24"/>
        <v>42.517000000000024</v>
      </c>
      <c r="J76" s="167">
        <f t="shared" si="24"/>
        <v>76.7949999999999</v>
      </c>
      <c r="K76" s="40">
        <f t="shared" si="24"/>
        <v>84.19962599999997</v>
      </c>
      <c r="L76" s="40">
        <f t="shared" si="24"/>
        <v>87.01502031999996</v>
      </c>
      <c r="M76" s="40">
        <f t="shared" si="24"/>
        <v>93.92276062799996</v>
      </c>
      <c r="N76" s="40">
        <f t="shared" si="24"/>
        <v>101.15605260340008</v>
      </c>
      <c r="O76" s="40">
        <f t="shared" si="24"/>
        <v>108.68065322377493</v>
      </c>
    </row>
    <row r="77" ht="24" customHeight="1">
      <c r="B77" s="43" t="s">
        <v>23</v>
      </c>
      <c r="D77" s="168">
        <f>D97/D$59</f>
        <v>0.18651439356014374</v>
      </c>
      <c r="E77" s="155"/>
      <c r="F77" s="44">
        <f t="shared" si="25" ref="F77:O77">F76/F59</f>
        <v>0.13991610305416294</v>
      </c>
      <c r="G77" s="44">
        <f t="shared" si="25"/>
        <v>-0.040434582791552855</v>
      </c>
      <c r="H77" s="44">
        <f t="shared" si="25"/>
        <v>0.04045000198064247</v>
      </c>
      <c r="I77" s="44">
        <f t="shared" si="25"/>
        <v>0.08288415089410865</v>
      </c>
      <c r="J77" s="165">
        <f t="shared" si="25"/>
        <v>0.1388349040657048</v>
      </c>
      <c r="K77" s="44">
        <f t="shared" si="25"/>
        <v>0.1348948944618991</v>
      </c>
      <c r="L77" s="44">
        <f t="shared" si="25"/>
        <v>0.12347815893036644</v>
      </c>
      <c r="M77" s="44">
        <f t="shared" si="25"/>
        <v>0.117996697767506</v>
      </c>
      <c r="N77" s="44">
        <f t="shared" si="25"/>
        <v>0.11245745202627881</v>
      </c>
      <c r="O77" s="44">
        <f t="shared" si="25"/>
        <v>0.10686664704906969</v>
      </c>
    </row>
    <row r="78" ht="6" customHeight="1">
      <c r="B78" s="43"/>
      <c r="D78" s="154"/>
      <c r="E78" s="155"/>
      <c r="J78" s="156"/>
    </row>
    <row r="79" ht="24" customHeight="1">
      <c r="B79" s="45" t="s">
        <v>24</v>
      </c>
      <c r="D79" s="160">
        <f t="shared" si="12"/>
        <v>-91.96185626118108</v>
      </c>
      <c r="E79" s="155"/>
      <c r="F79" s="96">
        <f>'Historical Financials'!D32</f>
        <v>-2.5</v>
      </c>
      <c r="G79" s="96">
        <f>'Historical Financials'!E32</f>
        <v>-2.9</v>
      </c>
      <c r="H79" s="96">
        <f>'Historical Financials'!F32</f>
        <v>-3.3</v>
      </c>
      <c r="I79" s="96">
        <f>'Historical Financials'!G32</f>
        <v>-3.6999999999999997</v>
      </c>
      <c r="J79" s="166">
        <f>'Historical Financials'!H32</f>
        <v>-4.1</v>
      </c>
      <c r="K79" s="97">
        <f t="shared" si="26" ref="K79:O79">IF($J$12=1,0,K207)</f>
        <v>-22.524532214098897</v>
      </c>
      <c r="L79" s="97">
        <f t="shared" si="26"/>
        <v>-19.72978530416401</v>
      </c>
      <c r="M79" s="97">
        <f t="shared" si="26"/>
        <v>-18.37360423326437</v>
      </c>
      <c r="N79" s="97">
        <f t="shared" si="26"/>
        <v>-16.75229724347133</v>
      </c>
      <c r="O79" s="97">
        <f t="shared" si="26"/>
        <v>-14.581637266182462</v>
      </c>
    </row>
    <row r="80" ht="24" customHeight="1">
      <c r="B80" s="38" t="s">
        <v>25</v>
      </c>
      <c r="C80" s="39"/>
      <c r="D80" s="162">
        <f t="shared" si="12"/>
        <v>383.01225651399386</v>
      </c>
      <c r="E80" s="173"/>
      <c r="F80" s="40">
        <f t="shared" si="27" ref="F80:O80">SUM(F76,F79)</f>
        <v>72.34700000000004</v>
      </c>
      <c r="G80" s="40">
        <f t="shared" si="27"/>
        <v>-17.32900000000005</v>
      </c>
      <c r="H80" s="40">
        <f t="shared" si="27"/>
        <v>12.016999999999978</v>
      </c>
      <c r="I80" s="40">
        <f t="shared" si="27"/>
        <v>38.81700000000002</v>
      </c>
      <c r="J80" s="167">
        <f t="shared" si="27"/>
        <v>72.69499999999991</v>
      </c>
      <c r="K80" s="40">
        <f t="shared" si="27"/>
        <v>61.67509378590107</v>
      </c>
      <c r="L80" s="40">
        <f t="shared" si="27"/>
        <v>67.28523501583595</v>
      </c>
      <c r="M80" s="40">
        <f t="shared" si="27"/>
        <v>75.54915639473559</v>
      </c>
      <c r="N80" s="40">
        <f t="shared" si="27"/>
        <v>84.40375535992875</v>
      </c>
      <c r="O80" s="40">
        <f t="shared" si="27"/>
        <v>94.09901595759246</v>
      </c>
    </row>
    <row r="81" ht="24" customHeight="1">
      <c r="B81" s="45" t="s">
        <v>26</v>
      </c>
      <c r="D81" s="160">
        <f t="shared" si="12"/>
        <v>-80.43257386793869</v>
      </c>
      <c r="E81" s="155"/>
      <c r="F81" s="96">
        <f>'Historical Financials'!D34</f>
        <v>-20.849</v>
      </c>
      <c r="G81" s="96">
        <f>'Historical Financials'!E34</f>
        <v>12.34</v>
      </c>
      <c r="H81" s="96">
        <f>'Historical Financials'!F34</f>
        <v>-6.777</v>
      </c>
      <c r="I81" s="96">
        <f>'Historical Financials'!G34</f>
        <v>-14.276</v>
      </c>
      <c r="J81" s="166">
        <f>'Historical Financials'!H34</f>
        <v>-24.781</v>
      </c>
      <c r="K81" s="97">
        <f t="shared" si="28" ref="K81:O81">-PRODUCT(K$80,$E$10)</f>
        <v>-12.951769695039223</v>
      </c>
      <c r="L81" s="97">
        <f t="shared" si="28"/>
        <v>-14.12989935332555</v>
      </c>
      <c r="M81" s="97">
        <f t="shared" si="28"/>
        <v>-15.865322842894473</v>
      </c>
      <c r="N81" s="97">
        <f t="shared" si="28"/>
        <v>-17.724788625585038</v>
      </c>
      <c r="O81" s="97">
        <f t="shared" si="28"/>
        <v>-19.760793351094414</v>
      </c>
    </row>
    <row r="82" ht="24" customHeight="1">
      <c r="B82" s="38" t="s">
        <v>27</v>
      </c>
      <c r="C82" s="39"/>
      <c r="D82" s="162">
        <f t="shared" si="12"/>
        <v>302.5796826460551</v>
      </c>
      <c r="E82" s="163">
        <f t="shared" si="13"/>
        <v>0.11139596523893655</v>
      </c>
      <c r="F82" s="40">
        <f t="shared" si="14"/>
        <v>51.49800000000003</v>
      </c>
      <c r="G82" s="40">
        <f t="shared" si="14"/>
        <v>-4.9890000000000505</v>
      </c>
      <c r="H82" s="40">
        <f t="shared" si="14"/>
        <v>5.239999999999978</v>
      </c>
      <c r="I82" s="40">
        <f t="shared" si="14"/>
        <v>24.54100000000002</v>
      </c>
      <c r="J82" s="167">
        <f t="shared" si="14"/>
        <v>47.91399999999991</v>
      </c>
      <c r="K82" s="40">
        <f t="shared" si="14"/>
        <v>48.723324090861844</v>
      </c>
      <c r="L82" s="40">
        <f t="shared" si="14"/>
        <v>53.1553356625104</v>
      </c>
      <c r="M82" s="40">
        <f t="shared" si="14"/>
        <v>59.68383355184112</v>
      </c>
      <c r="N82" s="40">
        <f t="shared" si="14"/>
        <v>66.67896673434372</v>
      </c>
      <c r="O82" s="40">
        <f t="shared" si="14"/>
        <v>74.33822260649805</v>
      </c>
    </row>
    <row r="83" ht="24" customHeight="1">
      <c r="B83" s="43" t="s">
        <v>28</v>
      </c>
      <c r="D83" s="174">
        <f t="shared" si="19"/>
        <v>0.07487105240624245</v>
      </c>
      <c r="E83" s="175"/>
      <c r="F83" s="44">
        <f t="shared" si="29" ref="F83:O83">F82/F59</f>
        <v>0.096268380497325</v>
      </c>
      <c r="G83" s="44">
        <f t="shared" si="29"/>
        <v>-0.013980742501008976</v>
      </c>
      <c r="H83" s="44">
        <f t="shared" si="29"/>
        <v>0.01383808907609623</v>
      </c>
      <c r="I83" s="44">
        <f t="shared" si="29"/>
        <v>0.04784109761018701</v>
      </c>
      <c r="J83" s="165">
        <f t="shared" si="29"/>
        <v>0.08662198832481512</v>
      </c>
      <c r="K83" s="44">
        <f t="shared" si="29"/>
        <v>0.07805887001291094</v>
      </c>
      <c r="L83" s="44">
        <f t="shared" si="29"/>
        <v>0.07542977017984838</v>
      </c>
      <c r="M83" s="44">
        <f t="shared" si="29"/>
        <v>0.07498177462133969</v>
      </c>
      <c r="N83" s="44">
        <f t="shared" si="29"/>
        <v>0.07412850254337876</v>
      </c>
      <c r="O83" s="44">
        <f t="shared" si="29"/>
        <v>0.07309743143691295</v>
      </c>
    </row>
    <row r="85" ht="24" customHeight="1">
      <c r="A85" s="25" t="s">
        <v>5</v>
      </c>
      <c r="B85" s="28" t="s">
        <v>60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5" t="s">
        <v>5</v>
      </c>
    </row>
    <row r="86" ht="6" customHeight="1"/>
    <row r="87" ht="24" customHeight="1">
      <c r="F87" s="145" t="s">
        <v>191</v>
      </c>
      <c r="G87" s="145"/>
      <c r="H87" s="145"/>
      <c r="I87" s="145"/>
      <c r="J87" s="146"/>
      <c r="K87" s="147" t="s">
        <v>192</v>
      </c>
      <c r="L87" s="145"/>
      <c r="M87" s="145"/>
      <c r="N87" s="145"/>
      <c r="O87" s="145"/>
    </row>
    <row r="88" ht="24" customHeight="1">
      <c r="D88" s="148" t="str">
        <f t="shared" si="30"/>
        <v>'19E - '23E Total</v>
      </c>
      <c r="E88" s="149" t="str">
        <f t="shared" si="31"/>
        <v>'19E - '23E CAGR</v>
      </c>
      <c r="F88" s="29">
        <v>42004</v>
      </c>
      <c r="G88" s="29">
        <f t="shared" si="10"/>
        <v>42369</v>
      </c>
      <c r="H88" s="29">
        <f t="shared" si="10"/>
        <v>42735</v>
      </c>
      <c r="I88" s="29">
        <f t="shared" si="10"/>
        <v>43100</v>
      </c>
      <c r="J88" s="150">
        <f t="shared" si="10"/>
        <v>43465</v>
      </c>
      <c r="K88" s="29">
        <f t="shared" si="10"/>
        <v>43830</v>
      </c>
      <c r="L88" s="29">
        <f t="shared" si="10"/>
        <v>44196</v>
      </c>
      <c r="M88" s="29">
        <f t="shared" si="10"/>
        <v>44561</v>
      </c>
      <c r="N88" s="29">
        <f t="shared" si="10"/>
        <v>44926</v>
      </c>
      <c r="O88" s="29">
        <f t="shared" si="10"/>
        <v>45291</v>
      </c>
      <c r="P88" s="29"/>
    </row>
    <row r="89" ht="24" customHeight="1">
      <c r="B89" s="31"/>
      <c r="C89" s="31"/>
      <c r="D89" s="151"/>
      <c r="E89" s="152"/>
      <c r="F89" s="32">
        <f t="shared" si="11"/>
        <v>2014</v>
      </c>
      <c r="G89" s="32">
        <f t="shared" si="11"/>
        <v>2015</v>
      </c>
      <c r="H89" s="32">
        <f t="shared" si="11"/>
        <v>2016</v>
      </c>
      <c r="I89" s="32">
        <f t="shared" si="11"/>
        <v>2017</v>
      </c>
      <c r="J89" s="153">
        <f t="shared" si="11"/>
        <v>2018</v>
      </c>
      <c r="K89" s="78">
        <f t="shared" si="11"/>
        <v>2019</v>
      </c>
      <c r="L89" s="78">
        <f t="shared" si="11"/>
        <v>2020</v>
      </c>
      <c r="M89" s="78">
        <f t="shared" si="11"/>
        <v>2021</v>
      </c>
      <c r="N89" s="78">
        <f t="shared" si="11"/>
        <v>2022</v>
      </c>
      <c r="O89" s="78">
        <f t="shared" si="11"/>
        <v>2023</v>
      </c>
      <c r="P89" s="27"/>
    </row>
    <row r="90" ht="6" customHeight="1">
      <c r="D90" s="154"/>
      <c r="E90" s="155"/>
      <c r="J90" s="176"/>
    </row>
    <row r="91" ht="24" customHeight="1">
      <c r="B91" s="34" t="s">
        <v>27</v>
      </c>
      <c r="D91" s="157">
        <f t="shared" si="12"/>
        <v>302.5796826460551</v>
      </c>
      <c r="E91" s="155"/>
      <c r="F91" s="51">
        <f t="shared" si="32" ref="F91:O91">F82</f>
        <v>51.49800000000003</v>
      </c>
      <c r="G91" s="51">
        <f t="shared" si="32"/>
        <v>-4.9890000000000505</v>
      </c>
      <c r="H91" s="51">
        <f t="shared" si="32"/>
        <v>5.239999999999978</v>
      </c>
      <c r="I91" s="51">
        <f t="shared" si="32"/>
        <v>24.54100000000002</v>
      </c>
      <c r="J91" s="177">
        <f t="shared" si="32"/>
        <v>47.91399999999991</v>
      </c>
      <c r="K91" s="51">
        <f t="shared" si="32"/>
        <v>48.723324090861844</v>
      </c>
      <c r="L91" s="51">
        <f t="shared" si="32"/>
        <v>53.1553356625104</v>
      </c>
      <c r="M91" s="51">
        <f t="shared" si="32"/>
        <v>59.68383355184112</v>
      </c>
      <c r="N91" s="51">
        <f t="shared" si="32"/>
        <v>66.67896673434372</v>
      </c>
      <c r="O91" s="51">
        <f t="shared" si="32"/>
        <v>74.33822260649805</v>
      </c>
    </row>
    <row r="92" ht="24" customHeight="1">
      <c r="B92" s="34" t="s">
        <v>203</v>
      </c>
      <c r="D92" s="160">
        <f t="shared" si="12"/>
        <v>438.6023202203999</v>
      </c>
      <c r="E92" s="155"/>
      <c r="F92" s="58">
        <f t="shared" si="33" ref="F92:O95">-F72</f>
        <v>31.877967021575273</v>
      </c>
      <c r="G92" s="58">
        <f t="shared" si="33"/>
        <v>33.93651709523933</v>
      </c>
      <c r="H92" s="58">
        <f t="shared" si="33"/>
        <v>36.128</v>
      </c>
      <c r="I92" s="58">
        <f t="shared" si="33"/>
        <v>38.461</v>
      </c>
      <c r="J92" s="178">
        <f t="shared" si="33"/>
        <v>42.989</v>
      </c>
      <c r="K92" s="58">
        <f t="shared" si="33"/>
        <v>56.176821000000004</v>
      </c>
      <c r="L92" s="58">
        <f t="shared" si="33"/>
        <v>71.87936838</v>
      </c>
      <c r="M92" s="58">
        <f t="shared" si="33"/>
        <v>85.96561039199999</v>
      </c>
      <c r="N92" s="58">
        <f t="shared" si="33"/>
        <v>102.54358238609998</v>
      </c>
      <c r="O92" s="58">
        <f t="shared" si="33"/>
        <v>122.03693806229997</v>
      </c>
    </row>
    <row r="93" ht="24" customHeight="1">
      <c r="B93" s="34" t="s">
        <v>204</v>
      </c>
      <c r="D93" s="160">
        <f t="shared" si="12"/>
        <v>9.194849999999978</v>
      </c>
      <c r="E93" s="155"/>
      <c r="F93" s="37">
        <v>0</v>
      </c>
      <c r="G93" s="37">
        <v>0</v>
      </c>
      <c r="H93" s="37">
        <v>0</v>
      </c>
      <c r="I93" s="37">
        <v>0</v>
      </c>
      <c r="J93" s="171">
        <v>0</v>
      </c>
      <c r="K93" s="58">
        <f t="shared" si="33"/>
        <v>1.8389699999999956</v>
      </c>
      <c r="L93" s="58">
        <f t="shared" si="33"/>
        <v>1.8389699999999956</v>
      </c>
      <c r="M93" s="58">
        <f t="shared" si="33"/>
        <v>1.8389699999999956</v>
      </c>
      <c r="N93" s="58">
        <f t="shared" si="33"/>
        <v>1.8389699999999956</v>
      </c>
      <c r="O93" s="58">
        <f t="shared" si="33"/>
        <v>1.8389699999999956</v>
      </c>
    </row>
    <row r="94" ht="24" customHeight="1">
      <c r="B94" s="34" t="s">
        <v>205</v>
      </c>
      <c r="D94" s="160">
        <f t="shared" si="12"/>
        <v>4.491899999999997</v>
      </c>
      <c r="E94" s="155"/>
      <c r="F94" s="37">
        <v>0</v>
      </c>
      <c r="G94" s="37">
        <v>0</v>
      </c>
      <c r="H94" s="37">
        <v>0</v>
      </c>
      <c r="I94" s="37">
        <v>0</v>
      </c>
      <c r="J94" s="171">
        <v>0</v>
      </c>
      <c r="K94" s="58">
        <f t="shared" si="33"/>
        <v>0.8983799999999993</v>
      </c>
      <c r="L94" s="58">
        <f t="shared" si="33"/>
        <v>0.8983799999999993</v>
      </c>
      <c r="M94" s="58">
        <f t="shared" si="33"/>
        <v>0.8983799999999993</v>
      </c>
      <c r="N94" s="58">
        <f t="shared" si="33"/>
        <v>0.8983799999999993</v>
      </c>
      <c r="O94" s="58">
        <f t="shared" si="33"/>
        <v>0.8983799999999993</v>
      </c>
    </row>
    <row r="95" ht="24" customHeight="1">
      <c r="B95" s="34" t="s">
        <v>206</v>
      </c>
      <c r="D95" s="160">
        <f t="shared" si="12"/>
        <v>2.2459500000000006</v>
      </c>
      <c r="E95" s="155"/>
      <c r="F95" s="37">
        <v>0</v>
      </c>
      <c r="G95" s="37">
        <v>0</v>
      </c>
      <c r="H95" s="37">
        <v>0</v>
      </c>
      <c r="I95" s="37">
        <v>0</v>
      </c>
      <c r="J95" s="171">
        <v>0</v>
      </c>
      <c r="K95" s="58">
        <f t="shared" si="33"/>
        <v>0.4491900000000001</v>
      </c>
      <c r="L95" s="58">
        <f t="shared" si="33"/>
        <v>0.4491900000000001</v>
      </c>
      <c r="M95" s="58">
        <f t="shared" si="33"/>
        <v>0.4491900000000001</v>
      </c>
      <c r="N95" s="58">
        <f t="shared" si="33"/>
        <v>0.4491900000000001</v>
      </c>
      <c r="O95" s="58">
        <f t="shared" si="33"/>
        <v>0.4491900000000001</v>
      </c>
    </row>
    <row r="96" ht="24" customHeight="1">
      <c r="B96" s="45" t="s">
        <v>207</v>
      </c>
      <c r="D96" s="160">
        <f t="shared" si="12"/>
        <v>-3.345866999999995</v>
      </c>
      <c r="E96" s="155"/>
      <c r="F96" s="97">
        <f t="shared" si="34" ref="F96:O96">-SUM(F93:F95)*$E$10</f>
        <v>0</v>
      </c>
      <c r="G96" s="97">
        <f t="shared" si="34"/>
        <v>0</v>
      </c>
      <c r="H96" s="97">
        <f t="shared" si="34"/>
        <v>0</v>
      </c>
      <c r="I96" s="97">
        <f t="shared" si="34"/>
        <v>0</v>
      </c>
      <c r="J96" s="179">
        <f t="shared" si="34"/>
        <v>0</v>
      </c>
      <c r="K96" s="97">
        <f t="shared" si="34"/>
        <v>-0.6691733999999989</v>
      </c>
      <c r="L96" s="97">
        <f t="shared" si="34"/>
        <v>-0.6691733999999989</v>
      </c>
      <c r="M96" s="97">
        <f t="shared" si="34"/>
        <v>-0.6691733999999989</v>
      </c>
      <c r="N96" s="97">
        <f t="shared" si="34"/>
        <v>-0.6691733999999989</v>
      </c>
      <c r="O96" s="97">
        <f t="shared" si="34"/>
        <v>-0.6691733999999989</v>
      </c>
    </row>
    <row r="97" ht="24" customHeight="1">
      <c r="B97" s="38" t="s">
        <v>208</v>
      </c>
      <c r="C97" s="39"/>
      <c r="D97" s="162">
        <f t="shared" si="12"/>
        <v>753.768835866455</v>
      </c>
      <c r="E97" s="163">
        <f t="shared" si="36" ref="E97:E99">RATE($O$89-$K$89,0,-$K97,$O97)</f>
        <v>0.16650295854968417</v>
      </c>
      <c r="F97" s="40">
        <f t="shared" si="35" ref="F97:O129">SUM(F91:F96)</f>
        <v>83.3759670215753</v>
      </c>
      <c r="G97" s="40">
        <f t="shared" si="35"/>
        <v>28.94751709523928</v>
      </c>
      <c r="H97" s="40">
        <f t="shared" si="35"/>
        <v>41.36799999999998</v>
      </c>
      <c r="I97" s="40">
        <f t="shared" si="35"/>
        <v>63.002000000000024</v>
      </c>
      <c r="J97" s="167">
        <f t="shared" si="35"/>
        <v>90.9029999999999</v>
      </c>
      <c r="K97" s="40">
        <f t="shared" si="35"/>
        <v>107.41751169086184</v>
      </c>
      <c r="L97" s="40">
        <f t="shared" si="35"/>
        <v>127.55207064251039</v>
      </c>
      <c r="M97" s="40">
        <f t="shared" si="35"/>
        <v>148.16681054384108</v>
      </c>
      <c r="N97" s="40">
        <f t="shared" si="35"/>
        <v>171.7399157204437</v>
      </c>
      <c r="O97" s="40">
        <f t="shared" si="35"/>
        <v>198.89252726879798</v>
      </c>
    </row>
    <row r="98" ht="24" customHeight="1">
      <c r="B98" s="45" t="s">
        <v>209</v>
      </c>
      <c r="D98" s="160">
        <f t="shared" si="12"/>
        <v>-120.79764429636668</v>
      </c>
      <c r="E98" s="155"/>
      <c r="F98" s="96">
        <f>'Capex &amp; NWC Drivers'!D50</f>
        <v>-8.7</v>
      </c>
      <c r="G98" s="96">
        <f>'Capex &amp; NWC Drivers'!E50</f>
        <v>-12.35199999999999</v>
      </c>
      <c r="H98" s="96">
        <f>'Capex &amp; NWC Drivers'!F50</f>
        <v>20.255000000000038</v>
      </c>
      <c r="I98" s="96">
        <f>'Capex &amp; NWC Drivers'!G50</f>
        <v>-55.670000000000044</v>
      </c>
      <c r="J98" s="166">
        <f>'Capex &amp; NWC Drivers'!H50</f>
        <v>-49.90300000000002</v>
      </c>
      <c r="K98" s="96">
        <f>'Capex &amp; NWC Drivers'!I50</f>
        <v>2.2405122851643</v>
      </c>
      <c r="L98" s="96">
        <f>'Capex &amp; NWC Drivers'!J50</f>
        <v>-25.22010794148696</v>
      </c>
      <c r="M98" s="96">
        <f>'Capex &amp; NWC Drivers'!K50</f>
        <v>-28.592297611136217</v>
      </c>
      <c r="N98" s="96">
        <f>'Capex &amp; NWC Drivers'!L50</f>
        <v>-32.42923307907532</v>
      </c>
      <c r="O98" s="96">
        <f>'Capex &amp; NWC Drivers'!M50</f>
        <v>-36.79651794983249</v>
      </c>
    </row>
    <row r="99" ht="24" customHeight="1">
      <c r="B99" s="38" t="s">
        <v>64</v>
      </c>
      <c r="C99" s="39"/>
      <c r="D99" s="162">
        <f t="shared" si="37" ref="D99:D108">SUM(K78:O78)</f>
        <v>0</v>
      </c>
      <c r="E99" s="163">
        <f t="shared" si="36"/>
        <v>0.10263805437107616</v>
      </c>
      <c r="F99" s="40">
        <f t="shared" si="14"/>
        <v>74.6759670215753</v>
      </c>
      <c r="G99" s="40">
        <f t="shared" si="14"/>
        <v>16.59551709523929</v>
      </c>
      <c r="H99" s="40">
        <f t="shared" si="14"/>
        <v>61.62300000000002</v>
      </c>
      <c r="I99" s="40">
        <f t="shared" si="14"/>
        <v>7.331999999999979</v>
      </c>
      <c r="J99" s="167">
        <f t="shared" si="14"/>
        <v>40.999999999999886</v>
      </c>
      <c r="K99" s="40">
        <f t="shared" si="14"/>
        <v>109.65802397602614</v>
      </c>
      <c r="L99" s="40">
        <f t="shared" si="14"/>
        <v>102.33196270102343</v>
      </c>
      <c r="M99" s="40">
        <f t="shared" si="14"/>
        <v>119.57451293270486</v>
      </c>
      <c r="N99" s="40">
        <f t="shared" si="14"/>
        <v>139.31068264136837</v>
      </c>
      <c r="O99" s="40">
        <f t="shared" si="14"/>
        <v>162.09600931896549</v>
      </c>
    </row>
    <row r="100" ht="24" customHeight="1">
      <c r="D100" s="160"/>
      <c r="E100" s="155"/>
      <c r="J100" s="156"/>
    </row>
    <row r="101" ht="24" customHeight="1">
      <c r="B101" s="34" t="s">
        <v>65</v>
      </c>
      <c r="D101" s="160">
        <f t="shared" si="12"/>
        <v>-484.96128678029993</v>
      </c>
      <c r="E101" s="155"/>
      <c r="F101" s="96">
        <f>'Capex &amp; NWC Drivers'!D17</f>
        <v>-52.3732184543066</v>
      </c>
      <c r="G101" s="96">
        <f>'Capex &amp; NWC Drivers'!E17</f>
        <v>-34.9370179551847</v>
      </c>
      <c r="H101" s="96">
        <f>'Capex &amp; NWC Drivers'!F17</f>
        <v>-37.073</v>
      </c>
      <c r="I101" s="96">
        <f>'Capex &amp; NWC Drivers'!G17</f>
        <v>-47.387</v>
      </c>
      <c r="J101" s="166">
        <f>'Capex &amp; NWC Drivers'!H17</f>
        <v>-63.662</v>
      </c>
      <c r="K101" s="96">
        <f>'Capex &amp; NWC Drivers'!I17</f>
        <v>-74.902428</v>
      </c>
      <c r="L101" s="96">
        <f>'Capex &amp; NWC Drivers'!J17</f>
        <v>-84.5639628</v>
      </c>
      <c r="M101" s="96">
        <f>'Capex &amp; NWC Drivers'!K17</f>
        <v>-95.51734487999998</v>
      </c>
      <c r="N101" s="96">
        <f>'Capex &amp; NWC Drivers'!L17</f>
        <v>-107.940613038</v>
      </c>
      <c r="O101" s="96">
        <f>'Capex &amp; NWC Drivers'!M17</f>
        <v>-122.03693806229997</v>
      </c>
    </row>
    <row r="102" ht="24" customHeight="1">
      <c r="B102" s="34" t="s">
        <v>66</v>
      </c>
      <c r="D102" s="160">
        <f t="shared" si="12"/>
        <v>0</v>
      </c>
      <c r="E102" s="155"/>
      <c r="F102" s="96">
        <f>'Historical Financials'!D106</f>
        <v>0</v>
      </c>
      <c r="G102" s="96">
        <f>'Historical Financials'!E106</f>
        <v>19.734500859945413</v>
      </c>
      <c r="H102" s="96">
        <f>'Historical Financials'!F106</f>
        <v>4.722999999999983</v>
      </c>
      <c r="I102" s="96">
        <f>'Historical Financials'!G106</f>
        <v>0</v>
      </c>
      <c r="J102" s="166">
        <f>'Historical Financials'!H106</f>
        <v>27.971000000000114</v>
      </c>
      <c r="K102" s="37">
        <v>0</v>
      </c>
      <c r="L102" s="37">
        <v>0</v>
      </c>
      <c r="M102" s="37">
        <v>0</v>
      </c>
      <c r="N102" s="37">
        <v>0</v>
      </c>
      <c r="O102" s="37">
        <v>0</v>
      </c>
    </row>
    <row r="103" ht="24" customHeight="1">
      <c r="B103" s="38" t="s">
        <v>67</v>
      </c>
      <c r="C103" s="39"/>
      <c r="D103" s="162">
        <f t="shared" si="37"/>
        <v>302.5796826460551</v>
      </c>
      <c r="E103" s="173"/>
      <c r="F103" s="40">
        <f t="shared" si="14"/>
        <v>-52.3732184543066</v>
      </c>
      <c r="G103" s="40">
        <f t="shared" si="14"/>
        <v>-15.202517095239287</v>
      </c>
      <c r="H103" s="40">
        <f t="shared" si="14"/>
        <v>-32.350000000000016</v>
      </c>
      <c r="I103" s="40">
        <f t="shared" si="14"/>
        <v>-47.387</v>
      </c>
      <c r="J103" s="167">
        <f t="shared" si="14"/>
        <v>-35.69099999999989</v>
      </c>
      <c r="K103" s="40">
        <f t="shared" si="14"/>
        <v>-74.902428</v>
      </c>
      <c r="L103" s="40">
        <f t="shared" si="14"/>
        <v>-84.5639628</v>
      </c>
      <c r="M103" s="40">
        <f t="shared" si="14"/>
        <v>-95.51734487999998</v>
      </c>
      <c r="N103" s="40">
        <f t="shared" si="14"/>
        <v>-107.940613038</v>
      </c>
      <c r="O103" s="40">
        <f t="shared" si="14"/>
        <v>-122.03693806229997</v>
      </c>
    </row>
    <row r="104" ht="24" customHeight="1">
      <c r="B104" s="54"/>
      <c r="D104" s="160"/>
      <c r="E104" s="155"/>
      <c r="J104" s="156"/>
    </row>
    <row r="105" ht="24" customHeight="1">
      <c r="B105" s="34" t="s">
        <v>68</v>
      </c>
      <c r="D105" s="160">
        <f t="shared" si="12"/>
        <v>-170.02390478978833</v>
      </c>
      <c r="E105" s="155"/>
      <c r="F105" s="96">
        <f>'Historical Financials'!D109</f>
        <v>6</v>
      </c>
      <c r="G105" s="96">
        <f>'Historical Financials'!E109</f>
        <v>2.5999999999999996</v>
      </c>
      <c r="H105" s="96">
        <f>'Historical Financials'!F109</f>
        <v>-8.6</v>
      </c>
      <c r="I105" s="96">
        <f>'Historical Financials'!G109</f>
        <v>6.625</v>
      </c>
      <c r="J105" s="166">
        <f>'Historical Financials'!H109</f>
        <v>-6.364</v>
      </c>
      <c r="K105" s="58">
        <f t="shared" si="38" ref="K105:O105">K189+K195</f>
        <v>-56.76959597602614</v>
      </c>
      <c r="L105" s="58">
        <f t="shared" si="38"/>
        <v>-17.76799990102343</v>
      </c>
      <c r="M105" s="58">
        <f t="shared" si="38"/>
        <v>-24.05716805270488</v>
      </c>
      <c r="N105" s="58">
        <f t="shared" si="38"/>
        <v>-31.37006960336838</v>
      </c>
      <c r="O105" s="58">
        <f t="shared" si="38"/>
        <v>-40.05907125666552</v>
      </c>
    </row>
    <row r="106" ht="24" customHeight="1">
      <c r="B106" s="34" t="s">
        <v>69</v>
      </c>
      <c r="D106" s="160">
        <f t="shared" si="12"/>
        <v>0</v>
      </c>
      <c r="E106" s="155"/>
      <c r="F106" s="96">
        <f>'Historical Financials'!D110</f>
        <v>0</v>
      </c>
      <c r="G106" s="96">
        <f>'Historical Financials'!E110</f>
        <v>0</v>
      </c>
      <c r="H106" s="96">
        <f>'Historical Financials'!F110</f>
        <v>0</v>
      </c>
      <c r="I106" s="96">
        <f>'Historical Financials'!G110</f>
        <v>0</v>
      </c>
      <c r="J106" s="166">
        <f>'Historical Financials'!H110</f>
        <v>0</v>
      </c>
      <c r="K106" s="37">
        <v>0</v>
      </c>
      <c r="L106" s="37">
        <v>0</v>
      </c>
      <c r="M106" s="37">
        <v>0</v>
      </c>
      <c r="N106" s="37">
        <v>0</v>
      </c>
      <c r="O106" s="37">
        <v>0</v>
      </c>
    </row>
    <row r="107" ht="24" customHeight="1">
      <c r="B107" s="34" t="s">
        <v>70</v>
      </c>
      <c r="D107" s="160">
        <f t="shared" si="12"/>
        <v>0</v>
      </c>
      <c r="E107" s="155"/>
      <c r="F107" s="96">
        <f>'Historical Financials'!D111</f>
        <v>0</v>
      </c>
      <c r="G107" s="96">
        <f>'Historical Financials'!E111</f>
        <v>0</v>
      </c>
      <c r="H107" s="96">
        <f>'Historical Financials'!F111</f>
        <v>0</v>
      </c>
      <c r="I107" s="96">
        <f>'Historical Financials'!G111</f>
        <v>-4.103999999999985</v>
      </c>
      <c r="J107" s="166">
        <f>'Historical Financials'!H111</f>
        <v>0</v>
      </c>
      <c r="K107" s="58">
        <f t="shared" si="39" ref="K107:O107">K170</f>
        <v>0</v>
      </c>
      <c r="L107" s="58">
        <f t="shared" si="39"/>
        <v>0</v>
      </c>
      <c r="M107" s="58">
        <f t="shared" si="39"/>
        <v>0</v>
      </c>
      <c r="N107" s="58">
        <f t="shared" si="39"/>
        <v>0</v>
      </c>
      <c r="O107" s="58">
        <f t="shared" si="39"/>
        <v>0</v>
      </c>
    </row>
    <row r="108" ht="24" customHeight="1">
      <c r="B108" s="38" t="s">
        <v>71</v>
      </c>
      <c r="C108" s="39"/>
      <c r="D108" s="180">
        <f t="shared" si="37"/>
        <v>0</v>
      </c>
      <c r="E108" s="181"/>
      <c r="F108" s="40">
        <f t="shared" si="9"/>
        <v>6</v>
      </c>
      <c r="G108" s="40">
        <f t="shared" si="9"/>
        <v>2.5999999999999996</v>
      </c>
      <c r="H108" s="40">
        <f t="shared" si="9"/>
        <v>-8.6</v>
      </c>
      <c r="I108" s="40">
        <f t="shared" si="9"/>
        <v>2.521000000000015</v>
      </c>
      <c r="J108" s="167">
        <f t="shared" si="9"/>
        <v>-6.364</v>
      </c>
      <c r="K108" s="40">
        <f t="shared" si="9"/>
        <v>-56.76959597602614</v>
      </c>
      <c r="L108" s="40">
        <f t="shared" si="9"/>
        <v>-17.76799990102343</v>
      </c>
      <c r="M108" s="40">
        <f t="shared" si="9"/>
        <v>-24.05716805270488</v>
      </c>
      <c r="N108" s="40">
        <f t="shared" si="9"/>
        <v>-31.37006960336838</v>
      </c>
      <c r="O108" s="40">
        <f t="shared" si="9"/>
        <v>-40.05907125666552</v>
      </c>
    </row>
    <row r="109" ht="24" customHeight="1">
      <c r="B109" s="54"/>
      <c r="J109" s="156"/>
    </row>
    <row r="110" ht="24" customHeight="1">
      <c r="B110" s="182" t="s">
        <v>210</v>
      </c>
      <c r="C110" s="183"/>
      <c r="D110" s="183"/>
      <c r="E110" s="183"/>
      <c r="F110" s="184">
        <f t="shared" si="40" ref="F110:O110">SUM(F99,F103,F108)</f>
        <v>28.3027485672687</v>
      </c>
      <c r="G110" s="184">
        <f t="shared" si="40"/>
        <v>3.993000000000004</v>
      </c>
      <c r="H110" s="184">
        <f t="shared" si="40"/>
        <v>20.673000000000002</v>
      </c>
      <c r="I110" s="184">
        <f t="shared" si="40"/>
        <v>-37.534000000000006</v>
      </c>
      <c r="J110" s="185">
        <f t="shared" si="40"/>
        <v>-1.0550000000000024</v>
      </c>
      <c r="K110" s="184">
        <f t="shared" si="40"/>
        <v>-22.013999999999996</v>
      </c>
      <c r="L110" s="184">
        <f t="shared" si="40"/>
        <v>0</v>
      </c>
      <c r="M110" s="184">
        <f t="shared" si="40"/>
        <v>0</v>
      </c>
      <c r="N110" s="184">
        <f t="shared" si="40"/>
        <v>0</v>
      </c>
      <c r="O110" s="186">
        <f t="shared" si="40"/>
        <v>0</v>
      </c>
    </row>
    <row r="111" ht="24" customHeight="1">
      <c r="B111" s="54"/>
    </row>
    <row r="112" ht="24" customHeight="1">
      <c r="B112" s="59" t="s">
        <v>211</v>
      </c>
      <c r="C112" s="60"/>
      <c r="D112" s="60"/>
      <c r="E112" s="60"/>
      <c r="F112" s="61">
        <f t="shared" si="41" ref="F112:O112">F99+F103</f>
        <v>22.3027485672687</v>
      </c>
      <c r="G112" s="61">
        <f t="shared" si="41"/>
        <v>1.3930000000000042</v>
      </c>
      <c r="H112" s="61">
        <f t="shared" si="41"/>
        <v>29.273000000000003</v>
      </c>
      <c r="I112" s="61">
        <f t="shared" si="41"/>
        <v>-40.05500000000002</v>
      </c>
      <c r="J112" s="187">
        <f t="shared" si="41"/>
        <v>5.3089999999999975</v>
      </c>
      <c r="K112" s="61">
        <f t="shared" si="41"/>
        <v>34.75559597602614</v>
      </c>
      <c r="L112" s="61">
        <f t="shared" si="41"/>
        <v>17.76799990102343</v>
      </c>
      <c r="M112" s="61">
        <f t="shared" si="41"/>
        <v>24.05716805270488</v>
      </c>
      <c r="N112" s="61">
        <f t="shared" si="41"/>
        <v>31.37006960336838</v>
      </c>
      <c r="O112" s="98">
        <f t="shared" si="41"/>
        <v>40.05907125666552</v>
      </c>
    </row>
    <row r="113" ht="24" customHeight="1">
      <c r="B113" s="188" t="s">
        <v>212</v>
      </c>
      <c r="C113" s="64"/>
      <c r="D113" s="64"/>
      <c r="E113" s="64"/>
      <c r="F113" s="189">
        <f t="shared" si="42" ref="F113:O113">F112/F69</f>
        <v>0.2089740497437682</v>
      </c>
      <c r="G113" s="189">
        <f t="shared" si="42"/>
        <v>0.07140837007596212</v>
      </c>
      <c r="H113" s="189">
        <f t="shared" si="42"/>
        <v>0.5690154533968319</v>
      </c>
      <c r="I113" s="189">
        <f t="shared" si="42"/>
        <v>-0.49464051964731176</v>
      </c>
      <c r="J113" s="190">
        <f t="shared" si="42"/>
        <v>0.04432144526814935</v>
      </c>
      <c r="K113" s="189">
        <f t="shared" si="42"/>
        <v>0.2420930122889276</v>
      </c>
      <c r="L113" s="189">
        <f t="shared" si="42"/>
        <v>0.10962424785898597</v>
      </c>
      <c r="M113" s="189">
        <f t="shared" si="42"/>
        <v>0.13140614363088104</v>
      </c>
      <c r="N113" s="189">
        <f t="shared" si="42"/>
        <v>0.1516296079472709</v>
      </c>
      <c r="O113" s="191">
        <f t="shared" si="42"/>
        <v>0.1712627777731362</v>
      </c>
    </row>
    <row r="114" ht="24" customHeight="1">
      <c r="B114" s="54"/>
    </row>
    <row r="115" ht="24" customHeight="1">
      <c r="A115" s="25" t="s">
        <v>5</v>
      </c>
      <c r="B115" s="28" t="s">
        <v>29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5" t="s">
        <v>5</v>
      </c>
    </row>
    <row r="116" ht="6" customHeight="1"/>
    <row r="117" ht="24" customHeight="1">
      <c r="F117" s="27"/>
      <c r="G117" s="145" t="s">
        <v>191</v>
      </c>
      <c r="H117" s="145"/>
      <c r="I117" s="145"/>
      <c r="J117" s="146"/>
      <c r="K117" s="147" t="s">
        <v>192</v>
      </c>
      <c r="L117" s="145"/>
      <c r="M117" s="145"/>
      <c r="N117" s="145"/>
      <c r="O117" s="145"/>
    </row>
    <row r="118" ht="24" customHeight="1">
      <c r="D118" s="30"/>
      <c r="E118" s="30"/>
      <c r="F118" s="29"/>
      <c r="G118" s="192">
        <v>43465</v>
      </c>
      <c r="H118" s="193" t="s">
        <v>213</v>
      </c>
      <c r="I118" s="193"/>
      <c r="J118" s="150">
        <v>43465</v>
      </c>
      <c r="K118" s="29">
        <f t="shared" si="10"/>
        <v>43830</v>
      </c>
      <c r="L118" s="29">
        <f t="shared" si="10"/>
        <v>44196</v>
      </c>
      <c r="M118" s="29">
        <f t="shared" si="10"/>
        <v>44561</v>
      </c>
      <c r="N118" s="29">
        <f t="shared" si="10"/>
        <v>44926</v>
      </c>
      <c r="O118" s="29">
        <f t="shared" si="10"/>
        <v>45291</v>
      </c>
      <c r="P118" s="29"/>
    </row>
    <row r="119" ht="24" customHeight="1">
      <c r="B119" s="31"/>
      <c r="C119" s="31"/>
      <c r="D119" s="32"/>
      <c r="E119" s="194"/>
      <c r="F119" s="195"/>
      <c r="G119" s="32">
        <v>2018</v>
      </c>
      <c r="H119" s="194" t="s">
        <v>214</v>
      </c>
      <c r="I119" s="194" t="s">
        <v>215</v>
      </c>
      <c r="J119" s="196">
        <f t="shared" si="11"/>
        <v>2018</v>
      </c>
      <c r="K119" s="78">
        <f t="shared" si="11"/>
        <v>2019</v>
      </c>
      <c r="L119" s="78">
        <f t="shared" si="11"/>
        <v>2020</v>
      </c>
      <c r="M119" s="78">
        <f t="shared" si="11"/>
        <v>2021</v>
      </c>
      <c r="N119" s="78">
        <f t="shared" si="11"/>
        <v>2022</v>
      </c>
      <c r="O119" s="78">
        <f t="shared" si="11"/>
        <v>2023</v>
      </c>
      <c r="P119" s="27"/>
    </row>
    <row r="120" ht="6" customHeight="1">
      <c r="B120" s="54"/>
      <c r="J120" s="176"/>
    </row>
    <row r="121" ht="24" customHeight="1">
      <c r="B121" s="52" t="s">
        <v>30</v>
      </c>
      <c r="C121" s="52"/>
      <c r="D121" s="52"/>
      <c r="E121" s="52"/>
      <c r="F121" s="52"/>
      <c r="G121" s="52"/>
      <c r="H121" s="52"/>
      <c r="I121" s="52"/>
      <c r="J121" s="197"/>
      <c r="K121" s="52"/>
      <c r="L121" s="52"/>
      <c r="M121" s="52"/>
      <c r="N121" s="52"/>
      <c r="O121" s="52"/>
    </row>
    <row r="122" ht="6" customHeight="1">
      <c r="B122" s="54"/>
      <c r="J122" s="156"/>
    </row>
    <row r="123" ht="24" customHeight="1">
      <c r="B123" s="34" t="s">
        <v>31</v>
      </c>
      <c r="G123" s="79">
        <f>'Historical Financials'!H45</f>
        <v>22.013999999999992</v>
      </c>
      <c r="J123" s="177">
        <f t="shared" si="44" ref="J123:J153">SUM(G123:I123)</f>
        <v>22.013999999999992</v>
      </c>
      <c r="K123" s="51">
        <f t="shared" si="43" ref="K123:O123">J123+K110</f>
        <v>0</v>
      </c>
      <c r="L123" s="51">
        <f t="shared" si="43"/>
        <v>0</v>
      </c>
      <c r="M123" s="51">
        <f t="shared" si="43"/>
        <v>0</v>
      </c>
      <c r="N123" s="51">
        <f t="shared" si="43"/>
        <v>0</v>
      </c>
      <c r="O123" s="51">
        <f t="shared" si="43"/>
        <v>0</v>
      </c>
    </row>
    <row r="124" ht="24" customHeight="1">
      <c r="B124" s="34" t="s">
        <v>32</v>
      </c>
      <c r="G124" s="96">
        <f>'Historical Financials'!H46</f>
        <v>130.769</v>
      </c>
      <c r="J124" s="178">
        <f t="shared" si="44"/>
        <v>130.769</v>
      </c>
      <c r="K124" s="96">
        <f>'Capex &amp; NWC Drivers'!I35</f>
        <v>145.25910061601644</v>
      </c>
      <c r="L124" s="96">
        <f>'Capex &amp; NWC Drivers'!J35</f>
        <v>163.99582108145106</v>
      </c>
      <c r="M124" s="96">
        <f>'Capex &amp; NWC Drivers'!K35</f>
        <v>185.23783515400407</v>
      </c>
      <c r="N124" s="96">
        <f>'Capex &amp; NWC Drivers'!L35</f>
        <v>209.33041542847363</v>
      </c>
      <c r="O124" s="96">
        <f>'Capex &amp; NWC Drivers'!M35</f>
        <v>236.66757324425046</v>
      </c>
    </row>
    <row r="125" ht="24" customHeight="1">
      <c r="B125" s="34" t="s">
        <v>33</v>
      </c>
      <c r="G125" s="96">
        <f>'Historical Financials'!H47</f>
        <v>124.506</v>
      </c>
      <c r="J125" s="178">
        <f t="shared" si="44"/>
        <v>124.506</v>
      </c>
      <c r="K125" s="96">
        <f>'Capex &amp; NWC Drivers'!I36</f>
        <v>111.0804887063655</v>
      </c>
      <c r="L125" s="96">
        <f>'Capex &amp; NWC Drivers'!J36</f>
        <v>125.40856906228612</v>
      </c>
      <c r="M125" s="96">
        <f>'Capex &amp; NWC Drivers'!K36</f>
        <v>141.65246217659137</v>
      </c>
      <c r="N125" s="96">
        <f>'Capex &amp; NWC Drivers'!L36</f>
        <v>160.07620003353867</v>
      </c>
      <c r="O125" s="96">
        <f>'Capex &amp; NWC Drivers'!M36</f>
        <v>180.9810854220739</v>
      </c>
    </row>
    <row r="126" ht="24" customHeight="1">
      <c r="B126" s="34" t="s">
        <v>34</v>
      </c>
      <c r="G126" s="96">
        <f>'Historical Financials'!H48</f>
        <v>4.228</v>
      </c>
      <c r="J126" s="178">
        <f t="shared" si="44"/>
        <v>4.228</v>
      </c>
      <c r="K126" s="96">
        <f>'Capex &amp; NWC Drivers'!I37</f>
        <v>6.241869</v>
      </c>
      <c r="L126" s="96">
        <f>'Capex &amp; NWC Drivers'!J37</f>
        <v>7.046996900000001</v>
      </c>
      <c r="M126" s="96">
        <f>'Capex &amp; NWC Drivers'!K37</f>
        <v>7.959778739999999</v>
      </c>
      <c r="N126" s="96">
        <f>'Capex &amp; NWC Drivers'!L37</f>
        <v>8.9950510865</v>
      </c>
      <c r="O126" s="96">
        <f>'Capex &amp; NWC Drivers'!M37</f>
        <v>10.169744838524998</v>
      </c>
    </row>
    <row r="127" ht="24" customHeight="1">
      <c r="B127" s="34" t="s">
        <v>35</v>
      </c>
      <c r="G127" s="96">
        <f>'Historical Financials'!H49</f>
        <v>4.367</v>
      </c>
      <c r="J127" s="178">
        <f t="shared" si="44"/>
        <v>4.367</v>
      </c>
      <c r="K127" s="96">
        <f>'Capex &amp; NWC Drivers'!I38</f>
        <v>9.3628035</v>
      </c>
      <c r="L127" s="96">
        <f>'Capex &amp; NWC Drivers'!J38</f>
        <v>10.57049535</v>
      </c>
      <c r="M127" s="96">
        <f>'Capex &amp; NWC Drivers'!K38</f>
        <v>11.939668109999998</v>
      </c>
      <c r="N127" s="96">
        <f>'Capex &amp; NWC Drivers'!L38</f>
        <v>13.49257662975</v>
      </c>
      <c r="O127" s="96">
        <f>'Capex &amp; NWC Drivers'!M38</f>
        <v>15.254617257787496</v>
      </c>
    </row>
    <row r="128" ht="24" customHeight="1">
      <c r="B128" s="34" t="s">
        <v>36</v>
      </c>
      <c r="G128" s="96">
        <f>'Historical Financials'!H50</f>
        <v>40.331</v>
      </c>
      <c r="J128" s="178">
        <f t="shared" si="44"/>
        <v>40.331</v>
      </c>
      <c r="K128" s="96">
        <f>'Capex &amp; NWC Drivers'!I39</f>
        <v>34.486326225000006</v>
      </c>
      <c r="L128" s="96">
        <f>'Capex &amp; NWC Drivers'!J39</f>
        <v>38.93465787250001</v>
      </c>
      <c r="M128" s="96">
        <f>'Capex &amp; NWC Drivers'!K39</f>
        <v>43.9777775385</v>
      </c>
      <c r="N128" s="96">
        <f>'Capex &amp; NWC Drivers'!L39</f>
        <v>49.69765725291251</v>
      </c>
      <c r="O128" s="96">
        <f>'Capex &amp; NWC Drivers'!M39</f>
        <v>56.187840232850625</v>
      </c>
    </row>
    <row r="129" ht="24" customHeight="1">
      <c r="B129" s="38" t="s">
        <v>37</v>
      </c>
      <c r="C129" s="39"/>
      <c r="D129" s="39"/>
      <c r="E129" s="39"/>
      <c r="F129" s="39"/>
      <c r="G129" s="40">
        <f t="shared" si="35"/>
        <v>326.21500000000003</v>
      </c>
      <c r="H129" s="39"/>
      <c r="I129" s="39"/>
      <c r="J129" s="167">
        <f t="shared" si="35"/>
        <v>326.21500000000003</v>
      </c>
      <c r="K129" s="40">
        <f t="shared" si="35"/>
        <v>306.43058804738195</v>
      </c>
      <c r="L129" s="40">
        <f t="shared" si="35"/>
        <v>345.95654026623714</v>
      </c>
      <c r="M129" s="40">
        <f t="shared" si="35"/>
        <v>390.76752171909544</v>
      </c>
      <c r="N129" s="40">
        <f t="shared" si="35"/>
        <v>441.59190043117474</v>
      </c>
      <c r="O129" s="40">
        <f t="shared" si="35"/>
        <v>499.2608609954875</v>
      </c>
    </row>
    <row r="130" ht="6" customHeight="1">
      <c r="J130" s="156"/>
    </row>
    <row r="131" ht="24" customHeight="1">
      <c r="B131" s="34" t="s">
        <v>38</v>
      </c>
      <c r="G131" s="96">
        <f>'Historical Financials'!H53</f>
        <v>209.933</v>
      </c>
      <c r="J131" s="178">
        <f t="shared" si="44"/>
        <v>209.933</v>
      </c>
      <c r="K131" s="58">
        <f t="shared" si="45" ref="K131:O131">J131-K101+K72</f>
        <v>228.65860699999996</v>
      </c>
      <c r="L131" s="58">
        <f t="shared" si="45"/>
        <v>241.34320141999996</v>
      </c>
      <c r="M131" s="58">
        <f t="shared" si="45"/>
        <v>250.89493590799998</v>
      </c>
      <c r="N131" s="58">
        <f t="shared" si="45"/>
        <v>256.29196655989995</v>
      </c>
      <c r="O131" s="58">
        <f t="shared" si="45"/>
        <v>256.29196655989995</v>
      </c>
    </row>
    <row r="132" ht="24" customHeight="1">
      <c r="B132" s="34" t="s">
        <v>39</v>
      </c>
      <c r="G132" s="96">
        <f>'Historical Financials'!H54</f>
        <v>32.732</v>
      </c>
      <c r="H132" s="58">
        <f>$O$21</f>
        <v>162.10520549999964</v>
      </c>
      <c r="I132" s="58">
        <f t="shared" si="49" ref="I132:I153">-G132</f>
        <v>-32.732</v>
      </c>
      <c r="J132" s="178">
        <f t="shared" si="44"/>
        <v>162.10520549999964</v>
      </c>
      <c r="K132" s="58">
        <f t="shared" si="46" ref="K132:O149">J132</f>
        <v>162.10520549999964</v>
      </c>
      <c r="L132" s="58">
        <f t="shared" si="46"/>
        <v>162.10520549999964</v>
      </c>
      <c r="M132" s="58">
        <f t="shared" si="46"/>
        <v>162.10520549999964</v>
      </c>
      <c r="N132" s="58">
        <f t="shared" si="46"/>
        <v>162.10520549999964</v>
      </c>
      <c r="O132" s="58">
        <f t="shared" si="46"/>
        <v>162.10520549999964</v>
      </c>
    </row>
    <row r="133" ht="24" customHeight="1">
      <c r="B133" s="34" t="s">
        <v>35</v>
      </c>
      <c r="G133" s="96">
        <f>'Historical Financials'!H55</f>
        <v>11.792</v>
      </c>
      <c r="J133" s="178">
        <f t="shared" si="44"/>
        <v>11.792</v>
      </c>
      <c r="K133" s="58">
        <f t="shared" si="46"/>
        <v>11.792</v>
      </c>
      <c r="L133" s="58">
        <f t="shared" si="46"/>
        <v>11.792</v>
      </c>
      <c r="M133" s="58">
        <f t="shared" si="46"/>
        <v>11.792</v>
      </c>
      <c r="N133" s="58">
        <f t="shared" si="46"/>
        <v>11.792</v>
      </c>
      <c r="O133" s="58">
        <f t="shared" si="46"/>
        <v>11.792</v>
      </c>
    </row>
    <row r="134" ht="24" customHeight="1">
      <c r="B134" s="34" t="s">
        <v>40</v>
      </c>
      <c r="G134" s="96">
        <f>'Historical Financials'!H56</f>
        <v>6.438</v>
      </c>
      <c r="H134" s="58">
        <f>-$O$23</f>
        <v>27.584549999999933</v>
      </c>
      <c r="J134" s="178">
        <f t="shared" si="44"/>
        <v>34.02254999999993</v>
      </c>
      <c r="K134" s="58">
        <f t="shared" si="47" ref="K134:O136">J134+K73</f>
        <v>32.183579999999935</v>
      </c>
      <c r="L134" s="58">
        <f t="shared" si="47"/>
        <v>30.34460999999994</v>
      </c>
      <c r="M134" s="58">
        <f t="shared" si="47"/>
        <v>28.505639999999943</v>
      </c>
      <c r="N134" s="58">
        <f t="shared" si="47"/>
        <v>26.666669999999947</v>
      </c>
      <c r="O134" s="58">
        <f t="shared" si="47"/>
        <v>24.82769999999995</v>
      </c>
    </row>
    <row r="135" ht="24" customHeight="1">
      <c r="B135" s="34" t="s">
        <v>216</v>
      </c>
      <c r="G135" s="37">
        <v>0</v>
      </c>
      <c r="H135" s="58">
        <f>$I$47</f>
        <v>5.989199999999996</v>
      </c>
      <c r="J135" s="178">
        <f t="shared" si="44"/>
        <v>5.989199999999996</v>
      </c>
      <c r="K135" s="58">
        <f t="shared" si="47"/>
        <v>5.090819999999996</v>
      </c>
      <c r="L135" s="58">
        <f t="shared" si="47"/>
        <v>4.192439999999997</v>
      </c>
      <c r="M135" s="58">
        <f t="shared" si="47"/>
        <v>3.2940599999999973</v>
      </c>
      <c r="N135" s="58">
        <f t="shared" si="47"/>
        <v>2.395679999999998</v>
      </c>
      <c r="O135" s="58">
        <f t="shared" si="47"/>
        <v>1.4972999999999985</v>
      </c>
    </row>
    <row r="136" ht="24" customHeight="1">
      <c r="B136" s="34" t="s">
        <v>217</v>
      </c>
      <c r="G136" s="37">
        <v>0</v>
      </c>
      <c r="H136" s="58">
        <f>$G$47</f>
        <v>2.9946000000000006</v>
      </c>
      <c r="J136" s="178">
        <f t="shared" si="44"/>
        <v>2.9946000000000006</v>
      </c>
      <c r="K136" s="58">
        <f t="shared" si="47"/>
        <v>2.5454100000000004</v>
      </c>
      <c r="L136" s="58">
        <f t="shared" si="47"/>
        <v>2.09622</v>
      </c>
      <c r="M136" s="58">
        <f t="shared" si="47"/>
        <v>1.64703</v>
      </c>
      <c r="N136" s="58">
        <f t="shared" si="47"/>
        <v>1.1978399999999998</v>
      </c>
      <c r="O136" s="58">
        <f t="shared" si="47"/>
        <v>0.7486499999999997</v>
      </c>
    </row>
    <row r="137" ht="24" customHeight="1">
      <c r="B137" s="47" t="s">
        <v>41</v>
      </c>
      <c r="C137" s="48"/>
      <c r="D137" s="48"/>
      <c r="E137" s="48"/>
      <c r="F137" s="48"/>
      <c r="G137" s="49">
        <f t="shared" si="48" ref="G137:O137">SUM(G129,G131:G136)</f>
        <v>587.11</v>
      </c>
      <c r="H137" s="48"/>
      <c r="I137" s="48"/>
      <c r="J137" s="170">
        <f t="shared" si="48"/>
        <v>753.0515554999996</v>
      </c>
      <c r="K137" s="49">
        <f t="shared" si="48"/>
        <v>748.8062105473815</v>
      </c>
      <c r="L137" s="49">
        <f t="shared" si="48"/>
        <v>797.8302171862368</v>
      </c>
      <c r="M137" s="49">
        <f t="shared" si="48"/>
        <v>849.006393127095</v>
      </c>
      <c r="N137" s="49">
        <f t="shared" si="48"/>
        <v>902.0412624910743</v>
      </c>
      <c r="O137" s="49">
        <f t="shared" si="48"/>
        <v>956.5236830553871</v>
      </c>
    </row>
    <row r="138" ht="24" customHeight="1">
      <c r="J138" s="156"/>
    </row>
    <row r="139" ht="24" customHeight="1">
      <c r="B139" s="52" t="s">
        <v>42</v>
      </c>
      <c r="C139" s="52"/>
      <c r="D139" s="52"/>
      <c r="E139" s="52"/>
      <c r="F139" s="52"/>
      <c r="G139" s="52"/>
      <c r="H139" s="52"/>
      <c r="I139" s="52"/>
      <c r="J139" s="197"/>
      <c r="K139" s="52"/>
      <c r="L139" s="52"/>
      <c r="M139" s="52"/>
      <c r="N139" s="52"/>
      <c r="O139" s="52"/>
    </row>
    <row r="140" ht="6" customHeight="1">
      <c r="J140" s="156"/>
    </row>
    <row r="141" ht="24" customHeight="1">
      <c r="B141" s="34" t="s">
        <v>43</v>
      </c>
      <c r="G141" s="79">
        <f>'Historical Financials'!H61</f>
        <v>43.603</v>
      </c>
      <c r="J141" s="177">
        <f t="shared" si="44"/>
        <v>43.603</v>
      </c>
      <c r="K141" s="79">
        <f>'Capex &amp; NWC Drivers'!I42</f>
        <v>44.432195482546206</v>
      </c>
      <c r="L141" s="79">
        <f>'Capex &amp; NWC Drivers'!J42</f>
        <v>50.16342762491445</v>
      </c>
      <c r="M141" s="79">
        <f>'Capex &amp; NWC Drivers'!K42</f>
        <v>56.66098487063655</v>
      </c>
      <c r="N141" s="79">
        <f>'Capex &amp; NWC Drivers'!L42</f>
        <v>64.03048001341547</v>
      </c>
      <c r="O141" s="79">
        <f>'Capex &amp; NWC Drivers'!M42</f>
        <v>72.39243416882955</v>
      </c>
    </row>
    <row r="142" ht="24" customHeight="1">
      <c r="B142" s="34" t="s">
        <v>44</v>
      </c>
      <c r="G142" s="96">
        <f>'Historical Financials'!H62</f>
        <v>10.65</v>
      </c>
      <c r="J142" s="178">
        <f t="shared" si="44"/>
        <v>10.65</v>
      </c>
      <c r="K142" s="96">
        <f>'Capex &amp; NWC Drivers'!I43</f>
        <v>18.725607</v>
      </c>
      <c r="L142" s="96">
        <f>'Capex &amp; NWC Drivers'!J43</f>
        <v>21.1409907</v>
      </c>
      <c r="M142" s="96">
        <f>'Capex &amp; NWC Drivers'!K43</f>
        <v>23.879336219999995</v>
      </c>
      <c r="N142" s="96">
        <f>'Capex &amp; NWC Drivers'!L43</f>
        <v>26.9851532595</v>
      </c>
      <c r="O142" s="96">
        <f>'Capex &amp; NWC Drivers'!M43</f>
        <v>30.50923451557499</v>
      </c>
    </row>
    <row r="143" ht="24" customHeight="1">
      <c r="B143" s="34" t="s">
        <v>45</v>
      </c>
      <c r="G143" s="96">
        <f>'Historical Financials'!H63</f>
        <v>3.719</v>
      </c>
      <c r="J143" s="178">
        <f t="shared" si="44"/>
        <v>3.719</v>
      </c>
      <c r="K143" s="96">
        <f>'Capex &amp; NWC Drivers'!I44</f>
        <v>3.1209345</v>
      </c>
      <c r="L143" s="96">
        <f>'Capex &amp; NWC Drivers'!J44</f>
        <v>3.5234984500000004</v>
      </c>
      <c r="M143" s="96">
        <f>'Capex &amp; NWC Drivers'!K44</f>
        <v>3.9798893699999995</v>
      </c>
      <c r="N143" s="96">
        <f>'Capex &amp; NWC Drivers'!L44</f>
        <v>4.49752554325</v>
      </c>
      <c r="O143" s="96">
        <f>'Capex &amp; NWC Drivers'!M44</f>
        <v>5.084872419262499</v>
      </c>
    </row>
    <row r="144" ht="24" customHeight="1">
      <c r="B144" s="34" t="s">
        <v>46</v>
      </c>
      <c r="G144" s="96">
        <f>'Historical Financials'!H64</f>
        <v>6.894</v>
      </c>
      <c r="J144" s="178">
        <f t="shared" si="44"/>
        <v>6.894</v>
      </c>
      <c r="K144" s="96">
        <f>'Capex &amp; NWC Drivers'!I45</f>
        <v>4.05721485</v>
      </c>
      <c r="L144" s="96">
        <f>'Capex &amp; NWC Drivers'!J45</f>
        <v>4.580547985000001</v>
      </c>
      <c r="M144" s="96">
        <f>'Capex &amp; NWC Drivers'!K45</f>
        <v>5.173856181</v>
      </c>
      <c r="N144" s="96">
        <f>'Capex &amp; NWC Drivers'!L45</f>
        <v>5.846783206225</v>
      </c>
      <c r="O144" s="96">
        <f>'Capex &amp; NWC Drivers'!M45</f>
        <v>6.61033414504125</v>
      </c>
    </row>
    <row r="145" ht="24" customHeight="1">
      <c r="B145" s="34" t="s">
        <v>47</v>
      </c>
      <c r="G145" s="96">
        <f>'Historical Financials'!H65</f>
        <v>41.572</v>
      </c>
      <c r="J145" s="178">
        <f t="shared" si="44"/>
        <v>41.572</v>
      </c>
      <c r="K145" s="96">
        <f>'Capex &amp; NWC Drivers'!I46</f>
        <v>40.572148500000004</v>
      </c>
      <c r="L145" s="96">
        <f>'Capex &amp; NWC Drivers'!J46</f>
        <v>45.80547985000001</v>
      </c>
      <c r="M145" s="96">
        <f>'Capex &amp; NWC Drivers'!K46</f>
        <v>51.73856181</v>
      </c>
      <c r="N145" s="96">
        <f>'Capex &amp; NWC Drivers'!L46</f>
        <v>58.467832062250004</v>
      </c>
      <c r="O145" s="96">
        <f>'Capex &amp; NWC Drivers'!M46</f>
        <v>66.1033414504125</v>
      </c>
    </row>
    <row r="146" ht="24" customHeight="1">
      <c r="B146" s="38" t="s">
        <v>48</v>
      </c>
      <c r="C146" s="39"/>
      <c r="D146" s="39"/>
      <c r="E146" s="39"/>
      <c r="F146" s="39"/>
      <c r="G146" s="40">
        <f t="shared" si="5"/>
        <v>106.438</v>
      </c>
      <c r="H146" s="39"/>
      <c r="I146" s="39"/>
      <c r="J146" s="167">
        <f t="shared" si="5"/>
        <v>106.438</v>
      </c>
      <c r="K146" s="40">
        <f t="shared" si="5"/>
        <v>110.90810033254621</v>
      </c>
      <c r="L146" s="40">
        <f t="shared" si="5"/>
        <v>125.21394460991446</v>
      </c>
      <c r="M146" s="40">
        <f t="shared" si="5"/>
        <v>141.43262845163653</v>
      </c>
      <c r="N146" s="40">
        <f t="shared" si="5"/>
        <v>159.82777408464048</v>
      </c>
      <c r="O146" s="40">
        <f t="shared" si="5"/>
        <v>180.7002166991208</v>
      </c>
    </row>
    <row r="147" ht="6" customHeight="1">
      <c r="J147" s="156"/>
    </row>
    <row r="148" ht="24" customHeight="1">
      <c r="B148" s="34" t="s">
        <v>49</v>
      </c>
      <c r="G148" s="96">
        <f>'Historical Financials'!H68</f>
        <v>0.261</v>
      </c>
      <c r="H148" s="58">
        <f>SUM($D$33:$D$34)</f>
        <v>299.4599999999998</v>
      </c>
      <c r="I148" s="58">
        <f t="shared" si="49"/>
        <v>-0.261</v>
      </c>
      <c r="J148" s="178">
        <f t="shared" si="44"/>
        <v>299.4599999999998</v>
      </c>
      <c r="K148" s="58">
        <f t="shared" si="50" ref="K148:O148">K183</f>
        <v>242.69040402397363</v>
      </c>
      <c r="L148" s="58">
        <f t="shared" si="50"/>
        <v>224.92240412295018</v>
      </c>
      <c r="M148" s="58">
        <f t="shared" si="50"/>
        <v>200.86523607024532</v>
      </c>
      <c r="N148" s="58">
        <f t="shared" si="50"/>
        <v>169.49516646687695</v>
      </c>
      <c r="O148" s="58">
        <f t="shared" si="50"/>
        <v>129.43609521021142</v>
      </c>
    </row>
    <row r="149" ht="24" customHeight="1">
      <c r="B149" s="34" t="s">
        <v>50</v>
      </c>
      <c r="G149" s="96">
        <f>'Historical Financials'!H69</f>
        <v>2.416</v>
      </c>
      <c r="J149" s="178">
        <f t="shared" si="44"/>
        <v>2.416</v>
      </c>
      <c r="K149" s="58">
        <f t="shared" si="46"/>
        <v>2.416</v>
      </c>
      <c r="L149" s="58">
        <f t="shared" si="46"/>
        <v>2.416</v>
      </c>
      <c r="M149" s="58">
        <f t="shared" si="46"/>
        <v>2.416</v>
      </c>
      <c r="N149" s="58">
        <f t="shared" si="46"/>
        <v>2.416</v>
      </c>
      <c r="O149" s="58">
        <f t="shared" si="46"/>
        <v>2.416</v>
      </c>
    </row>
    <row r="150" ht="24" customHeight="1">
      <c r="B150" s="34" t="s">
        <v>51</v>
      </c>
      <c r="G150" s="96">
        <f>'Historical Financials'!H70</f>
        <v>8.487</v>
      </c>
      <c r="H150" s="58">
        <f>O20</f>
        <v>5.792755499999986</v>
      </c>
      <c r="J150" s="178">
        <f t="shared" si="44"/>
        <v>14.279755499999986</v>
      </c>
      <c r="K150" s="58">
        <f t="shared" si="51" ref="K150:O150">J150+K96</f>
        <v>13.610582099999988</v>
      </c>
      <c r="L150" s="58">
        <f t="shared" si="51"/>
        <v>12.94140869999999</v>
      </c>
      <c r="M150" s="58">
        <f t="shared" si="51"/>
        <v>12.272235299999991</v>
      </c>
      <c r="N150" s="58">
        <f t="shared" si="51"/>
        <v>11.603061899999993</v>
      </c>
      <c r="O150" s="58">
        <f t="shared" si="51"/>
        <v>10.933888499999995</v>
      </c>
    </row>
    <row r="151" ht="24" customHeight="1">
      <c r="B151" s="38" t="s">
        <v>52</v>
      </c>
      <c r="C151" s="39"/>
      <c r="D151" s="39"/>
      <c r="E151" s="39"/>
      <c r="F151" s="39"/>
      <c r="G151" s="40">
        <f t="shared" si="52" ref="G151:O151">SUM(G146,G148:G150)</f>
        <v>117.60199999999999</v>
      </c>
      <c r="H151" s="39"/>
      <c r="I151" s="39"/>
      <c r="J151" s="167">
        <f t="shared" si="52"/>
        <v>422.59375549999976</v>
      </c>
      <c r="K151" s="40">
        <f t="shared" si="52"/>
        <v>369.6250864565198</v>
      </c>
      <c r="L151" s="40">
        <f t="shared" si="52"/>
        <v>365.49375743286464</v>
      </c>
      <c r="M151" s="40">
        <f t="shared" si="52"/>
        <v>356.9860998218818</v>
      </c>
      <c r="N151" s="40">
        <f t="shared" si="52"/>
        <v>343.34200245151743</v>
      </c>
      <c r="O151" s="40">
        <f t="shared" si="52"/>
        <v>323.48620040933224</v>
      </c>
    </row>
    <row r="152" ht="6" customHeight="1">
      <c r="B152" s="54"/>
      <c r="J152" s="156"/>
    </row>
    <row r="153" ht="24" customHeight="1">
      <c r="B153" s="34" t="s">
        <v>53</v>
      </c>
      <c r="G153" s="96">
        <f>'Historical Financials'!H73</f>
        <v>469.508</v>
      </c>
      <c r="H153" s="58">
        <f>SUM($D$35:$D$36)-$J$36</f>
        <v>330.4577999999997</v>
      </c>
      <c r="I153" s="58">
        <f t="shared" si="49"/>
        <v>-469.508</v>
      </c>
      <c r="J153" s="178">
        <f t="shared" si="44"/>
        <v>330.45779999999974</v>
      </c>
      <c r="K153" s="58">
        <f t="shared" si="53" ref="K153:O153">J153+K82+K170</f>
        <v>379.1811240908616</v>
      </c>
      <c r="L153" s="58">
        <f t="shared" si="53"/>
        <v>432.336459753372</v>
      </c>
      <c r="M153" s="58">
        <f t="shared" si="53"/>
        <v>492.02029330521316</v>
      </c>
      <c r="N153" s="58">
        <f t="shared" si="53"/>
        <v>558.6992600395569</v>
      </c>
      <c r="O153" s="58">
        <f t="shared" si="53"/>
        <v>633.037482646055</v>
      </c>
    </row>
    <row r="154" ht="24" customHeight="1">
      <c r="B154" s="47" t="s">
        <v>54</v>
      </c>
      <c r="C154" s="48"/>
      <c r="D154" s="48"/>
      <c r="E154" s="48"/>
      <c r="F154" s="48"/>
      <c r="G154" s="49">
        <f t="shared" si="54" ref="G154:O154">SUM(G151,G153)</f>
        <v>587.11</v>
      </c>
      <c r="H154" s="48"/>
      <c r="I154" s="48"/>
      <c r="J154" s="170">
        <f t="shared" si="54"/>
        <v>753.0515554999995</v>
      </c>
      <c r="K154" s="49">
        <f t="shared" si="54"/>
        <v>748.8062105473814</v>
      </c>
      <c r="L154" s="49">
        <f t="shared" si="54"/>
        <v>797.8302171862367</v>
      </c>
      <c r="M154" s="49">
        <f t="shared" si="54"/>
        <v>849.006393127095</v>
      </c>
      <c r="N154" s="49">
        <f t="shared" si="54"/>
        <v>902.0412624910743</v>
      </c>
      <c r="O154" s="49">
        <f t="shared" si="54"/>
        <v>956.5236830553872</v>
      </c>
    </row>
    <row r="155" ht="6" customHeight="1">
      <c r="B155" s="54"/>
    </row>
    <row r="156" ht="24" customHeight="1">
      <c r="B156" s="43" t="s">
        <v>218</v>
      </c>
      <c r="G156" s="23" t="str">
        <f t="shared" si="55" ref="G156:O156">IF(ABS(G137-G154)&lt;0.001,"okay","check")</f>
        <v>okay</v>
      </c>
      <c r="J156" s="23" t="str">
        <f t="shared" si="55"/>
        <v>okay</v>
      </c>
      <c r="K156" s="23" t="str">
        <f t="shared" si="55"/>
        <v>okay</v>
      </c>
      <c r="L156" s="23" t="str">
        <f t="shared" si="55"/>
        <v>okay</v>
      </c>
      <c r="M156" s="23" t="str">
        <f t="shared" si="55"/>
        <v>okay</v>
      </c>
      <c r="N156" s="23" t="str">
        <f t="shared" si="55"/>
        <v>okay</v>
      </c>
      <c r="O156" s="23" t="str">
        <f t="shared" si="55"/>
        <v>okay</v>
      </c>
    </row>
    <row r="157" ht="24" customHeight="1">
      <c r="B157" s="54"/>
      <c r="J157" s="198"/>
    </row>
    <row r="158" ht="24" customHeight="1">
      <c r="A158" s="25" t="s">
        <v>5</v>
      </c>
      <c r="B158" s="28" t="s">
        <v>220</v>
      </c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5" t="s">
        <v>5</v>
      </c>
    </row>
    <row r="159" ht="6" customHeight="1"/>
    <row r="160" ht="24" customHeight="1">
      <c r="F160" s="145" t="s">
        <v>191</v>
      </c>
      <c r="G160" s="145"/>
      <c r="H160" s="145"/>
      <c r="I160" s="145"/>
      <c r="J160" s="146"/>
      <c r="K160" s="147" t="s">
        <v>192</v>
      </c>
      <c r="L160" s="145"/>
      <c r="M160" s="145"/>
      <c r="N160" s="145"/>
      <c r="O160" s="145"/>
    </row>
    <row r="161" ht="24" customHeight="1">
      <c r="D161" s="30"/>
      <c r="E161" s="30"/>
      <c r="F161" s="29">
        <v>42004</v>
      </c>
      <c r="G161" s="29">
        <f t="shared" si="10"/>
        <v>42369</v>
      </c>
      <c r="H161" s="29">
        <f t="shared" si="10"/>
        <v>42735</v>
      </c>
      <c r="I161" s="29">
        <f t="shared" si="10"/>
        <v>43100</v>
      </c>
      <c r="J161" s="150">
        <f t="shared" si="10"/>
        <v>43465</v>
      </c>
      <c r="K161" s="29">
        <f t="shared" si="10"/>
        <v>43830</v>
      </c>
      <c r="L161" s="29">
        <f t="shared" si="10"/>
        <v>44196</v>
      </c>
      <c r="M161" s="29">
        <f t="shared" si="10"/>
        <v>44561</v>
      </c>
      <c r="N161" s="29">
        <f t="shared" si="10"/>
        <v>44926</v>
      </c>
      <c r="O161" s="29">
        <f t="shared" si="10"/>
        <v>45291</v>
      </c>
      <c r="P161" s="29"/>
    </row>
    <row r="162" ht="24" customHeight="1">
      <c r="B162" s="31"/>
      <c r="C162" s="31"/>
      <c r="D162" s="33"/>
      <c r="E162" s="33"/>
      <c r="F162" s="32">
        <f t="shared" si="11"/>
        <v>2014</v>
      </c>
      <c r="G162" s="32">
        <f t="shared" si="11"/>
        <v>2015</v>
      </c>
      <c r="H162" s="32">
        <f t="shared" si="11"/>
        <v>2016</v>
      </c>
      <c r="I162" s="32">
        <f t="shared" si="11"/>
        <v>2017</v>
      </c>
      <c r="J162" s="153">
        <f t="shared" si="11"/>
        <v>2018</v>
      </c>
      <c r="K162" s="78">
        <f t="shared" si="11"/>
        <v>2019</v>
      </c>
      <c r="L162" s="78">
        <f t="shared" si="11"/>
        <v>2020</v>
      </c>
      <c r="M162" s="78">
        <f t="shared" si="11"/>
        <v>2021</v>
      </c>
      <c r="N162" s="78">
        <f t="shared" si="11"/>
        <v>2022</v>
      </c>
      <c r="O162" s="78">
        <f t="shared" si="11"/>
        <v>2023</v>
      </c>
      <c r="P162" s="27"/>
    </row>
    <row r="163" ht="6" customHeight="1">
      <c r="B163" s="54"/>
      <c r="J163" s="199"/>
    </row>
    <row r="164" ht="24" customHeight="1">
      <c r="B164" s="34" t="s">
        <v>221</v>
      </c>
      <c r="J164" s="200"/>
      <c r="K164" s="51">
        <f>J123</f>
        <v>22.013999999999992</v>
      </c>
      <c r="L164" s="51">
        <f t="shared" si="56" ref="L164:O164">K171</f>
        <v>0</v>
      </c>
      <c r="M164" s="51">
        <f t="shared" si="56"/>
        <v>0</v>
      </c>
      <c r="N164" s="51">
        <f t="shared" si="56"/>
        <v>0</v>
      </c>
      <c r="O164" s="51">
        <f t="shared" si="56"/>
        <v>0</v>
      </c>
    </row>
    <row r="165" ht="24" customHeight="1">
      <c r="B165" s="34" t="s">
        <v>222</v>
      </c>
      <c r="J165" s="200"/>
      <c r="K165" s="58">
        <f t="shared" si="57" ref="K165:O165">K112</f>
        <v>34.75559597602614</v>
      </c>
      <c r="L165" s="58">
        <f t="shared" si="57"/>
        <v>17.76799990102343</v>
      </c>
      <c r="M165" s="58">
        <f t="shared" si="57"/>
        <v>24.05716805270488</v>
      </c>
      <c r="N165" s="58">
        <f t="shared" si="57"/>
        <v>31.37006960336838</v>
      </c>
      <c r="O165" s="58">
        <f t="shared" si="57"/>
        <v>40.05907125666552</v>
      </c>
    </row>
    <row r="166" ht="24" customHeight="1">
      <c r="B166" s="34" t="s">
        <v>223</v>
      </c>
      <c r="J166" s="200"/>
      <c r="K166" s="58">
        <f t="shared" si="58" ref="K166:O166">K189</f>
        <v>-8.983799999999993</v>
      </c>
      <c r="L166" s="58">
        <f t="shared" si="58"/>
        <v>-8.983799999999993</v>
      </c>
      <c r="M166" s="58">
        <f t="shared" si="58"/>
        <v>-8.983799999999993</v>
      </c>
      <c r="N166" s="58">
        <f t="shared" si="58"/>
        <v>-8.983799999999993</v>
      </c>
      <c r="O166" s="58">
        <f t="shared" si="58"/>
        <v>-8.983799999999993</v>
      </c>
    </row>
    <row r="167" ht="24" customHeight="1">
      <c r="B167" s="38" t="s">
        <v>224</v>
      </c>
      <c r="C167" s="39"/>
      <c r="D167" s="39"/>
      <c r="E167" s="39"/>
      <c r="F167" s="39"/>
      <c r="G167" s="39"/>
      <c r="H167" s="39"/>
      <c r="I167" s="39"/>
      <c r="J167" s="201"/>
      <c r="K167" s="40">
        <f t="shared" si="9"/>
        <v>47.785795976026144</v>
      </c>
      <c r="L167" s="40">
        <f t="shared" si="9"/>
        <v>8.784199901023436</v>
      </c>
      <c r="M167" s="40">
        <f t="shared" si="9"/>
        <v>15.073368052704888</v>
      </c>
      <c r="N167" s="40">
        <f t="shared" si="9"/>
        <v>22.386269603368383</v>
      </c>
      <c r="O167" s="40">
        <f t="shared" si="9"/>
        <v>31.075271256665523</v>
      </c>
    </row>
    <row r="168" ht="24" customHeight="1">
      <c r="B168" s="34" t="s">
        <v>225</v>
      </c>
      <c r="J168" s="200"/>
      <c r="K168" s="58">
        <f t="shared" si="59" ref="K168:O168">K195</f>
        <v>-47.785795976026144</v>
      </c>
      <c r="L168" s="58">
        <f t="shared" si="59"/>
        <v>-8.784199901023436</v>
      </c>
      <c r="M168" s="58">
        <f t="shared" si="59"/>
        <v>-15.073368052704888</v>
      </c>
      <c r="N168" s="58">
        <f t="shared" si="59"/>
        <v>-22.386269603368383</v>
      </c>
      <c r="O168" s="58">
        <f t="shared" si="59"/>
        <v>-31.075271256665523</v>
      </c>
    </row>
    <row r="169" ht="24" customHeight="1">
      <c r="B169" s="38" t="s">
        <v>226</v>
      </c>
      <c r="C169" s="39"/>
      <c r="D169" s="39"/>
      <c r="E169" s="39"/>
      <c r="F169" s="39"/>
      <c r="G169" s="39"/>
      <c r="H169" s="39"/>
      <c r="I169" s="39"/>
      <c r="J169" s="201"/>
      <c r="K169" s="40">
        <f t="shared" si="14"/>
        <v>0</v>
      </c>
      <c r="L169" s="40">
        <f t="shared" si="14"/>
        <v>0</v>
      </c>
      <c r="M169" s="40">
        <f t="shared" si="14"/>
        <v>0</v>
      </c>
      <c r="N169" s="40">
        <f t="shared" si="14"/>
        <v>0</v>
      </c>
      <c r="O169" s="40">
        <f t="shared" si="14"/>
        <v>0</v>
      </c>
    </row>
    <row r="170" ht="24" customHeight="1">
      <c r="B170" s="34" t="s">
        <v>227</v>
      </c>
      <c r="J170" s="200"/>
      <c r="K170" s="58">
        <f t="shared" si="60" ref="K170:O170">-PRODUCT(K$169,$N$10)</f>
        <v>0</v>
      </c>
      <c r="L170" s="58">
        <f t="shared" si="60"/>
        <v>0</v>
      </c>
      <c r="M170" s="58">
        <f t="shared" si="60"/>
        <v>0</v>
      </c>
      <c r="N170" s="58">
        <f t="shared" si="60"/>
        <v>0</v>
      </c>
      <c r="O170" s="58">
        <f t="shared" si="60"/>
        <v>0</v>
      </c>
    </row>
    <row r="171" ht="24" customHeight="1">
      <c r="B171" s="38" t="s">
        <v>228</v>
      </c>
      <c r="C171" s="39"/>
      <c r="D171" s="39"/>
      <c r="E171" s="39"/>
      <c r="F171" s="39"/>
      <c r="G171" s="39"/>
      <c r="H171" s="39"/>
      <c r="I171" s="39"/>
      <c r="J171" s="201"/>
      <c r="K171" s="40">
        <f t="shared" si="14"/>
        <v>0</v>
      </c>
      <c r="L171" s="40">
        <f t="shared" si="14"/>
        <v>0</v>
      </c>
      <c r="M171" s="40">
        <f t="shared" si="14"/>
        <v>0</v>
      </c>
      <c r="N171" s="40">
        <f t="shared" si="14"/>
        <v>0</v>
      </c>
      <c r="O171" s="40">
        <f t="shared" si="14"/>
        <v>0</v>
      </c>
    </row>
    <row r="172" ht="24" customHeight="1">
      <c r="B172" s="54"/>
      <c r="J172" s="198"/>
    </row>
    <row r="173" ht="24" customHeight="1">
      <c r="A173" s="25" t="s">
        <v>5</v>
      </c>
      <c r="B173" s="28" t="s">
        <v>229</v>
      </c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5" t="s">
        <v>5</v>
      </c>
    </row>
    <row r="174" ht="6" customHeight="1">
      <c r="B174" s="54"/>
      <c r="J174" s="198"/>
    </row>
    <row r="175" ht="24" customHeight="1">
      <c r="B175" s="54"/>
      <c r="J175" s="200"/>
      <c r="K175" s="145" t="s">
        <v>192</v>
      </c>
      <c r="L175" s="145"/>
      <c r="M175" s="145"/>
      <c r="N175" s="145"/>
      <c r="O175" s="145"/>
    </row>
    <row r="176" ht="24" customHeight="1">
      <c r="B176" s="54"/>
      <c r="J176" s="150">
        <v>43465</v>
      </c>
      <c r="K176" s="29">
        <f t="shared" si="10"/>
        <v>43830</v>
      </c>
      <c r="L176" s="29">
        <f t="shared" si="10"/>
        <v>44196</v>
      </c>
      <c r="M176" s="29">
        <f t="shared" si="10"/>
        <v>44561</v>
      </c>
      <c r="N176" s="29">
        <f t="shared" si="10"/>
        <v>44926</v>
      </c>
      <c r="O176" s="29">
        <f t="shared" si="10"/>
        <v>45291</v>
      </c>
    </row>
    <row r="177" ht="24" customHeight="1">
      <c r="B177" s="202"/>
      <c r="C177" s="31"/>
      <c r="D177" s="31"/>
      <c r="E177" s="31"/>
      <c r="F177" s="31"/>
      <c r="G177" s="31"/>
      <c r="H177" s="31"/>
      <c r="I177" s="31"/>
      <c r="J177" s="153">
        <f t="shared" si="11"/>
        <v>2018</v>
      </c>
      <c r="K177" s="78">
        <f t="shared" si="11"/>
        <v>2019</v>
      </c>
      <c r="L177" s="78">
        <f t="shared" si="11"/>
        <v>2020</v>
      </c>
      <c r="M177" s="78">
        <f t="shared" si="11"/>
        <v>2021</v>
      </c>
      <c r="N177" s="78">
        <f t="shared" si="11"/>
        <v>2022</v>
      </c>
      <c r="O177" s="78">
        <f t="shared" si="11"/>
        <v>2023</v>
      </c>
    </row>
    <row r="178" ht="6" customHeight="1">
      <c r="B178" s="54"/>
      <c r="J178" s="200"/>
    </row>
    <row r="179" ht="24" customHeight="1">
      <c r="B179" s="54" t="s">
        <v>230</v>
      </c>
      <c r="J179" s="200"/>
    </row>
    <row r="180" ht="24" customHeight="1">
      <c r="B180" s="80" t="s">
        <v>185</v>
      </c>
      <c r="J180" s="177">
        <f t="shared" si="62" ref="J180:J182">E44</f>
        <v>0</v>
      </c>
      <c r="K180" s="51">
        <f t="shared" si="61" ref="K180:O182">J180+K186+K192</f>
        <v>0</v>
      </c>
      <c r="L180" s="51">
        <f t="shared" si="61"/>
        <v>0</v>
      </c>
      <c r="M180" s="51">
        <f t="shared" si="61"/>
        <v>0</v>
      </c>
      <c r="N180" s="51">
        <f t="shared" si="61"/>
        <v>0</v>
      </c>
      <c r="O180" s="51">
        <f t="shared" si="61"/>
        <v>0</v>
      </c>
    </row>
    <row r="181" ht="24" customHeight="1">
      <c r="B181" s="80" t="s">
        <v>186</v>
      </c>
      <c r="J181" s="178">
        <f t="shared" si="62"/>
        <v>179.67599999999987</v>
      </c>
      <c r="K181" s="58">
        <f t="shared" si="61"/>
        <v>122.90640402397372</v>
      </c>
      <c r="L181" s="58">
        <f t="shared" si="61"/>
        <v>105.13840412295029</v>
      </c>
      <c r="M181" s="58">
        <f t="shared" si="61"/>
        <v>81.08123607024541</v>
      </c>
      <c r="N181" s="58">
        <f t="shared" si="61"/>
        <v>49.71116646687704</v>
      </c>
      <c r="O181" s="58">
        <f t="shared" si="61"/>
        <v>9.65209521021152</v>
      </c>
    </row>
    <row r="182" ht="24" customHeight="1">
      <c r="B182" s="80" t="s">
        <v>164</v>
      </c>
      <c r="J182" s="178">
        <f t="shared" si="62"/>
        <v>119.7839999999999</v>
      </c>
      <c r="K182" s="58">
        <f t="shared" si="61"/>
        <v>119.7839999999999</v>
      </c>
      <c r="L182" s="58">
        <f t="shared" si="61"/>
        <v>119.7839999999999</v>
      </c>
      <c r="M182" s="58">
        <f t="shared" si="61"/>
        <v>119.7839999999999</v>
      </c>
      <c r="N182" s="58">
        <f t="shared" si="61"/>
        <v>119.7839999999999</v>
      </c>
      <c r="O182" s="58">
        <f t="shared" si="61"/>
        <v>119.7839999999999</v>
      </c>
    </row>
    <row r="183" ht="24" customHeight="1">
      <c r="B183" s="116" t="s">
        <v>231</v>
      </c>
      <c r="C183" s="39"/>
      <c r="D183" s="39"/>
      <c r="E183" s="39"/>
      <c r="F183" s="39"/>
      <c r="G183" s="39"/>
      <c r="H183" s="39"/>
      <c r="I183" s="39"/>
      <c r="J183" s="167">
        <f t="shared" si="9"/>
        <v>299.4599999999998</v>
      </c>
      <c r="K183" s="40">
        <f t="shared" si="9"/>
        <v>242.69040402397363</v>
      </c>
      <c r="L183" s="40">
        <f t="shared" si="9"/>
        <v>224.92240412295018</v>
      </c>
      <c r="M183" s="40">
        <f t="shared" si="9"/>
        <v>200.86523607024532</v>
      </c>
      <c r="N183" s="40">
        <f t="shared" si="9"/>
        <v>169.49516646687695</v>
      </c>
      <c r="O183" s="40">
        <f t="shared" si="9"/>
        <v>129.43609521021142</v>
      </c>
    </row>
    <row r="184" ht="24" customHeight="1">
      <c r="B184" s="54"/>
      <c r="J184" s="200"/>
    </row>
    <row r="185" ht="24" customHeight="1">
      <c r="B185" s="54" t="s">
        <v>232</v>
      </c>
      <c r="G185" s="203"/>
      <c r="H185" s="204" t="s">
        <v>233</v>
      </c>
      <c r="I185" s="204" t="s">
        <v>234</v>
      </c>
      <c r="J185" s="200"/>
    </row>
    <row r="186" ht="24" customHeight="1">
      <c r="B186" s="80" t="s">
        <v>185</v>
      </c>
      <c r="H186" s="205">
        <f t="shared" si="64" ref="H186:H188">K44</f>
        <v>0</v>
      </c>
      <c r="I186" s="29">
        <f t="shared" si="65" ref="I186:I188">O44</f>
        <v>44561</v>
      </c>
      <c r="J186" s="200"/>
      <c r="K186" s="51">
        <f t="shared" si="63" ref="K186:O188">-IF($I186&lt;=K$176,J180,MIN($H186*$J180,J180))</f>
        <v>0</v>
      </c>
      <c r="L186" s="51">
        <f t="shared" si="63"/>
        <v>0</v>
      </c>
      <c r="M186" s="51">
        <f t="shared" si="63"/>
        <v>0</v>
      </c>
      <c r="N186" s="51">
        <f t="shared" si="63"/>
        <v>0</v>
      </c>
      <c r="O186" s="51">
        <f t="shared" si="63"/>
        <v>0</v>
      </c>
    </row>
    <row r="187" ht="24" customHeight="1">
      <c r="B187" s="80" t="s">
        <v>186</v>
      </c>
      <c r="H187" s="205">
        <f t="shared" si="64"/>
        <v>0.05</v>
      </c>
      <c r="I187" s="29">
        <f t="shared" si="65"/>
        <v>45657</v>
      </c>
      <c r="J187" s="200"/>
      <c r="K187" s="58">
        <f t="shared" si="63"/>
        <v>-8.983799999999993</v>
      </c>
      <c r="L187" s="58">
        <f t="shared" si="63"/>
        <v>-8.983799999999993</v>
      </c>
      <c r="M187" s="58">
        <f t="shared" si="63"/>
        <v>-8.983799999999993</v>
      </c>
      <c r="N187" s="58">
        <f t="shared" si="63"/>
        <v>-8.983799999999993</v>
      </c>
      <c r="O187" s="58">
        <f t="shared" si="63"/>
        <v>-8.983799999999993</v>
      </c>
    </row>
    <row r="188" ht="24" customHeight="1">
      <c r="B188" s="80" t="s">
        <v>164</v>
      </c>
      <c r="H188" s="205">
        <f t="shared" si="64"/>
        <v>0</v>
      </c>
      <c r="I188" s="29">
        <f t="shared" si="65"/>
        <v>46387</v>
      </c>
      <c r="J188" s="200"/>
      <c r="K188" s="58">
        <f t="shared" si="63"/>
        <v>0</v>
      </c>
      <c r="L188" s="58">
        <f t="shared" si="63"/>
        <v>0</v>
      </c>
      <c r="M188" s="58">
        <f t="shared" si="63"/>
        <v>0</v>
      </c>
      <c r="N188" s="58">
        <f t="shared" si="63"/>
        <v>0</v>
      </c>
      <c r="O188" s="58">
        <f t="shared" si="63"/>
        <v>0</v>
      </c>
    </row>
    <row r="189" ht="24" customHeight="1">
      <c r="B189" s="116" t="s">
        <v>235</v>
      </c>
      <c r="C189" s="39"/>
      <c r="D189" s="39"/>
      <c r="E189" s="39"/>
      <c r="F189" s="39"/>
      <c r="G189" s="39"/>
      <c r="H189" s="39"/>
      <c r="I189" s="39"/>
      <c r="J189" s="201"/>
      <c r="K189" s="40">
        <f t="shared" si="9"/>
        <v>-8.983799999999993</v>
      </c>
      <c r="L189" s="40">
        <f t="shared" si="9"/>
        <v>-8.983799999999993</v>
      </c>
      <c r="M189" s="40">
        <f t="shared" si="9"/>
        <v>-8.983799999999993</v>
      </c>
      <c r="N189" s="40">
        <f t="shared" si="9"/>
        <v>-8.983799999999993</v>
      </c>
      <c r="O189" s="40">
        <f t="shared" si="9"/>
        <v>-8.983799999999993</v>
      </c>
    </row>
    <row r="190" ht="24" customHeight="1">
      <c r="B190" s="206"/>
      <c r="J190" s="200"/>
    </row>
    <row r="191" ht="24" customHeight="1">
      <c r="B191" s="54" t="s">
        <v>236</v>
      </c>
      <c r="I191" s="204" t="s">
        <v>237</v>
      </c>
      <c r="J191" s="200"/>
    </row>
    <row r="192" ht="24" customHeight="1">
      <c r="B192" s="80" t="s">
        <v>185</v>
      </c>
      <c r="I192" s="81">
        <f t="shared" si="67" ref="I192:I194">L44</f>
        <v>1</v>
      </c>
      <c r="J192" s="200"/>
      <c r="K192" s="51">
        <f t="shared" si="66" ref="K192:O192">-MIN(K$167,J180)*$I192</f>
        <v>0</v>
      </c>
      <c r="L192" s="51">
        <f t="shared" si="66"/>
        <v>0</v>
      </c>
      <c r="M192" s="51">
        <f t="shared" si="66"/>
        <v>0</v>
      </c>
      <c r="N192" s="51">
        <f t="shared" si="66"/>
        <v>0</v>
      </c>
      <c r="O192" s="51">
        <f t="shared" si="66"/>
        <v>0</v>
      </c>
    </row>
    <row r="193" ht="24" customHeight="1">
      <c r="B193" s="80" t="s">
        <v>186</v>
      </c>
      <c r="I193" s="81">
        <f t="shared" si="67"/>
        <v>1</v>
      </c>
      <c r="J193" s="200"/>
      <c r="K193" s="58">
        <f t="shared" si="68" ref="K193:O193">-MIN(SUM(J181,K187),SUM(K$167,K192)*$I193)</f>
        <v>-47.785795976026144</v>
      </c>
      <c r="L193" s="58">
        <f t="shared" si="68"/>
        <v>-8.784199901023436</v>
      </c>
      <c r="M193" s="58">
        <f t="shared" si="68"/>
        <v>-15.073368052704888</v>
      </c>
      <c r="N193" s="58">
        <f t="shared" si="68"/>
        <v>-22.386269603368383</v>
      </c>
      <c r="O193" s="58">
        <f t="shared" si="68"/>
        <v>-31.075271256665523</v>
      </c>
    </row>
    <row r="194" ht="24" customHeight="1">
      <c r="B194" s="80" t="s">
        <v>164</v>
      </c>
      <c r="I194" s="81">
        <f t="shared" si="67"/>
        <v>1</v>
      </c>
      <c r="J194" s="200"/>
      <c r="K194" s="58">
        <f t="shared" si="69" ref="K194:O194">-MIN(SUM(J182,K188),SUM(K$167,K$192:K193)*$I194)</f>
        <v>0</v>
      </c>
      <c r="L194" s="58">
        <f t="shared" si="69"/>
        <v>0</v>
      </c>
      <c r="M194" s="58">
        <f t="shared" si="69"/>
        <v>0</v>
      </c>
      <c r="N194" s="58">
        <f t="shared" si="69"/>
        <v>0</v>
      </c>
      <c r="O194" s="58">
        <f t="shared" si="69"/>
        <v>0</v>
      </c>
    </row>
    <row r="195" ht="24" customHeight="1">
      <c r="B195" s="116" t="s">
        <v>238</v>
      </c>
      <c r="C195" s="39"/>
      <c r="D195" s="39"/>
      <c r="E195" s="39"/>
      <c r="F195" s="39"/>
      <c r="G195" s="39"/>
      <c r="H195" s="39"/>
      <c r="I195" s="39"/>
      <c r="J195" s="201"/>
      <c r="K195" s="40">
        <f t="shared" si="9"/>
        <v>-47.785795976026144</v>
      </c>
      <c r="L195" s="40">
        <f t="shared" si="9"/>
        <v>-8.784199901023436</v>
      </c>
      <c r="M195" s="40">
        <f t="shared" si="9"/>
        <v>-15.073368052704888</v>
      </c>
      <c r="N195" s="40">
        <f t="shared" si="9"/>
        <v>-22.386269603368383</v>
      </c>
      <c r="O195" s="40">
        <f t="shared" si="9"/>
        <v>-31.075271256665523</v>
      </c>
    </row>
    <row r="196" ht="24" customHeight="1">
      <c r="B196" s="206"/>
      <c r="J196" s="200"/>
    </row>
    <row r="197" ht="24" customHeight="1">
      <c r="B197" s="207" t="s">
        <v>239</v>
      </c>
      <c r="J197" s="200"/>
    </row>
    <row r="198" ht="6" customHeight="1">
      <c r="B198" s="206"/>
      <c r="J198" s="200"/>
    </row>
    <row r="199" ht="24" customHeight="1">
      <c r="B199" s="80" t="s">
        <v>240</v>
      </c>
      <c r="J199" s="200"/>
      <c r="K199" s="208">
        <f>1-0.97335</f>
        <v>0.02664999999999995</v>
      </c>
      <c r="L199" s="208">
        <f t="shared" si="70" ref="L199:M199">1-0.97515</f>
        <v>0.02485000000000004</v>
      </c>
      <c r="M199" s="208">
        <f t="shared" si="70"/>
        <v>0.02485000000000004</v>
      </c>
      <c r="N199" s="208">
        <f>1-0.9742</f>
        <v>0.025800000000000045</v>
      </c>
      <c r="O199" s="208">
        <f>1-0.973</f>
        <v>0.027000000000000024</v>
      </c>
    </row>
    <row r="200" ht="24" customHeight="1">
      <c r="B200" s="206"/>
      <c r="F200" s="21"/>
      <c r="G200" s="204" t="s">
        <v>241</v>
      </c>
      <c r="H200" s="204" t="s">
        <v>175</v>
      </c>
      <c r="I200" s="204" t="s">
        <v>242</v>
      </c>
      <c r="J200" s="200"/>
    </row>
    <row r="201" ht="24" customHeight="1">
      <c r="B201" s="80" t="s">
        <v>243</v>
      </c>
      <c r="G201" s="51">
        <f>$H$49</f>
        <v>50</v>
      </c>
      <c r="I201" s="205">
        <f>$I$44</f>
        <v>0.0075</v>
      </c>
      <c r="J201" s="200"/>
      <c r="K201" s="51">
        <f t="shared" si="71" ref="K201:O201">-($G201-AVERAGE(J180:K180))*$I201</f>
        <v>-0.375</v>
      </c>
      <c r="L201" s="51">
        <f t="shared" si="71"/>
        <v>-0.375</v>
      </c>
      <c r="M201" s="51">
        <f t="shared" si="71"/>
        <v>-0.375</v>
      </c>
      <c r="N201" s="51">
        <f t="shared" si="71"/>
        <v>-0.375</v>
      </c>
      <c r="O201" s="51">
        <f t="shared" si="71"/>
        <v>-0.375</v>
      </c>
    </row>
    <row r="202" ht="24" customHeight="1">
      <c r="B202" s="80" t="s">
        <v>244</v>
      </c>
      <c r="H202" s="205">
        <f t="shared" si="72" ref="H202:I204">F44</f>
        <v>0.015</v>
      </c>
      <c r="I202" s="209">
        <f t="shared" si="72"/>
        <v>400</v>
      </c>
      <c r="J202" s="200"/>
      <c r="K202" s="58">
        <f t="shared" si="73" ref="K202:O204">-SUM(MAX($H202,K$199),$I202/10^4)*AVERAGE(J180:K180)</f>
        <v>0</v>
      </c>
      <c r="L202" s="58">
        <f t="shared" si="73"/>
        <v>0</v>
      </c>
      <c r="M202" s="58">
        <f t="shared" si="73"/>
        <v>0</v>
      </c>
      <c r="N202" s="58">
        <f t="shared" si="73"/>
        <v>0</v>
      </c>
      <c r="O202" s="58">
        <f t="shared" si="73"/>
        <v>0</v>
      </c>
    </row>
    <row r="203" ht="24" customHeight="1">
      <c r="B203" s="80" t="s">
        <v>245</v>
      </c>
      <c r="H203" s="205">
        <f t="shared" si="72"/>
        <v>0.015</v>
      </c>
      <c r="I203" s="209">
        <f t="shared" si="72"/>
        <v>400</v>
      </c>
      <c r="J203" s="200"/>
      <c r="K203" s="58">
        <f t="shared" si="73"/>
        <v>-10.083558614098914</v>
      </c>
      <c r="L203" s="58">
        <f t="shared" si="73"/>
        <v>-7.394352904164017</v>
      </c>
      <c r="M203" s="58">
        <f t="shared" si="73"/>
        <v>-6.038171833264374</v>
      </c>
      <c r="N203" s="58">
        <f t="shared" si="73"/>
        <v>-4.303070043471332</v>
      </c>
      <c r="O203" s="58">
        <f t="shared" si="73"/>
        <v>-1.9886692661824676</v>
      </c>
    </row>
    <row r="204" ht="24" customHeight="1">
      <c r="B204" s="80" t="s">
        <v>246</v>
      </c>
      <c r="H204" s="210" t="str">
        <f t="shared" si="72"/>
        <v>N/A</v>
      </c>
      <c r="I204" s="209">
        <f t="shared" si="72"/>
        <v>750</v>
      </c>
      <c r="J204" s="200"/>
      <c r="K204" s="58">
        <f t="shared" si="73"/>
        <v>-12.176043599999984</v>
      </c>
      <c r="L204" s="58">
        <f t="shared" si="73"/>
        <v>-11.960432399999995</v>
      </c>
      <c r="M204" s="58">
        <f t="shared" si="73"/>
        <v>-11.960432399999995</v>
      </c>
      <c r="N204" s="58">
        <f t="shared" si="73"/>
        <v>-12.074227199999996</v>
      </c>
      <c r="O204" s="58">
        <f t="shared" si="73"/>
        <v>-12.217967999999994</v>
      </c>
    </row>
    <row r="205" ht="24" customHeight="1">
      <c r="B205" s="116" t="s">
        <v>247</v>
      </c>
      <c r="C205" s="39"/>
      <c r="D205" s="39"/>
      <c r="E205" s="39"/>
      <c r="F205" s="39"/>
      <c r="G205" s="39"/>
      <c r="H205" s="39"/>
      <c r="I205" s="39"/>
      <c r="J205" s="201"/>
      <c r="K205" s="40">
        <f t="shared" si="74" ref="K205:O286">SUM(K201:K204)</f>
        <v>-22.634602214098898</v>
      </c>
      <c r="L205" s="40">
        <f t="shared" si="74"/>
        <v>-19.72978530416401</v>
      </c>
      <c r="M205" s="40">
        <f t="shared" si="74"/>
        <v>-18.37360423326437</v>
      </c>
      <c r="N205" s="40">
        <f t="shared" si="74"/>
        <v>-16.75229724347133</v>
      </c>
      <c r="O205" s="40">
        <f t="shared" si="74"/>
        <v>-14.581637266182462</v>
      </c>
    </row>
    <row r="206" ht="24" customHeight="1">
      <c r="B206" s="80" t="s">
        <v>248</v>
      </c>
      <c r="I206" s="208">
        <v>0.01</v>
      </c>
      <c r="J206" s="200"/>
      <c r="K206" s="58">
        <f t="shared" si="75" ref="K206:O206">$I206*AVERAGE(J123:K123)</f>
        <v>0.11006999999999996</v>
      </c>
      <c r="L206" s="58">
        <f t="shared" si="75"/>
        <v>0</v>
      </c>
      <c r="M206" s="58">
        <f t="shared" si="75"/>
        <v>0</v>
      </c>
      <c r="N206" s="58">
        <f t="shared" si="75"/>
        <v>0</v>
      </c>
      <c r="O206" s="58">
        <f t="shared" si="75"/>
        <v>0</v>
      </c>
    </row>
    <row r="207" ht="24" customHeight="1">
      <c r="B207" s="116" t="s">
        <v>249</v>
      </c>
      <c r="C207" s="39"/>
      <c r="D207" s="39"/>
      <c r="E207" s="39"/>
      <c r="F207" s="39"/>
      <c r="G207" s="39"/>
      <c r="H207" s="39"/>
      <c r="I207" s="39"/>
      <c r="J207" s="201"/>
      <c r="K207" s="40">
        <f t="shared" si="14"/>
        <v>-22.524532214098897</v>
      </c>
      <c r="L207" s="40">
        <f t="shared" si="14"/>
        <v>-19.72978530416401</v>
      </c>
      <c r="M207" s="40">
        <f t="shared" si="14"/>
        <v>-18.37360423326437</v>
      </c>
      <c r="N207" s="40">
        <f t="shared" si="14"/>
        <v>-16.75229724347133</v>
      </c>
      <c r="O207" s="40">
        <f t="shared" si="14"/>
        <v>-14.581637266182462</v>
      </c>
    </row>
    <row r="208" ht="24" customHeight="1">
      <c r="B208" s="206"/>
      <c r="J208" s="198"/>
    </row>
    <row r="209" ht="24" customHeight="1">
      <c r="A209" s="25" t="s">
        <v>5</v>
      </c>
      <c r="B209" s="28" t="s">
        <v>250</v>
      </c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5" t="s">
        <v>5</v>
      </c>
    </row>
    <row r="210" ht="6" customHeight="1">
      <c r="B210" s="206"/>
      <c r="J210" s="198"/>
    </row>
    <row r="211" ht="24" customHeight="1">
      <c r="B211" s="206"/>
      <c r="J211" s="200"/>
      <c r="K211" s="145" t="s">
        <v>192</v>
      </c>
      <c r="L211" s="145"/>
      <c r="M211" s="145"/>
      <c r="N211" s="145"/>
      <c r="O211" s="145"/>
    </row>
    <row r="212" ht="24" customHeight="1">
      <c r="B212" s="206"/>
      <c r="J212" s="150">
        <v>43465</v>
      </c>
      <c r="K212" s="29">
        <f t="shared" si="10"/>
        <v>43830</v>
      </c>
      <c r="L212" s="29">
        <f t="shared" si="10"/>
        <v>44196</v>
      </c>
      <c r="M212" s="29">
        <f t="shared" si="10"/>
        <v>44561</v>
      </c>
      <c r="N212" s="29">
        <f t="shared" si="10"/>
        <v>44926</v>
      </c>
      <c r="O212" s="29">
        <f t="shared" si="10"/>
        <v>45291</v>
      </c>
    </row>
    <row r="213" ht="24" customHeight="1">
      <c r="B213" s="78"/>
      <c r="C213" s="78"/>
      <c r="D213" s="78"/>
      <c r="E213" s="78"/>
      <c r="F213" s="78"/>
      <c r="G213" s="78"/>
      <c r="H213" s="78"/>
      <c r="I213" s="78"/>
      <c r="J213" s="153">
        <f t="shared" si="11"/>
        <v>2018</v>
      </c>
      <c r="K213" s="78">
        <f t="shared" si="11"/>
        <v>2019</v>
      </c>
      <c r="L213" s="78">
        <f t="shared" si="11"/>
        <v>2020</v>
      </c>
      <c r="M213" s="78">
        <f t="shared" si="11"/>
        <v>2021</v>
      </c>
      <c r="N213" s="78">
        <f t="shared" si="11"/>
        <v>2022</v>
      </c>
      <c r="O213" s="78">
        <f t="shared" si="11"/>
        <v>2023</v>
      </c>
    </row>
    <row r="214" ht="6" customHeight="1">
      <c r="B214" s="211"/>
      <c r="C214" s="211"/>
      <c r="D214" s="211"/>
      <c r="E214" s="211"/>
      <c r="F214" s="211"/>
      <c r="G214" s="211"/>
      <c r="H214" s="211"/>
      <c r="I214" s="211"/>
      <c r="J214" s="212"/>
      <c r="K214" s="211"/>
      <c r="L214" s="211"/>
      <c r="M214" s="211"/>
      <c r="N214" s="211"/>
      <c r="O214" s="211"/>
    </row>
    <row r="215" ht="24" customHeight="1">
      <c r="B215" s="80" t="s">
        <v>19</v>
      </c>
      <c r="J215" s="177">
        <f t="shared" si="76" ref="J215:O215">J69</f>
        <v>119.7839999999999</v>
      </c>
      <c r="K215" s="51">
        <f t="shared" si="76"/>
        <v>143.56298699999996</v>
      </c>
      <c r="L215" s="51">
        <f t="shared" si="76"/>
        <v>162.08092869999996</v>
      </c>
      <c r="M215" s="51">
        <f t="shared" si="76"/>
        <v>183.07491101999994</v>
      </c>
      <c r="N215" s="51">
        <f t="shared" si="76"/>
        <v>206.88617498950006</v>
      </c>
      <c r="O215" s="51">
        <f t="shared" si="76"/>
        <v>233.9041312860749</v>
      </c>
    </row>
    <row r="216" ht="24" customHeight="1">
      <c r="B216" s="80" t="s">
        <v>251</v>
      </c>
      <c r="J216" s="178">
        <f t="shared" si="77" ref="J216:O285">J101</f>
        <v>-63.662</v>
      </c>
      <c r="K216" s="58">
        <f t="shared" si="77"/>
        <v>-74.902428</v>
      </c>
      <c r="L216" s="58">
        <f t="shared" si="77"/>
        <v>-84.5639628</v>
      </c>
      <c r="M216" s="58">
        <f t="shared" si="77"/>
        <v>-95.51734487999998</v>
      </c>
      <c r="N216" s="58">
        <f t="shared" si="77"/>
        <v>-107.940613038</v>
      </c>
      <c r="O216" s="58">
        <f t="shared" si="77"/>
        <v>-122.03693806229997</v>
      </c>
    </row>
    <row r="217" ht="24" customHeight="1">
      <c r="B217" s="80" t="s">
        <v>252</v>
      </c>
      <c r="J217" s="178">
        <f t="shared" si="78" ref="J217:O217">J98</f>
        <v>-49.90300000000002</v>
      </c>
      <c r="K217" s="58">
        <f t="shared" si="78"/>
        <v>2.2405122851643</v>
      </c>
      <c r="L217" s="58">
        <f t="shared" si="78"/>
        <v>-25.22010794148696</v>
      </c>
      <c r="M217" s="58">
        <f t="shared" si="78"/>
        <v>-28.592297611136217</v>
      </c>
      <c r="N217" s="58">
        <f t="shared" si="78"/>
        <v>-32.42923307907532</v>
      </c>
      <c r="O217" s="58">
        <f t="shared" si="78"/>
        <v>-36.79651794983249</v>
      </c>
    </row>
    <row r="218" ht="24" customHeight="1">
      <c r="B218" s="116" t="s">
        <v>253</v>
      </c>
      <c r="C218" s="39"/>
      <c r="D218" s="39"/>
      <c r="E218" s="39"/>
      <c r="F218" s="39"/>
      <c r="G218" s="39"/>
      <c r="H218" s="39"/>
      <c r="I218" s="39"/>
      <c r="J218" s="167">
        <f t="shared" si="9"/>
        <v>6.2189999999998875</v>
      </c>
      <c r="K218" s="40">
        <f t="shared" si="9"/>
        <v>70.90107128516426</v>
      </c>
      <c r="L218" s="40">
        <f t="shared" si="9"/>
        <v>52.296857958513</v>
      </c>
      <c r="M218" s="40">
        <f t="shared" si="9"/>
        <v>58.965268528863746</v>
      </c>
      <c r="N218" s="40">
        <f t="shared" si="9"/>
        <v>66.51632887242475</v>
      </c>
      <c r="O218" s="40">
        <f t="shared" si="9"/>
        <v>75.07067527394243</v>
      </c>
    </row>
    <row r="219" ht="24" customHeight="1">
      <c r="B219" s="206"/>
      <c r="J219" s="200"/>
    </row>
    <row r="220" ht="24" customHeight="1">
      <c r="B220" s="80" t="s">
        <v>254</v>
      </c>
      <c r="J220" s="200"/>
      <c r="K220" s="51">
        <f t="shared" si="79" ref="K220:O220">-K189</f>
        <v>8.983799999999993</v>
      </c>
      <c r="L220" s="51">
        <f t="shared" si="79"/>
        <v>8.983799999999993</v>
      </c>
      <c r="M220" s="51">
        <f t="shared" si="79"/>
        <v>8.983799999999993</v>
      </c>
      <c r="N220" s="51">
        <f t="shared" si="79"/>
        <v>8.983799999999993</v>
      </c>
      <c r="O220" s="51">
        <f t="shared" si="79"/>
        <v>8.983799999999993</v>
      </c>
    </row>
    <row r="221" ht="24" customHeight="1">
      <c r="B221" s="80" t="s">
        <v>255</v>
      </c>
      <c r="J221" s="200"/>
      <c r="K221" s="58">
        <f t="shared" si="80" ref="K221:O221">-K207</f>
        <v>22.524532214098897</v>
      </c>
      <c r="L221" s="58">
        <f t="shared" si="80"/>
        <v>19.72978530416401</v>
      </c>
      <c r="M221" s="58">
        <f t="shared" si="80"/>
        <v>18.37360423326437</v>
      </c>
      <c r="N221" s="58">
        <f t="shared" si="80"/>
        <v>16.75229724347133</v>
      </c>
      <c r="O221" s="58">
        <f t="shared" si="80"/>
        <v>14.581637266182462</v>
      </c>
    </row>
    <row r="222" ht="24" customHeight="1">
      <c r="B222" s="116" t="s">
        <v>256</v>
      </c>
      <c r="C222" s="39"/>
      <c r="D222" s="39"/>
      <c r="E222" s="39"/>
      <c r="F222" s="39"/>
      <c r="G222" s="39"/>
      <c r="H222" s="39"/>
      <c r="I222" s="39"/>
      <c r="J222" s="201"/>
      <c r="K222" s="40">
        <f t="shared" si="14"/>
        <v>31.508332214098893</v>
      </c>
      <c r="L222" s="40">
        <f t="shared" si="14"/>
        <v>28.713585304164006</v>
      </c>
      <c r="M222" s="40">
        <f t="shared" si="14"/>
        <v>27.35740423326436</v>
      </c>
      <c r="N222" s="40">
        <f t="shared" si="14"/>
        <v>25.73609724347132</v>
      </c>
      <c r="O222" s="40">
        <f t="shared" si="14"/>
        <v>23.565437266182457</v>
      </c>
    </row>
    <row r="223" ht="24" customHeight="1">
      <c r="B223" s="80"/>
      <c r="J223" s="200"/>
    </row>
    <row r="224" ht="24" customHeight="1">
      <c r="B224" s="213" t="s">
        <v>257</v>
      </c>
      <c r="C224" s="214"/>
      <c r="D224" s="214"/>
      <c r="E224" s="214"/>
      <c r="F224" s="215" t="s">
        <v>258</v>
      </c>
      <c r="G224" s="215" t="s">
        <v>259</v>
      </c>
      <c r="H224" s="215" t="s">
        <v>260</v>
      </c>
      <c r="I224" s="214"/>
      <c r="J224" s="216"/>
      <c r="K224" s="214"/>
      <c r="L224" s="214"/>
      <c r="M224" s="214"/>
      <c r="N224" s="214"/>
      <c r="O224" s="217"/>
    </row>
    <row r="225" ht="6" customHeight="1">
      <c r="B225" s="218"/>
      <c r="C225" s="219"/>
      <c r="D225" s="219"/>
      <c r="E225" s="219"/>
      <c r="F225" s="220"/>
      <c r="G225" s="220"/>
      <c r="H225" s="220"/>
      <c r="I225" s="219"/>
      <c r="J225" s="221"/>
      <c r="K225" s="219"/>
      <c r="L225" s="219"/>
      <c r="M225" s="219"/>
      <c r="N225" s="219"/>
      <c r="O225" s="222"/>
    </row>
    <row r="226" ht="24" customHeight="1">
      <c r="B226" s="223" t="s">
        <v>261</v>
      </c>
      <c r="C226" s="219"/>
      <c r="D226" s="219"/>
      <c r="E226" s="219"/>
      <c r="F226" s="224">
        <f>MIN($K$226:$O$226)</f>
        <v>1.821328037043461</v>
      </c>
      <c r="G226" s="224">
        <f>MAX($K$226:$O$226)</f>
        <v>3.1856262383754905</v>
      </c>
      <c r="H226" s="224">
        <f>AVERAGE($K$226:$O$226)</f>
        <v>2.3994216730472533</v>
      </c>
      <c r="I226" s="219"/>
      <c r="J226" s="221"/>
      <c r="K226" s="225">
        <f t="shared" si="81" ref="K226:O226">K218/K222</f>
        <v>2.2502324402127027</v>
      </c>
      <c r="L226" s="225">
        <f t="shared" si="81"/>
        <v>1.821328037043461</v>
      </c>
      <c r="M226" s="225">
        <f t="shared" si="81"/>
        <v>2.1553678128996907</v>
      </c>
      <c r="N226" s="225">
        <f t="shared" si="81"/>
        <v>2.5845538367049214</v>
      </c>
      <c r="O226" s="226">
        <f t="shared" si="81"/>
        <v>3.1856262383754905</v>
      </c>
    </row>
    <row r="227" ht="24" customHeight="1">
      <c r="B227" s="223" t="s">
        <v>262</v>
      </c>
      <c r="C227" s="219"/>
      <c r="D227" s="219"/>
      <c r="E227" s="219"/>
      <c r="F227" s="224">
        <f>MIN($J$227:$O$227)</f>
        <v>0.5533724201386827</v>
      </c>
      <c r="G227" s="224">
        <f>MAX($J$227:$O$227)</f>
        <v>2.5000000000000004</v>
      </c>
      <c r="H227" s="224">
        <f>AVERAGE($J$227:$O$227)</f>
        <v>1.3413353722236396</v>
      </c>
      <c r="I227" s="224"/>
      <c r="J227" s="227">
        <f t="shared" si="82" ref="J227:O227">J183/J215</f>
        <v>2.5000000000000004</v>
      </c>
      <c r="K227" s="225">
        <f t="shared" si="82"/>
        <v>1.690480318746598</v>
      </c>
      <c r="L227" s="225">
        <f t="shared" si="82"/>
        <v>1.3877166544329544</v>
      </c>
      <c r="M227" s="225">
        <f t="shared" si="82"/>
        <v>1.0971751123686297</v>
      </c>
      <c r="N227" s="225">
        <f t="shared" si="82"/>
        <v>0.8192677276549736</v>
      </c>
      <c r="O227" s="226">
        <f t="shared" si="82"/>
        <v>0.5533724201386827</v>
      </c>
    </row>
    <row r="228" ht="24" customHeight="1">
      <c r="B228" s="223" t="s">
        <v>263</v>
      </c>
      <c r="C228" s="219"/>
      <c r="D228" s="219"/>
      <c r="E228" s="219"/>
      <c r="F228" s="219"/>
      <c r="G228" s="228">
        <f>O228</f>
        <v>0.5677683322974303</v>
      </c>
      <c r="H228" s="224"/>
      <c r="I228" s="224"/>
      <c r="J228" s="227"/>
      <c r="K228" s="229">
        <f t="shared" si="83" ref="K228:O228">-SUM($K$189:K189,$K$195:K195)/$J$183</f>
        <v>0.18957321837983762</v>
      </c>
      <c r="L228" s="229">
        <f t="shared" si="83"/>
        <v>0.24890668495642027</v>
      </c>
      <c r="M228" s="229">
        <f t="shared" si="83"/>
        <v>0.3292418484263492</v>
      </c>
      <c r="N228" s="229">
        <f t="shared" si="83"/>
        <v>0.4339973069295496</v>
      </c>
      <c r="O228" s="230">
        <f t="shared" si="83"/>
        <v>0.5677683322974303</v>
      </c>
    </row>
    <row r="229" ht="24" customHeight="1">
      <c r="B229" s="231" t="s">
        <v>264</v>
      </c>
      <c r="C229" s="232"/>
      <c r="D229" s="232"/>
      <c r="E229" s="232"/>
      <c r="F229" s="233">
        <f>MIN($K$229:$O$229)</f>
        <v>6.373627902032027</v>
      </c>
      <c r="G229" s="233">
        <f>MAX($K$229:$O$229)</f>
        <v>16.04100602807767</v>
      </c>
      <c r="H229" s="232"/>
      <c r="I229" s="232"/>
      <c r="J229" s="234"/>
      <c r="K229" s="235">
        <f t="shared" si="84" ref="K229:O229">K215/K221</f>
        <v>6.373627902032027</v>
      </c>
      <c r="L229" s="235">
        <f t="shared" si="84"/>
        <v>8.215037629719795</v>
      </c>
      <c r="M229" s="235">
        <f t="shared" si="84"/>
        <v>9.96401733137112</v>
      </c>
      <c r="N229" s="235">
        <f t="shared" si="84"/>
        <v>12.349719682184324</v>
      </c>
      <c r="O229" s="236">
        <f t="shared" si="84"/>
        <v>16.04100602807767</v>
      </c>
    </row>
    <row r="230" ht="24" customHeight="1">
      <c r="B230" s="80"/>
      <c r="J230" s="198"/>
    </row>
    <row r="231" ht="24" customHeight="1">
      <c r="A231" s="25" t="s">
        <v>5</v>
      </c>
      <c r="B231" s="28" t="s">
        <v>265</v>
      </c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5" t="s">
        <v>5</v>
      </c>
    </row>
    <row r="232" ht="6" customHeight="1">
      <c r="B232" s="80"/>
      <c r="J232" s="198"/>
    </row>
    <row r="233" ht="24" customHeight="1">
      <c r="B233" s="80"/>
      <c r="J233" s="200"/>
      <c r="K233" s="145" t="s">
        <v>192</v>
      </c>
      <c r="L233" s="145"/>
      <c r="M233" s="145"/>
      <c r="N233" s="145"/>
      <c r="O233" s="145"/>
    </row>
    <row r="234" ht="24" customHeight="1">
      <c r="B234" s="80"/>
      <c r="J234" s="200"/>
      <c r="K234" s="29">
        <v>43830</v>
      </c>
      <c r="L234" s="29">
        <f t="shared" si="10"/>
        <v>44196</v>
      </c>
      <c r="M234" s="29">
        <f t="shared" si="10"/>
        <v>44561</v>
      </c>
      <c r="N234" s="29">
        <f t="shared" si="10"/>
        <v>44926</v>
      </c>
      <c r="O234" s="29">
        <f t="shared" si="10"/>
        <v>45291</v>
      </c>
    </row>
    <row r="235" ht="24" customHeight="1">
      <c r="B235" s="78"/>
      <c r="C235" s="78"/>
      <c r="D235" s="78"/>
      <c r="E235" s="78"/>
      <c r="F235" s="78"/>
      <c r="G235" s="78"/>
      <c r="H235" s="78"/>
      <c r="I235" s="78"/>
      <c r="J235" s="153"/>
      <c r="K235" s="78">
        <f t="shared" si="11"/>
        <v>2019</v>
      </c>
      <c r="L235" s="78">
        <f t="shared" si="11"/>
        <v>2020</v>
      </c>
      <c r="M235" s="78">
        <f t="shared" si="11"/>
        <v>2021</v>
      </c>
      <c r="N235" s="78">
        <f t="shared" si="11"/>
        <v>2022</v>
      </c>
      <c r="O235" s="78">
        <f t="shared" si="11"/>
        <v>2023</v>
      </c>
    </row>
    <row r="236" ht="6" customHeight="1">
      <c r="B236" s="80"/>
      <c r="J236" s="200"/>
    </row>
    <row r="237" ht="24" customHeight="1">
      <c r="B237" s="80" t="s">
        <v>266</v>
      </c>
      <c r="J237" s="200"/>
      <c r="K237" s="51">
        <f t="shared" si="85" ref="K237:O237">J123-K123</f>
        <v>22.013999999999992</v>
      </c>
      <c r="L237" s="51">
        <f t="shared" si="85"/>
        <v>0</v>
      </c>
      <c r="M237" s="51">
        <f t="shared" si="85"/>
        <v>0</v>
      </c>
      <c r="N237" s="51">
        <f t="shared" si="85"/>
        <v>0</v>
      </c>
      <c r="O237" s="51">
        <f t="shared" si="85"/>
        <v>0</v>
      </c>
    </row>
    <row r="238" ht="24" customHeight="1">
      <c r="B238" s="80" t="s">
        <v>267</v>
      </c>
      <c r="J238" s="200"/>
      <c r="K238" s="58">
        <f t="shared" si="86" ref="K238:O238">K183-J183</f>
        <v>-56.76959597602618</v>
      </c>
      <c r="L238" s="58">
        <f t="shared" si="86"/>
        <v>-17.767999901023444</v>
      </c>
      <c r="M238" s="58">
        <f t="shared" si="86"/>
        <v>-24.057168052704867</v>
      </c>
      <c r="N238" s="58">
        <f t="shared" si="86"/>
        <v>-31.370069603368364</v>
      </c>
      <c r="O238" s="58">
        <f t="shared" si="86"/>
        <v>-40.05907125666553</v>
      </c>
    </row>
    <row r="239" ht="24" customHeight="1">
      <c r="B239" s="237" t="s">
        <v>268</v>
      </c>
      <c r="C239" s="39"/>
      <c r="D239" s="39"/>
      <c r="E239" s="39"/>
      <c r="F239" s="39"/>
      <c r="G239" s="39"/>
      <c r="H239" s="39"/>
      <c r="I239" s="39"/>
      <c r="J239" s="201"/>
      <c r="K239" s="69">
        <f t="shared" si="14"/>
        <v>-34.755595976026186</v>
      </c>
      <c r="L239" s="69">
        <f t="shared" si="14"/>
        <v>-17.767999901023444</v>
      </c>
      <c r="M239" s="69">
        <f t="shared" si="14"/>
        <v>-24.057168052704867</v>
      </c>
      <c r="N239" s="69">
        <f t="shared" si="14"/>
        <v>-31.370069603368364</v>
      </c>
      <c r="O239" s="69">
        <f t="shared" si="14"/>
        <v>-40.05907125666553</v>
      </c>
    </row>
    <row r="240" ht="6" customHeight="1">
      <c r="B240" s="80"/>
      <c r="J240" s="200"/>
    </row>
    <row r="241" ht="24" customHeight="1">
      <c r="B241" s="80" t="s">
        <v>269</v>
      </c>
      <c r="J241" s="200"/>
      <c r="K241" s="51">
        <f t="shared" si="87" ref="K241:O241">K165</f>
        <v>34.75559597602614</v>
      </c>
      <c r="L241" s="51">
        <f t="shared" si="87"/>
        <v>17.76799990102343</v>
      </c>
      <c r="M241" s="51">
        <f t="shared" si="87"/>
        <v>24.05716805270488</v>
      </c>
      <c r="N241" s="51">
        <f t="shared" si="87"/>
        <v>31.37006960336838</v>
      </c>
      <c r="O241" s="51">
        <f t="shared" si="87"/>
        <v>40.05907125666552</v>
      </c>
    </row>
    <row r="242" ht="6" customHeight="1">
      <c r="B242" s="80"/>
      <c r="J242" s="200"/>
    </row>
    <row r="243" ht="24" customHeight="1">
      <c r="B243" s="43" t="s">
        <v>218</v>
      </c>
      <c r="J243" s="200"/>
      <c r="K243" s="23" t="str">
        <f t="shared" si="88" ref="K243:O243">IF(ABS(K239+K241)&lt;0.0001,"okay","check")</f>
        <v>okay</v>
      </c>
      <c r="L243" s="23" t="str">
        <f t="shared" si="88"/>
        <v>okay</v>
      </c>
      <c r="M243" s="23" t="str">
        <f t="shared" si="88"/>
        <v>okay</v>
      </c>
      <c r="N243" s="23" t="str">
        <f t="shared" si="88"/>
        <v>okay</v>
      </c>
      <c r="O243" s="23" t="str">
        <f t="shared" si="88"/>
        <v>okay</v>
      </c>
    </row>
    <row r="245" ht="24" customHeight="1">
      <c r="A245" s="25" t="s">
        <v>5</v>
      </c>
      <c r="B245" s="28" t="s">
        <v>270</v>
      </c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5" t="s">
        <v>5</v>
      </c>
    </row>
    <row r="246" ht="6" customHeight="1"/>
    <row r="247" ht="24" customHeight="1">
      <c r="F247" s="25"/>
      <c r="G247" s="25"/>
      <c r="H247" s="25"/>
      <c r="I247" s="25"/>
      <c r="J247" s="238"/>
      <c r="K247" s="147" t="s">
        <v>192</v>
      </c>
      <c r="L247" s="145"/>
      <c r="M247" s="145"/>
      <c r="N247" s="145"/>
      <c r="O247" s="145"/>
    </row>
    <row r="248" ht="24" customHeight="1">
      <c r="D248" s="30"/>
      <c r="E248" s="30"/>
      <c r="F248" s="29"/>
      <c r="G248" s="239" t="s">
        <v>271</v>
      </c>
      <c r="H248" s="239" t="s">
        <v>272</v>
      </c>
      <c r="I248" s="239" t="s">
        <v>273</v>
      </c>
      <c r="J248" s="240" t="s">
        <v>274</v>
      </c>
      <c r="K248" s="29">
        <v>43830</v>
      </c>
      <c r="L248" s="29">
        <f t="shared" si="10"/>
        <v>44196</v>
      </c>
      <c r="M248" s="29">
        <f t="shared" si="10"/>
        <v>44561</v>
      </c>
      <c r="N248" s="29">
        <f t="shared" si="10"/>
        <v>44926</v>
      </c>
      <c r="O248" s="29">
        <f t="shared" si="10"/>
        <v>45291</v>
      </c>
      <c r="P248" s="29"/>
    </row>
    <row r="249" ht="24" customHeight="1">
      <c r="B249" s="31"/>
      <c r="C249" s="31"/>
      <c r="D249" s="33"/>
      <c r="E249" s="33"/>
      <c r="F249" s="32"/>
      <c r="G249" s="241"/>
      <c r="H249" s="241"/>
      <c r="I249" s="241"/>
      <c r="J249" s="242"/>
      <c r="K249" s="78">
        <f t="shared" si="11"/>
        <v>2019</v>
      </c>
      <c r="L249" s="78">
        <f t="shared" si="11"/>
        <v>2020</v>
      </c>
      <c r="M249" s="78">
        <f t="shared" si="11"/>
        <v>2021</v>
      </c>
      <c r="N249" s="78">
        <f t="shared" si="11"/>
        <v>2022</v>
      </c>
      <c r="O249" s="78">
        <f t="shared" si="11"/>
        <v>2023</v>
      </c>
      <c r="P249" s="27"/>
    </row>
    <row r="250" ht="6" customHeight="1">
      <c r="J250" s="176"/>
    </row>
    <row r="251" ht="24" customHeight="1">
      <c r="B251" s="34" t="s">
        <v>185</v>
      </c>
      <c r="G251" s="51">
        <f t="shared" si="90" ref="G251:G253">E44</f>
        <v>0</v>
      </c>
      <c r="H251" s="51">
        <f t="shared" si="91" ref="H251:H253">PRODUCT(G251,J44)</f>
        <v>0</v>
      </c>
      <c r="I251" s="243">
        <f t="shared" si="92" ref="I251:I253">N44</f>
        <v>3</v>
      </c>
      <c r="J251" s="177">
        <f t="shared" si="93" ref="J251:J264">H251/I251</f>
        <v>0</v>
      </c>
      <c r="K251" s="51">
        <f t="shared" si="89" ref="K251:O253">(DAYS360($M44,K$248)/360&lt;=$I251)*$J251</f>
        <v>0</v>
      </c>
      <c r="L251" s="51">
        <f t="shared" si="89"/>
        <v>0</v>
      </c>
      <c r="M251" s="51">
        <f t="shared" si="89"/>
        <v>0</v>
      </c>
      <c r="N251" s="51">
        <f t="shared" si="89"/>
        <v>0</v>
      </c>
      <c r="O251" s="51">
        <f t="shared" si="89"/>
        <v>0</v>
      </c>
    </row>
    <row r="252" ht="24" customHeight="1">
      <c r="B252" s="34" t="s">
        <v>186</v>
      </c>
      <c r="G252" s="51">
        <f t="shared" si="90"/>
        <v>179.67599999999987</v>
      </c>
      <c r="H252" s="51">
        <f t="shared" si="91"/>
        <v>3.5935199999999976</v>
      </c>
      <c r="I252" s="243">
        <f t="shared" si="92"/>
        <v>6</v>
      </c>
      <c r="J252" s="177">
        <f t="shared" si="93"/>
        <v>0.5989199999999996</v>
      </c>
      <c r="K252" s="51">
        <f t="shared" si="89"/>
        <v>0.5989199999999996</v>
      </c>
      <c r="L252" s="51">
        <f t="shared" si="89"/>
        <v>0.5989199999999996</v>
      </c>
      <c r="M252" s="51">
        <f t="shared" si="89"/>
        <v>0.5989199999999996</v>
      </c>
      <c r="N252" s="51">
        <f t="shared" si="89"/>
        <v>0.5989199999999996</v>
      </c>
      <c r="O252" s="51">
        <f t="shared" si="89"/>
        <v>0.5989199999999996</v>
      </c>
    </row>
    <row r="253" ht="24" customHeight="1">
      <c r="B253" s="34" t="s">
        <v>164</v>
      </c>
      <c r="G253" s="51">
        <f t="shared" si="90"/>
        <v>119.7839999999999</v>
      </c>
      <c r="H253" s="51">
        <f t="shared" si="91"/>
        <v>2.3956799999999983</v>
      </c>
      <c r="I253" s="243">
        <f t="shared" si="92"/>
        <v>8</v>
      </c>
      <c r="J253" s="177">
        <f t="shared" si="93"/>
        <v>0.2994599999999998</v>
      </c>
      <c r="K253" s="51">
        <f t="shared" si="89"/>
        <v>0.2994599999999998</v>
      </c>
      <c r="L253" s="51">
        <f t="shared" si="89"/>
        <v>0.2994599999999998</v>
      </c>
      <c r="M253" s="51">
        <f t="shared" si="89"/>
        <v>0.2994599999999998</v>
      </c>
      <c r="N253" s="51">
        <f t="shared" si="89"/>
        <v>0.2994599999999998</v>
      </c>
      <c r="O253" s="51">
        <f t="shared" si="89"/>
        <v>0.2994599999999998</v>
      </c>
    </row>
    <row r="254" ht="24" customHeight="1">
      <c r="B254" s="38" t="s">
        <v>275</v>
      </c>
      <c r="C254" s="39"/>
      <c r="D254" s="39"/>
      <c r="E254" s="39"/>
      <c r="F254" s="39"/>
      <c r="G254" s="40">
        <f t="shared" si="9"/>
        <v>299.4599999999998</v>
      </c>
      <c r="H254" s="40">
        <f t="shared" si="9"/>
        <v>5.989199999999996</v>
      </c>
      <c r="I254" s="244">
        <f>SUMPRODUCT($G$251:$G$253,$I$251:$I$253)/SUM($G$251:$G$253)</f>
        <v>6.799999999999999</v>
      </c>
      <c r="J254" s="167">
        <f t="shared" si="9"/>
        <v>0.8983799999999993</v>
      </c>
      <c r="K254" s="40">
        <f t="shared" si="9"/>
        <v>0.8983799999999993</v>
      </c>
      <c r="L254" s="40">
        <f t="shared" si="9"/>
        <v>0.8983799999999993</v>
      </c>
      <c r="M254" s="40">
        <f t="shared" si="9"/>
        <v>0.8983799999999993</v>
      </c>
      <c r="N254" s="40">
        <f t="shared" si="9"/>
        <v>0.8983799999999993</v>
      </c>
      <c r="O254" s="40">
        <f t="shared" si="9"/>
        <v>0.8983799999999993</v>
      </c>
    </row>
    <row r="256" ht="24" customHeight="1">
      <c r="A256" s="25" t="s">
        <v>5</v>
      </c>
      <c r="B256" s="28" t="s">
        <v>217</v>
      </c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5" t="s">
        <v>5</v>
      </c>
    </row>
    <row r="257" ht="6" customHeight="1"/>
    <row r="258" ht="24" customHeight="1">
      <c r="F258" s="25"/>
      <c r="G258" s="25"/>
      <c r="H258" s="25"/>
      <c r="I258" s="25"/>
      <c r="J258" s="238"/>
      <c r="K258" s="147" t="s">
        <v>192</v>
      </c>
      <c r="L258" s="145"/>
      <c r="M258" s="145"/>
      <c r="N258" s="145"/>
      <c r="O258" s="145"/>
    </row>
    <row r="259" ht="24" customHeight="1">
      <c r="D259" s="30"/>
      <c r="E259" s="30"/>
      <c r="F259" s="29"/>
      <c r="G259" s="239" t="s">
        <v>271</v>
      </c>
      <c r="H259" s="239" t="s">
        <v>272</v>
      </c>
      <c r="I259" s="239" t="s">
        <v>273</v>
      </c>
      <c r="J259" s="240" t="s">
        <v>274</v>
      </c>
      <c r="K259" s="29">
        <v>43830</v>
      </c>
      <c r="L259" s="29">
        <f t="shared" si="10"/>
        <v>44196</v>
      </c>
      <c r="M259" s="29">
        <f t="shared" si="10"/>
        <v>44561</v>
      </c>
      <c r="N259" s="29">
        <f t="shared" si="10"/>
        <v>44926</v>
      </c>
      <c r="O259" s="29">
        <f t="shared" si="10"/>
        <v>45291</v>
      </c>
      <c r="P259" s="29"/>
    </row>
    <row r="260" ht="24" customHeight="1">
      <c r="B260" s="31"/>
      <c r="C260" s="31"/>
      <c r="D260" s="33"/>
      <c r="E260" s="33"/>
      <c r="F260" s="32"/>
      <c r="G260" s="241"/>
      <c r="H260" s="241"/>
      <c r="I260" s="241"/>
      <c r="J260" s="242"/>
      <c r="K260" s="78">
        <f t="shared" si="11"/>
        <v>2019</v>
      </c>
      <c r="L260" s="78">
        <f t="shared" si="11"/>
        <v>2020</v>
      </c>
      <c r="M260" s="78">
        <f t="shared" si="11"/>
        <v>2021</v>
      </c>
      <c r="N260" s="78">
        <f t="shared" si="11"/>
        <v>2022</v>
      </c>
      <c r="O260" s="78">
        <f t="shared" si="11"/>
        <v>2023</v>
      </c>
      <c r="P260" s="27"/>
    </row>
    <row r="261" ht="6" customHeight="1">
      <c r="J261" s="176"/>
    </row>
    <row r="262" ht="24" customHeight="1">
      <c r="B262" s="34" t="s">
        <v>185</v>
      </c>
      <c r="G262" s="51">
        <f t="shared" si="95" ref="G262:G264">E44</f>
        <v>0</v>
      </c>
      <c r="H262" s="51">
        <f t="shared" si="96" ref="H262:H264">PRODUCT(G262,1-H44)</f>
        <v>0</v>
      </c>
      <c r="I262" s="243">
        <f t="shared" si="97" ref="I262:I264">N44</f>
        <v>3</v>
      </c>
      <c r="J262" s="177">
        <f t="shared" si="93"/>
        <v>0</v>
      </c>
      <c r="K262" s="51">
        <f t="shared" si="94" ref="K262:O264">(DAYS360($M44,K$259)/360&lt;=$I262)*$J262</f>
        <v>0</v>
      </c>
      <c r="L262" s="51">
        <f t="shared" si="94"/>
        <v>0</v>
      </c>
      <c r="M262" s="51">
        <f t="shared" si="94"/>
        <v>0</v>
      </c>
      <c r="N262" s="51">
        <f t="shared" si="94"/>
        <v>0</v>
      </c>
      <c r="O262" s="51">
        <f t="shared" si="94"/>
        <v>0</v>
      </c>
    </row>
    <row r="263" ht="24" customHeight="1">
      <c r="B263" s="34" t="s">
        <v>186</v>
      </c>
      <c r="G263" s="51">
        <f t="shared" si="95"/>
        <v>179.67599999999987</v>
      </c>
      <c r="H263" s="51">
        <f t="shared" si="96"/>
        <v>1.7967600000000004</v>
      </c>
      <c r="I263" s="243">
        <f t="shared" si="97"/>
        <v>6</v>
      </c>
      <c r="J263" s="177">
        <f t="shared" si="93"/>
        <v>0.29946000000000006</v>
      </c>
      <c r="K263" s="51">
        <f t="shared" si="94"/>
        <v>0.29946000000000006</v>
      </c>
      <c r="L263" s="51">
        <f t="shared" si="94"/>
        <v>0.29946000000000006</v>
      </c>
      <c r="M263" s="51">
        <f t="shared" si="94"/>
        <v>0.29946000000000006</v>
      </c>
      <c r="N263" s="51">
        <f t="shared" si="94"/>
        <v>0.29946000000000006</v>
      </c>
      <c r="O263" s="51">
        <f t="shared" si="94"/>
        <v>0.29946000000000006</v>
      </c>
    </row>
    <row r="264" ht="24" customHeight="1">
      <c r="B264" s="34" t="s">
        <v>164</v>
      </c>
      <c r="G264" s="51">
        <f t="shared" si="95"/>
        <v>119.7839999999999</v>
      </c>
      <c r="H264" s="51">
        <f t="shared" si="96"/>
        <v>1.1978400000000002</v>
      </c>
      <c r="I264" s="243">
        <f t="shared" si="97"/>
        <v>8</v>
      </c>
      <c r="J264" s="177">
        <f t="shared" si="93"/>
        <v>0.14973000000000003</v>
      </c>
      <c r="K264" s="51">
        <f t="shared" si="94"/>
        <v>0.14973000000000003</v>
      </c>
      <c r="L264" s="51">
        <f t="shared" si="94"/>
        <v>0.14973000000000003</v>
      </c>
      <c r="M264" s="51">
        <f t="shared" si="94"/>
        <v>0.14973000000000003</v>
      </c>
      <c r="N264" s="51">
        <f t="shared" si="94"/>
        <v>0.14973000000000003</v>
      </c>
      <c r="O264" s="51">
        <f t="shared" si="94"/>
        <v>0.14973000000000003</v>
      </c>
    </row>
    <row r="265" ht="24" customHeight="1">
      <c r="B265" s="38" t="s">
        <v>275</v>
      </c>
      <c r="C265" s="39"/>
      <c r="D265" s="39"/>
      <c r="E265" s="39"/>
      <c r="F265" s="39"/>
      <c r="G265" s="40">
        <f t="shared" si="9"/>
        <v>299.4599999999998</v>
      </c>
      <c r="H265" s="40">
        <f t="shared" si="9"/>
        <v>2.9946000000000006</v>
      </c>
      <c r="I265" s="244">
        <f>SUMPRODUCT($G$262:$G$264,$I$262:$I$264)/SUM($G$262:$G$264)</f>
        <v>6.799999999999999</v>
      </c>
      <c r="J265" s="167">
        <f t="shared" si="9"/>
        <v>0.4491900000000001</v>
      </c>
      <c r="K265" s="40">
        <f t="shared" si="9"/>
        <v>0.4491900000000001</v>
      </c>
      <c r="L265" s="40">
        <f t="shared" si="9"/>
        <v>0.4491900000000001</v>
      </c>
      <c r="M265" s="40">
        <f t="shared" si="9"/>
        <v>0.4491900000000001</v>
      </c>
      <c r="N265" s="40">
        <f t="shared" si="9"/>
        <v>0.4491900000000001</v>
      </c>
      <c r="O265" s="40">
        <f t="shared" si="9"/>
        <v>0.4491900000000001</v>
      </c>
    </row>
    <row r="267" ht="24" customHeight="1">
      <c r="A267" s="25" t="s">
        <v>5</v>
      </c>
      <c r="B267" s="28" t="s">
        <v>276</v>
      </c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5" t="s">
        <v>5</v>
      </c>
    </row>
    <row r="268" ht="6" customHeight="1"/>
    <row r="269" ht="24" customHeight="1">
      <c r="J269" s="150">
        <v>43465</v>
      </c>
      <c r="K269" s="29">
        <f t="shared" si="10"/>
        <v>43830</v>
      </c>
      <c r="L269" s="29">
        <f t="shared" si="10"/>
        <v>44196</v>
      </c>
      <c r="M269" s="29">
        <f t="shared" si="10"/>
        <v>44561</v>
      </c>
      <c r="N269" s="29">
        <f t="shared" si="10"/>
        <v>44926</v>
      </c>
      <c r="O269" s="29">
        <f t="shared" si="10"/>
        <v>45291</v>
      </c>
    </row>
    <row r="270" ht="24" customHeight="1">
      <c r="B270" s="32"/>
      <c r="C270" s="32"/>
      <c r="D270" s="32"/>
      <c r="E270" s="32"/>
      <c r="F270" s="32"/>
      <c r="G270" s="32"/>
      <c r="H270" s="32"/>
      <c r="I270" s="32"/>
      <c r="J270" s="153">
        <f t="shared" si="11"/>
        <v>2018</v>
      </c>
      <c r="K270" s="78">
        <f t="shared" si="11"/>
        <v>2019</v>
      </c>
      <c r="L270" s="78">
        <f t="shared" si="11"/>
        <v>2020</v>
      </c>
      <c r="M270" s="78">
        <f t="shared" si="11"/>
        <v>2021</v>
      </c>
      <c r="N270" s="78">
        <f t="shared" si="11"/>
        <v>2022</v>
      </c>
      <c r="O270" s="78">
        <f t="shared" si="11"/>
        <v>2023</v>
      </c>
    </row>
    <row r="271" ht="6" customHeight="1">
      <c r="J271" s="156"/>
    </row>
    <row r="272" ht="24" customHeight="1">
      <c r="B272" s="34" t="s">
        <v>19</v>
      </c>
      <c r="J272" s="177">
        <f t="shared" si="98" ref="J272:O272">J69</f>
        <v>119.7839999999999</v>
      </c>
      <c r="K272" s="51">
        <f t="shared" si="98"/>
        <v>143.56298699999996</v>
      </c>
      <c r="L272" s="51">
        <f t="shared" si="98"/>
        <v>162.08092869999996</v>
      </c>
      <c r="M272" s="51">
        <f t="shared" si="98"/>
        <v>183.07491101999994</v>
      </c>
      <c r="N272" s="51">
        <f t="shared" si="98"/>
        <v>206.88617498950006</v>
      </c>
      <c r="O272" s="51">
        <f t="shared" si="98"/>
        <v>233.9041312860749</v>
      </c>
    </row>
    <row r="273" ht="24" customHeight="1">
      <c r="B273" s="34" t="s">
        <v>277</v>
      </c>
      <c r="J273" s="245">
        <f>$E$19</f>
        <v>5</v>
      </c>
      <c r="K273" s="127">
        <f t="shared" si="99" ref="K273:O273">$N$11</f>
        <v>5</v>
      </c>
      <c r="L273" s="127">
        <f t="shared" si="99"/>
        <v>5</v>
      </c>
      <c r="M273" s="127">
        <f t="shared" si="99"/>
        <v>5</v>
      </c>
      <c r="N273" s="127">
        <f t="shared" si="99"/>
        <v>5</v>
      </c>
      <c r="O273" s="127">
        <f t="shared" si="99"/>
        <v>5</v>
      </c>
    </row>
    <row r="274" ht="24" customHeight="1">
      <c r="B274" s="38" t="s">
        <v>278</v>
      </c>
      <c r="C274" s="39"/>
      <c r="D274" s="39"/>
      <c r="E274" s="39"/>
      <c r="F274" s="39"/>
      <c r="G274" s="39"/>
      <c r="H274" s="39"/>
      <c r="I274" s="39"/>
      <c r="J274" s="167">
        <f t="shared" si="100"/>
        <v>598.9199999999995</v>
      </c>
      <c r="K274" s="40">
        <f t="shared" si="100"/>
        <v>717.8149349999999</v>
      </c>
      <c r="L274" s="40">
        <f t="shared" si="100"/>
        <v>810.4046434999998</v>
      </c>
      <c r="M274" s="40">
        <f t="shared" si="100"/>
        <v>915.3745550999997</v>
      </c>
      <c r="N274" s="40">
        <f t="shared" si="100"/>
        <v>1034.4308749475003</v>
      </c>
      <c r="O274" s="40">
        <f t="shared" si="100"/>
        <v>1169.5206564303744</v>
      </c>
    </row>
    <row r="275" ht="24" customHeight="1">
      <c r="B275" s="105" t="s">
        <v>279</v>
      </c>
      <c r="J275" s="156"/>
      <c r="K275" s="58">
        <f t="shared" si="101" ref="K275:O275">-K183</f>
        <v>-242.69040402397363</v>
      </c>
      <c r="L275" s="58">
        <f t="shared" si="101"/>
        <v>-224.92240412295018</v>
      </c>
      <c r="M275" s="58">
        <f t="shared" si="101"/>
        <v>-200.86523607024532</v>
      </c>
      <c r="N275" s="58">
        <f t="shared" si="101"/>
        <v>-169.49516646687695</v>
      </c>
      <c r="O275" s="58">
        <f t="shared" si="101"/>
        <v>-129.43609521021142</v>
      </c>
    </row>
    <row r="276" ht="24" customHeight="1">
      <c r="B276" s="34" t="s">
        <v>280</v>
      </c>
      <c r="J276" s="156"/>
      <c r="K276" s="58">
        <f t="shared" si="102" ref="K276:O276">K123</f>
        <v>0</v>
      </c>
      <c r="L276" s="58">
        <f t="shared" si="102"/>
        <v>0</v>
      </c>
      <c r="M276" s="58">
        <f t="shared" si="102"/>
        <v>0</v>
      </c>
      <c r="N276" s="58">
        <f t="shared" si="102"/>
        <v>0</v>
      </c>
      <c r="O276" s="58">
        <f t="shared" si="102"/>
        <v>0</v>
      </c>
    </row>
    <row r="277" ht="24" customHeight="1">
      <c r="B277" s="38" t="s">
        <v>281</v>
      </c>
      <c r="C277" s="39"/>
      <c r="D277" s="39"/>
      <c r="E277" s="39"/>
      <c r="F277" s="39"/>
      <c r="G277" s="39"/>
      <c r="H277" s="39"/>
      <c r="I277" s="39"/>
      <c r="J277" s="167"/>
      <c r="K277" s="40">
        <f t="shared" si="9"/>
        <v>475.1245309760262</v>
      </c>
      <c r="L277" s="40">
        <f t="shared" si="9"/>
        <v>585.4822393770496</v>
      </c>
      <c r="M277" s="40">
        <f t="shared" si="9"/>
        <v>714.5093190297544</v>
      </c>
      <c r="N277" s="40">
        <f t="shared" si="9"/>
        <v>864.9357084806234</v>
      </c>
      <c r="O277" s="40">
        <f t="shared" si="9"/>
        <v>1040.0845612201629</v>
      </c>
    </row>
    <row r="278" ht="24" customHeight="1">
      <c r="B278" s="80" t="s">
        <v>282</v>
      </c>
      <c r="J278" s="246"/>
      <c r="K278" s="58">
        <f t="shared" si="103" ref="K278:O278">PRODUCT(K$277,$J$11)</f>
        <v>23.756226548801312</v>
      </c>
      <c r="L278" s="58">
        <f t="shared" si="103"/>
        <v>29.27411196885248</v>
      </c>
      <c r="M278" s="58">
        <f t="shared" si="103"/>
        <v>35.72546595148772</v>
      </c>
      <c r="N278" s="58">
        <f t="shared" si="103"/>
        <v>43.246785424031174</v>
      </c>
      <c r="O278" s="58">
        <f t="shared" si="103"/>
        <v>52.00422806100815</v>
      </c>
    </row>
    <row r="279" ht="24" customHeight="1">
      <c r="B279" s="80" t="s">
        <v>283</v>
      </c>
      <c r="J279" s="246"/>
      <c r="K279" s="58">
        <f t="shared" si="104" ref="K279:O279">PRODUCT(K$277,1-$J$11)</f>
        <v>451.36830442722487</v>
      </c>
      <c r="L279" s="58">
        <f t="shared" si="104"/>
        <v>556.2081274081971</v>
      </c>
      <c r="M279" s="58">
        <f t="shared" si="104"/>
        <v>678.7838530782666</v>
      </c>
      <c r="N279" s="58">
        <f t="shared" si="104"/>
        <v>821.6889230565921</v>
      </c>
      <c r="O279" s="58">
        <f t="shared" si="104"/>
        <v>988.0803331591546</v>
      </c>
    </row>
    <row r="280" ht="24" customHeight="1">
      <c r="J280" s="156"/>
    </row>
    <row r="281" ht="24" customHeight="1">
      <c r="B281" s="57" t="s">
        <v>284</v>
      </c>
      <c r="J281" s="156"/>
    </row>
    <row r="282" ht="24" customHeight="1">
      <c r="B282" s="80" t="s">
        <v>285</v>
      </c>
      <c r="J282" s="156"/>
      <c r="K282" s="51">
        <f t="shared" si="105" ref="K282:O282">J286</f>
        <v>319.8313034999997</v>
      </c>
      <c r="L282" s="51">
        <f t="shared" si="105"/>
        <v>345.4178077799997</v>
      </c>
      <c r="M282" s="51">
        <f t="shared" si="105"/>
        <v>373.05123240239965</v>
      </c>
      <c r="N282" s="51">
        <f t="shared" si="105"/>
        <v>402.89533099459163</v>
      </c>
      <c r="O282" s="51">
        <f t="shared" si="105"/>
        <v>435.126957474159</v>
      </c>
    </row>
    <row r="283" ht="24" customHeight="1">
      <c r="B283" s="80" t="s">
        <v>286</v>
      </c>
      <c r="J283" s="156"/>
      <c r="K283" s="58">
        <f t="shared" si="106" ref="K283:O283">K282*$N$12</f>
        <v>25.58650427999998</v>
      </c>
      <c r="L283" s="58">
        <f t="shared" si="106"/>
        <v>27.633424622399975</v>
      </c>
      <c r="M283" s="58">
        <f t="shared" si="106"/>
        <v>29.844098592191973</v>
      </c>
      <c r="N283" s="58">
        <f t="shared" si="106"/>
        <v>32.23162647956733</v>
      </c>
      <c r="O283" s="58">
        <f t="shared" si="106"/>
        <v>34.81015659793272</v>
      </c>
    </row>
    <row r="284" ht="24" customHeight="1">
      <c r="B284" s="80" t="s">
        <v>287</v>
      </c>
      <c r="J284" s="156"/>
      <c r="K284" s="37">
        <v>0</v>
      </c>
      <c r="L284" s="37">
        <v>0</v>
      </c>
      <c r="M284" s="37">
        <v>0</v>
      </c>
      <c r="N284" s="37">
        <v>0</v>
      </c>
      <c r="O284" s="37">
        <v>0</v>
      </c>
    </row>
    <row r="285" ht="24" customHeight="1">
      <c r="B285" s="80" t="s">
        <v>288</v>
      </c>
      <c r="J285" s="156"/>
      <c r="K285" s="58">
        <f t="shared" si="77"/>
        <v>0</v>
      </c>
      <c r="L285" s="58">
        <f t="shared" si="77"/>
        <v>0</v>
      </c>
      <c r="M285" s="58">
        <f t="shared" si="77"/>
        <v>0</v>
      </c>
      <c r="N285" s="58">
        <f t="shared" si="77"/>
        <v>0</v>
      </c>
      <c r="O285" s="58">
        <f t="shared" si="77"/>
        <v>0</v>
      </c>
    </row>
    <row r="286" ht="24" customHeight="1">
      <c r="B286" s="116" t="s">
        <v>289</v>
      </c>
      <c r="C286" s="39"/>
      <c r="D286" s="39"/>
      <c r="E286" s="39"/>
      <c r="F286" s="39"/>
      <c r="G286" s="39"/>
      <c r="H286" s="39"/>
      <c r="I286" s="39"/>
      <c r="J286" s="167">
        <f>$D$36</f>
        <v>319.8313034999997</v>
      </c>
      <c r="K286" s="40">
        <f t="shared" si="74"/>
        <v>345.4178077799997</v>
      </c>
      <c r="L286" s="40">
        <f t="shared" si="74"/>
        <v>373.05123240239965</v>
      </c>
      <c r="M286" s="40">
        <f t="shared" si="74"/>
        <v>402.89533099459163</v>
      </c>
      <c r="N286" s="40">
        <f t="shared" si="74"/>
        <v>435.126957474159</v>
      </c>
      <c r="O286" s="40">
        <f t="shared" si="74"/>
        <v>469.93711407209173</v>
      </c>
    </row>
    <row r="287" ht="24" customHeight="1">
      <c r="J287" s="156"/>
    </row>
    <row r="288" ht="24" customHeight="1">
      <c r="B288" s="206" t="s">
        <v>290</v>
      </c>
      <c r="J288" s="156"/>
      <c r="K288" s="46">
        <f t="shared" si="107" ref="K288:O288">IF(K279-K286&lt;0,0,K279-K286)</f>
        <v>105.95049664722518</v>
      </c>
      <c r="L288" s="46">
        <f t="shared" si="107"/>
        <v>183.15689500579748</v>
      </c>
      <c r="M288" s="46">
        <f t="shared" si="107"/>
        <v>275.88852208367496</v>
      </c>
      <c r="N288" s="46">
        <f t="shared" si="107"/>
        <v>386.5619655824331</v>
      </c>
      <c r="O288" s="46">
        <f t="shared" si="107"/>
        <v>518.1432190870629</v>
      </c>
    </row>
    <row r="289" ht="24" customHeight="1">
      <c r="B289" s="80" t="s">
        <v>291</v>
      </c>
      <c r="J289" s="156"/>
      <c r="K289" s="58">
        <f t="shared" si="108" ref="K289:O289">-PRODUCT(K$288,1-$N$13)</f>
        <v>-100.65297181486392</v>
      </c>
      <c r="L289" s="58">
        <f t="shared" si="108"/>
        <v>-173.9990502555076</v>
      </c>
      <c r="M289" s="58">
        <f t="shared" si="108"/>
        <v>-262.0940959794912</v>
      </c>
      <c r="N289" s="58">
        <f t="shared" si="108"/>
        <v>-367.23386730331146</v>
      </c>
      <c r="O289" s="58">
        <f t="shared" si="108"/>
        <v>-492.23605813270973</v>
      </c>
    </row>
    <row r="290" ht="24" customHeight="1">
      <c r="B290" s="80" t="s">
        <v>292</v>
      </c>
      <c r="J290" s="156"/>
      <c r="K290" s="58">
        <f t="shared" si="109" ref="K290:O290">-PRODUCT(K$288,$N$13)</f>
        <v>-5.297524832361259</v>
      </c>
      <c r="L290" s="58">
        <f t="shared" si="109"/>
        <v>-9.157844750289874</v>
      </c>
      <c r="M290" s="58">
        <f t="shared" si="109"/>
        <v>-13.79442610418375</v>
      </c>
      <c r="N290" s="58">
        <f t="shared" si="109"/>
        <v>-19.328098279121658</v>
      </c>
      <c r="O290" s="58">
        <f t="shared" si="109"/>
        <v>-25.907160954353145</v>
      </c>
    </row>
    <row r="291" ht="24" customHeight="1">
      <c r="B291" s="116" t="s">
        <v>290</v>
      </c>
      <c r="C291" s="39"/>
      <c r="D291" s="39"/>
      <c r="E291" s="39"/>
      <c r="F291" s="39"/>
      <c r="G291" s="39"/>
      <c r="H291" s="39"/>
      <c r="I291" s="39"/>
      <c r="J291" s="167"/>
      <c r="K291" s="40">
        <f t="shared" si="9"/>
        <v>0</v>
      </c>
      <c r="L291" s="40">
        <f t="shared" si="9"/>
        <v>0</v>
      </c>
      <c r="M291" s="40">
        <f t="shared" si="9"/>
        <v>0</v>
      </c>
      <c r="N291" s="40">
        <f t="shared" si="9"/>
        <v>0</v>
      </c>
      <c r="O291" s="40">
        <f t="shared" si="9"/>
        <v>2.842170943040401e-14</v>
      </c>
    </row>
    <row r="292" ht="24" customHeight="1">
      <c r="J292" s="156"/>
    </row>
    <row r="293" ht="24" customHeight="1">
      <c r="B293" s="247" t="s">
        <v>293</v>
      </c>
      <c r="C293" s="248"/>
      <c r="D293" s="248"/>
      <c r="E293" s="248"/>
      <c r="F293" s="248"/>
      <c r="G293" s="248"/>
      <c r="H293" s="248"/>
      <c r="I293" s="248"/>
      <c r="J293" s="249"/>
      <c r="K293" s="250">
        <f t="shared" si="110" ref="K293:O293">IF(K277&lt;K286,SUM(K277,-K289),SUM(K286,-K289))</f>
        <v>446.0707795948636</v>
      </c>
      <c r="L293" s="250">
        <f t="shared" si="110"/>
        <v>547.0502826579072</v>
      </c>
      <c r="M293" s="250">
        <f t="shared" si="110"/>
        <v>664.9894269740828</v>
      </c>
      <c r="N293" s="250">
        <f t="shared" si="110"/>
        <v>802.3608247774705</v>
      </c>
      <c r="O293" s="251">
        <f t="shared" si="110"/>
        <v>962.1731722048014</v>
      </c>
    </row>
    <row r="294" ht="24" customHeight="1">
      <c r="B294" s="252" t="s">
        <v>294</v>
      </c>
      <c r="C294" s="253"/>
      <c r="D294" s="253"/>
      <c r="E294" s="253"/>
      <c r="F294" s="253"/>
      <c r="G294" s="253"/>
      <c r="H294" s="253"/>
      <c r="I294" s="253"/>
      <c r="J294" s="254"/>
      <c r="K294" s="255">
        <f t="shared" si="111" ref="K294:O294">K293-$D$36</f>
        <v>126.2394760948639</v>
      </c>
      <c r="L294" s="255">
        <f t="shared" si="111"/>
        <v>227.21897915790754</v>
      </c>
      <c r="M294" s="255">
        <f t="shared" si="111"/>
        <v>345.1581234740831</v>
      </c>
      <c r="N294" s="255">
        <f t="shared" si="111"/>
        <v>482.5295212774708</v>
      </c>
      <c r="O294" s="256">
        <f t="shared" si="111"/>
        <v>642.3418687048018</v>
      </c>
    </row>
    <row r="295" ht="24" customHeight="1">
      <c r="J295" s="156"/>
    </row>
    <row r="296" ht="24" customHeight="1">
      <c r="B296" s="31"/>
      <c r="C296" s="31"/>
      <c r="D296" s="31"/>
      <c r="E296" s="31"/>
      <c r="F296" s="31"/>
      <c r="G296" s="31"/>
      <c r="H296" s="31"/>
      <c r="I296" s="31"/>
      <c r="J296" s="257">
        <v>43465</v>
      </c>
      <c r="K296" s="258">
        <f t="shared" si="10"/>
        <v>43830</v>
      </c>
      <c r="L296" s="258">
        <f t="shared" si="10"/>
        <v>44196</v>
      </c>
      <c r="M296" s="258">
        <f t="shared" si="10"/>
        <v>44561</v>
      </c>
      <c r="N296" s="258">
        <f t="shared" si="10"/>
        <v>44926</v>
      </c>
      <c r="O296" s="258">
        <f t="shared" si="10"/>
        <v>45291</v>
      </c>
    </row>
    <row r="297" ht="6" customHeight="1">
      <c r="J297" s="156"/>
    </row>
    <row r="298" ht="24" customHeight="1">
      <c r="G298" s="259" t="s">
        <v>295</v>
      </c>
      <c r="H298" s="136">
        <v>43830</v>
      </c>
      <c r="I298" s="259" t="s">
        <v>296</v>
      </c>
      <c r="J298" s="177">
        <f t="shared" si="112" ref="J298:J302">A1-$D$36</f>
        <v>-319.8313034999997</v>
      </c>
      <c r="K298" s="46">
        <f>$K$293</f>
        <v>446.0707795948636</v>
      </c>
    </row>
    <row r="299" ht="24" customHeight="1">
      <c r="G299" s="259"/>
      <c r="H299" s="136">
        <f t="shared" si="113" ref="H299:H302">EOMONTH(H298,12)</f>
        <v>44196</v>
      </c>
      <c r="I299" s="259"/>
      <c r="J299" s="177">
        <f t="shared" si="112"/>
        <v>-319.8313034999997</v>
      </c>
      <c r="L299" s="46">
        <f>$L$293</f>
        <v>547.0502826579072</v>
      </c>
    </row>
    <row r="300" ht="24" customHeight="1">
      <c r="G300" s="259"/>
      <c r="H300" s="136">
        <f t="shared" si="113"/>
        <v>44561</v>
      </c>
      <c r="I300" s="259"/>
      <c r="J300" s="177">
        <f t="shared" si="112"/>
        <v>-319.8313034999997</v>
      </c>
      <c r="M300" s="46">
        <f>$M$293</f>
        <v>664.9894269740828</v>
      </c>
    </row>
    <row r="301" ht="24" customHeight="1">
      <c r="G301" s="259"/>
      <c r="H301" s="136">
        <f t="shared" si="113"/>
        <v>44926</v>
      </c>
      <c r="I301" s="259"/>
      <c r="J301" s="177">
        <f t="shared" si="112"/>
        <v>-319.8313034999997</v>
      </c>
      <c r="N301" s="46">
        <f>$N$293</f>
        <v>802.3608247774705</v>
      </c>
    </row>
    <row r="302" ht="24" customHeight="1">
      <c r="G302" s="259"/>
      <c r="H302" s="136">
        <f t="shared" si="113"/>
        <v>45291</v>
      </c>
      <c r="I302" s="259"/>
      <c r="J302" s="177">
        <f t="shared" si="112"/>
        <v>-319.8313034999997</v>
      </c>
      <c r="O302" s="46">
        <f>$O$293</f>
        <v>962.1731722048014</v>
      </c>
    </row>
    <row r="303" ht="6" customHeight="1">
      <c r="J303" s="156"/>
    </row>
    <row r="304" ht="24" customHeight="1">
      <c r="B304" s="260"/>
      <c r="C304" s="214"/>
      <c r="D304" s="214"/>
      <c r="E304" s="214"/>
      <c r="F304" s="214"/>
      <c r="G304" s="261" t="str">
        <f>"Sponsor IRR ("&amp;TEXT($N$11,"0.0x")&amp;" Exit Multiple):"</f>
        <v>Sponsor IRR (5.0x Exit Multiple):</v>
      </c>
      <c r="H304" s="261"/>
      <c r="I304" s="261"/>
      <c r="J304" s="262"/>
      <c r="K304" s="263">
        <f>XIRR($J$298:$O$298,$J$296:$O$296)</f>
        <v>0.39470644593238835</v>
      </c>
      <c r="L304" s="263">
        <f>XIRR($J$299:$O$299,$J$296:$O$296)</f>
        <v>0.30735549330711365</v>
      </c>
      <c r="M304" s="263">
        <f>XIRR($J$300:$O$300,$J$296:$O$296)</f>
        <v>0.27605063319206247</v>
      </c>
      <c r="N304" s="263">
        <f>XIRR($J$301:$O$301,$J$296:$O$296)</f>
        <v>0.2583279311656952</v>
      </c>
      <c r="O304" s="264">
        <f>XIRR($J$302:$O$302,$J$296:$O$296)</f>
        <v>0.24627551436424253</v>
      </c>
    </row>
    <row r="305" ht="24" customHeight="1">
      <c r="B305" s="265"/>
      <c r="C305" s="232"/>
      <c r="D305" s="232"/>
      <c r="E305" s="232"/>
      <c r="F305" s="232"/>
      <c r="G305" s="266" t="str">
        <f>"Sponsor MoIC ("&amp;TEXT($N$11,"0.0x")&amp;" Exit Multiple):"</f>
        <v>Sponsor MoIC (5.0x Exit Multiple):</v>
      </c>
      <c r="H305" s="266"/>
      <c r="I305" s="266"/>
      <c r="J305" s="267"/>
      <c r="K305" s="268">
        <f>-SUMIF($J$298:$O$298,"&gt;0")/SUMIF($J$298:$O$298,"&lt;0")</f>
        <v>1.3947064427821525</v>
      </c>
      <c r="L305" s="268">
        <f>-SUMIF($J$299:$O$299,"&gt;0")/SUMIF($J$299:$O$299,"&lt;0")</f>
        <v>1.7104338339349192</v>
      </c>
      <c r="M305" s="268">
        <f>-SUMIF($J$300:$O$300,"&gt;0")/SUMIF($J$300:$O$300,"&lt;0")</f>
        <v>2.079188058507486</v>
      </c>
      <c r="N305" s="268">
        <f>-SUMIF($J$301:$O$301,"&gt;0")/SUMIF($J$301:$O$301,"&lt;0")</f>
        <v>2.5087001053274673</v>
      </c>
      <c r="O305" s="269">
        <f>-SUMIF($J$302:$O$302,"&gt;0")/SUMIF($J$302:$O$302,"&lt;0")</f>
        <v>3.008377109043056</v>
      </c>
    </row>
    <row r="307" ht="24" customHeight="1">
      <c r="A307" s="25" t="s">
        <v>5</v>
      </c>
      <c r="B307" s="28" t="s">
        <v>299</v>
      </c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5" t="s">
        <v>5</v>
      </c>
    </row>
    <row r="308" ht="6" customHeight="1"/>
    <row r="309" ht="24" customHeight="1">
      <c r="A309" s="25" t="s">
        <v>5</v>
      </c>
      <c r="B309" s="270" t="s">
        <v>300</v>
      </c>
      <c r="C309" s="270"/>
      <c r="D309" s="270"/>
      <c r="E309" s="270"/>
      <c r="F309" s="270"/>
      <c r="G309" s="270"/>
      <c r="H309" s="270"/>
      <c r="I309" s="270"/>
      <c r="J309" s="270"/>
      <c r="K309" s="270"/>
      <c r="L309" s="270"/>
      <c r="M309" s="270"/>
      <c r="N309" s="270"/>
      <c r="O309" s="270"/>
      <c r="P309" s="25" t="s">
        <v>5</v>
      </c>
    </row>
    <row r="310" ht="6" customHeight="1"/>
    <row r="311" ht="24" customHeight="1">
      <c r="F311" s="145" t="s">
        <v>301</v>
      </c>
      <c r="G311" s="145"/>
      <c r="H311" s="145"/>
      <c r="I311" s="145"/>
      <c r="J311" s="145"/>
      <c r="K311" s="145"/>
      <c r="L311" s="145"/>
    </row>
    <row r="312" ht="24" customHeight="1">
      <c r="F312" s="111">
        <f t="shared" si="114" ref="F312:L326">PRODUCT(F$314,$E$18)+SUM($E$21:$E$22)</f>
        <v>440.9969999999997</v>
      </c>
      <c r="G312" s="111">
        <f t="shared" si="114"/>
        <v>500.8889999999996</v>
      </c>
      <c r="H312" s="111">
        <f t="shared" si="114"/>
        <v>560.7809999999996</v>
      </c>
      <c r="I312" s="111">
        <f t="shared" si="114"/>
        <v>620.6729999999995</v>
      </c>
      <c r="J312" s="111">
        <f t="shared" si="114"/>
        <v>680.5649999999995</v>
      </c>
      <c r="K312" s="111">
        <f t="shared" si="114"/>
        <v>740.4569999999995</v>
      </c>
      <c r="L312" s="111">
        <f t="shared" si="114"/>
        <v>800.3489999999995</v>
      </c>
    </row>
    <row r="313" ht="24" customHeight="1">
      <c r="F313" s="145" t="s">
        <v>302</v>
      </c>
      <c r="G313" s="145"/>
      <c r="H313" s="145"/>
      <c r="I313" s="145"/>
      <c r="J313" s="145"/>
      <c r="K313" s="145"/>
      <c r="L313" s="145"/>
    </row>
    <row r="314" ht="24" customHeight="1">
      <c r="E314" s="271" t="str">
        <f t="shared" si="119" ref="E314:E342">TEXT(SUM($O$304:$O$304),"0.0%")&amp;" / "&amp;TEXT(SUM($O$305:$O$305),"0.00x")</f>
        <v>24.6% / 3.01x</v>
      </c>
      <c r="F314" s="272">
        <f t="shared" si="115" ref="F314:H328">G314-0.5</f>
        <v>3.5</v>
      </c>
      <c r="G314" s="272">
        <f t="shared" si="115"/>
        <v>4</v>
      </c>
      <c r="H314" s="272">
        <f t="shared" si="115"/>
        <v>4.5</v>
      </c>
      <c r="I314" s="273">
        <v>5</v>
      </c>
      <c r="J314" s="272">
        <f t="shared" si="116" ref="J314:L328">I314+0.5</f>
        <v>5.5</v>
      </c>
      <c r="K314" s="272">
        <f t="shared" si="116"/>
        <v>6</v>
      </c>
      <c r="L314" s="272">
        <f t="shared" si="116"/>
        <v>6.5</v>
      </c>
    </row>
    <row r="315" ht="24" customHeight="1">
      <c r="D315" s="259" t="s">
        <v>304</v>
      </c>
      <c r="E315" s="274">
        <f t="shared" si="117" ref="E315:E345">E316-0.5</f>
        <v>3.5</v>
      </c>
      <c r="F315" s="275" t="s">
        <v>305</v>
      </c>
      <c r="G315" s="276" t="s">
        <v>306</v>
      </c>
      <c r="H315" s="276" t="s">
        <v>307</v>
      </c>
      <c r="I315" s="276" t="s">
        <v>308</v>
      </c>
      <c r="J315" s="276" t="s">
        <v>309</v>
      </c>
      <c r="K315" s="276" t="s">
        <v>310</v>
      </c>
      <c r="L315" s="276" t="s">
        <v>311</v>
      </c>
    </row>
    <row r="316" ht="24" customHeight="1">
      <c r="D316" s="259"/>
      <c r="E316" s="274">
        <f t="shared" si="117"/>
        <v>4</v>
      </c>
      <c r="F316" s="277" t="s">
        <v>312</v>
      </c>
      <c r="G316" s="25" t="s">
        <v>313</v>
      </c>
      <c r="H316" s="25" t="s">
        <v>314</v>
      </c>
      <c r="I316" s="25" t="s">
        <v>315</v>
      </c>
      <c r="J316" s="25" t="s">
        <v>316</v>
      </c>
      <c r="K316" s="25" t="s">
        <v>317</v>
      </c>
      <c r="L316" s="25" t="s">
        <v>318</v>
      </c>
    </row>
    <row r="317" ht="24" customHeight="1">
      <c r="D317" s="259"/>
      <c r="E317" s="274">
        <f t="shared" si="117"/>
        <v>4.5</v>
      </c>
      <c r="F317" s="277" t="s">
        <v>319</v>
      </c>
      <c r="G317" s="25" t="s">
        <v>320</v>
      </c>
      <c r="H317" s="25" t="s">
        <v>321</v>
      </c>
      <c r="I317" s="25" t="s">
        <v>322</v>
      </c>
      <c r="J317" s="25" t="s">
        <v>323</v>
      </c>
      <c r="K317" s="25" t="s">
        <v>324</v>
      </c>
      <c r="L317" s="25" t="s">
        <v>325</v>
      </c>
    </row>
    <row r="318" ht="24" customHeight="1">
      <c r="D318" s="259"/>
      <c r="E318" s="273">
        <v>5</v>
      </c>
      <c r="F318" s="277" t="s">
        <v>326</v>
      </c>
      <c r="G318" s="25" t="s">
        <v>327</v>
      </c>
      <c r="H318" s="25" t="s">
        <v>328</v>
      </c>
      <c r="I318" s="278" t="s">
        <v>303</v>
      </c>
      <c r="J318" s="25" t="s">
        <v>329</v>
      </c>
      <c r="K318" s="25" t="s">
        <v>330</v>
      </c>
      <c r="L318" s="25" t="s">
        <v>331</v>
      </c>
    </row>
    <row r="319" ht="24" customHeight="1">
      <c r="D319" s="259"/>
      <c r="E319" s="274">
        <f t="shared" si="118" ref="E319:E349">E318+0.5</f>
        <v>5.5</v>
      </c>
      <c r="F319" s="277" t="s">
        <v>332</v>
      </c>
      <c r="G319" s="25" t="s">
        <v>333</v>
      </c>
      <c r="H319" s="25" t="s">
        <v>334</v>
      </c>
      <c r="I319" s="25" t="s">
        <v>335</v>
      </c>
      <c r="J319" s="25" t="s">
        <v>336</v>
      </c>
      <c r="K319" s="25" t="s">
        <v>337</v>
      </c>
      <c r="L319" s="25" t="s">
        <v>338</v>
      </c>
    </row>
    <row r="320" ht="24" customHeight="1">
      <c r="D320" s="259"/>
      <c r="E320" s="274">
        <f t="shared" si="118"/>
        <v>6</v>
      </c>
      <c r="F320" s="277" t="s">
        <v>339</v>
      </c>
      <c r="G320" s="25" t="s">
        <v>340</v>
      </c>
      <c r="H320" s="25" t="s">
        <v>341</v>
      </c>
      <c r="I320" s="25" t="s">
        <v>342</v>
      </c>
      <c r="J320" s="25" t="s">
        <v>343</v>
      </c>
      <c r="K320" s="25" t="s">
        <v>344</v>
      </c>
      <c r="L320" s="25" t="s">
        <v>345</v>
      </c>
    </row>
    <row r="321" ht="24" customHeight="1">
      <c r="D321" s="259"/>
      <c r="E321" s="274">
        <f t="shared" si="118"/>
        <v>6.5</v>
      </c>
      <c r="F321" s="277" t="s">
        <v>346</v>
      </c>
      <c r="G321" s="25" t="s">
        <v>347</v>
      </c>
      <c r="H321" s="25" t="s">
        <v>348</v>
      </c>
      <c r="I321" s="25" t="s">
        <v>349</v>
      </c>
      <c r="J321" s="25" t="s">
        <v>350</v>
      </c>
      <c r="K321" s="25" t="s">
        <v>351</v>
      </c>
      <c r="L321" s="25" t="s">
        <v>352</v>
      </c>
    </row>
    <row r="323" ht="24" customHeight="1">
      <c r="A323" s="25" t="s">
        <v>5</v>
      </c>
      <c r="B323" s="270" t="s">
        <v>353</v>
      </c>
      <c r="C323" s="270"/>
      <c r="D323" s="270"/>
      <c r="E323" s="270"/>
      <c r="F323" s="270"/>
      <c r="G323" s="270"/>
      <c r="H323" s="270"/>
      <c r="I323" s="270"/>
      <c r="J323" s="270"/>
      <c r="K323" s="270"/>
      <c r="L323" s="270"/>
      <c r="M323" s="270"/>
      <c r="N323" s="270"/>
      <c r="O323" s="270"/>
      <c r="P323" s="25" t="s">
        <v>5</v>
      </c>
    </row>
    <row r="324" ht="6" customHeight="1"/>
    <row r="325" ht="24" customHeight="1">
      <c r="F325" s="145" t="s">
        <v>301</v>
      </c>
      <c r="G325" s="145"/>
      <c r="H325" s="145"/>
      <c r="I325" s="145"/>
      <c r="J325" s="145"/>
      <c r="K325" s="145"/>
      <c r="L325" s="145"/>
    </row>
    <row r="326" ht="24" customHeight="1">
      <c r="F326" s="111">
        <f t="shared" si="114"/>
        <v>440.9969999999997</v>
      </c>
      <c r="G326" s="111">
        <f t="shared" si="114"/>
        <v>500.8889999999996</v>
      </c>
      <c r="H326" s="111">
        <f t="shared" si="114"/>
        <v>560.7809999999996</v>
      </c>
      <c r="I326" s="111">
        <f t="shared" si="114"/>
        <v>620.6729999999995</v>
      </c>
      <c r="J326" s="111">
        <f t="shared" si="114"/>
        <v>680.5649999999995</v>
      </c>
      <c r="K326" s="111">
        <f t="shared" si="114"/>
        <v>740.4569999999995</v>
      </c>
      <c r="L326" s="111">
        <f t="shared" si="114"/>
        <v>800.3489999999995</v>
      </c>
    </row>
    <row r="327" ht="24" customHeight="1">
      <c r="F327" s="145" t="s">
        <v>302</v>
      </c>
      <c r="G327" s="145"/>
      <c r="H327" s="145"/>
      <c r="I327" s="145"/>
      <c r="J327" s="145"/>
      <c r="K327" s="145"/>
      <c r="L327" s="145"/>
    </row>
    <row r="328" ht="24" customHeight="1">
      <c r="E328" s="271" t="str">
        <f t="shared" si="119"/>
        <v>24.6% / 3.01x</v>
      </c>
      <c r="F328" s="272">
        <f t="shared" si="115"/>
        <v>3.5</v>
      </c>
      <c r="G328" s="272">
        <f t="shared" si="115"/>
        <v>4</v>
      </c>
      <c r="H328" s="272">
        <f t="shared" si="115"/>
        <v>4.5</v>
      </c>
      <c r="I328" s="273">
        <v>5</v>
      </c>
      <c r="J328" s="272">
        <f t="shared" si="116"/>
        <v>5.5</v>
      </c>
      <c r="K328" s="272">
        <f t="shared" si="116"/>
        <v>6</v>
      </c>
      <c r="L328" s="272">
        <f t="shared" si="116"/>
        <v>6.5</v>
      </c>
    </row>
    <row r="329" ht="24" customHeight="1">
      <c r="D329" s="259" t="s">
        <v>354</v>
      </c>
      <c r="E329" s="279">
        <f t="shared" si="120" ref="E329:E331">E330-0.25</f>
        <v>1.75</v>
      </c>
      <c r="F329" s="275" t="s">
        <v>355</v>
      </c>
      <c r="G329" s="276" t="s">
        <v>356</v>
      </c>
      <c r="H329" s="276" t="s">
        <v>343</v>
      </c>
      <c r="I329" s="276" t="s">
        <v>322</v>
      </c>
      <c r="J329" s="276" t="s">
        <v>357</v>
      </c>
      <c r="K329" s="276" t="s">
        <v>358</v>
      </c>
      <c r="L329" s="276" t="s">
        <v>359</v>
      </c>
    </row>
    <row r="330" ht="24" customHeight="1">
      <c r="D330" s="259"/>
      <c r="E330" s="279">
        <f t="shared" si="120"/>
        <v>2</v>
      </c>
      <c r="F330" s="277" t="s">
        <v>360</v>
      </c>
      <c r="G330" s="25" t="s">
        <v>361</v>
      </c>
      <c r="H330" s="25" t="s">
        <v>362</v>
      </c>
      <c r="I330" s="25" t="s">
        <v>363</v>
      </c>
      <c r="J330" s="25" t="s">
        <v>364</v>
      </c>
      <c r="K330" s="25" t="s">
        <v>365</v>
      </c>
      <c r="L330" s="25" t="s">
        <v>366</v>
      </c>
    </row>
    <row r="331" ht="24" customHeight="1">
      <c r="D331" s="259"/>
      <c r="E331" s="279">
        <f t="shared" si="120"/>
        <v>2.25</v>
      </c>
      <c r="F331" s="277" t="s">
        <v>367</v>
      </c>
      <c r="G331" s="25" t="s">
        <v>368</v>
      </c>
      <c r="H331" s="25" t="s">
        <v>369</v>
      </c>
      <c r="I331" s="25" t="s">
        <v>370</v>
      </c>
      <c r="J331" s="25" t="s">
        <v>337</v>
      </c>
      <c r="K331" s="25" t="s">
        <v>371</v>
      </c>
      <c r="L331" s="25" t="s">
        <v>372</v>
      </c>
    </row>
    <row r="332" ht="24" customHeight="1">
      <c r="D332" s="259"/>
      <c r="E332" s="280">
        <v>2.5</v>
      </c>
      <c r="F332" s="277" t="s">
        <v>326</v>
      </c>
      <c r="G332" s="25" t="s">
        <v>327</v>
      </c>
      <c r="H332" s="25" t="s">
        <v>328</v>
      </c>
      <c r="I332" s="278" t="s">
        <v>303</v>
      </c>
      <c r="J332" s="25" t="s">
        <v>329</v>
      </c>
      <c r="K332" s="25" t="s">
        <v>330</v>
      </c>
      <c r="L332" s="25" t="s">
        <v>331</v>
      </c>
    </row>
    <row r="333" ht="24" customHeight="1">
      <c r="D333" s="259"/>
      <c r="E333" s="279">
        <f t="shared" si="121" ref="E333:E335">E332+0.25</f>
        <v>2.75</v>
      </c>
      <c r="F333" s="277" t="s">
        <v>373</v>
      </c>
      <c r="G333" s="25" t="s">
        <v>374</v>
      </c>
      <c r="H333" s="25" t="s">
        <v>375</v>
      </c>
      <c r="I333" s="25" t="s">
        <v>376</v>
      </c>
      <c r="J333" s="25" t="s">
        <v>377</v>
      </c>
      <c r="K333" s="25" t="s">
        <v>378</v>
      </c>
      <c r="L333" s="25" t="s">
        <v>379</v>
      </c>
    </row>
    <row r="334" ht="24" customHeight="1">
      <c r="D334" s="259"/>
      <c r="E334" s="279">
        <f t="shared" si="121"/>
        <v>3</v>
      </c>
      <c r="F334" s="277" t="s">
        <v>380</v>
      </c>
      <c r="G334" s="25" t="s">
        <v>381</v>
      </c>
      <c r="H334" s="25" t="s">
        <v>382</v>
      </c>
      <c r="I334" s="25" t="s">
        <v>383</v>
      </c>
      <c r="J334" s="25" t="s">
        <v>384</v>
      </c>
      <c r="K334" s="25" t="s">
        <v>385</v>
      </c>
      <c r="L334" s="25" t="s">
        <v>386</v>
      </c>
    </row>
    <row r="335" ht="24" customHeight="1">
      <c r="D335" s="259"/>
      <c r="E335" s="279">
        <f t="shared" si="121"/>
        <v>3.25</v>
      </c>
      <c r="F335" s="277" t="s">
        <v>387</v>
      </c>
      <c r="G335" s="25" t="s">
        <v>388</v>
      </c>
      <c r="H335" s="25" t="s">
        <v>389</v>
      </c>
      <c r="I335" s="25" t="s">
        <v>390</v>
      </c>
      <c r="J335" s="25" t="s">
        <v>391</v>
      </c>
      <c r="K335" s="25" t="s">
        <v>392</v>
      </c>
      <c r="L335" s="25" t="s">
        <v>358</v>
      </c>
    </row>
    <row r="337" ht="24" customHeight="1">
      <c r="A337" s="25" t="s">
        <v>5</v>
      </c>
      <c r="B337" s="270" t="s">
        <v>393</v>
      </c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70"/>
      <c r="P337" s="25" t="s">
        <v>5</v>
      </c>
    </row>
    <row r="338" ht="6" customHeight="1"/>
    <row r="339" ht="24" customHeight="1">
      <c r="F339" s="145" t="s">
        <v>394</v>
      </c>
      <c r="G339" s="145"/>
      <c r="H339" s="145"/>
      <c r="I339" s="145"/>
      <c r="J339" s="145"/>
      <c r="K339" s="145"/>
      <c r="L339" s="145"/>
    </row>
    <row r="340" ht="24" customHeight="1">
      <c r="F340" s="111">
        <f t="shared" si="122" ref="F340:L340">PRODUCT(F$342,$E$18)</f>
        <v>209.62199999999984</v>
      </c>
      <c r="G340" s="111">
        <f t="shared" si="122"/>
        <v>239.5679999999998</v>
      </c>
      <c r="H340" s="111">
        <f t="shared" si="122"/>
        <v>269.5139999999998</v>
      </c>
      <c r="I340" s="111">
        <f t="shared" si="122"/>
        <v>299.45999999999975</v>
      </c>
      <c r="J340" s="111">
        <f t="shared" si="122"/>
        <v>329.4059999999997</v>
      </c>
      <c r="K340" s="111">
        <f t="shared" si="122"/>
        <v>359.35199999999975</v>
      </c>
      <c r="L340" s="111">
        <f t="shared" si="122"/>
        <v>389.2979999999997</v>
      </c>
    </row>
    <row r="341" ht="24" customHeight="1">
      <c r="F341" s="145" t="s">
        <v>395</v>
      </c>
      <c r="G341" s="145"/>
      <c r="H341" s="145"/>
      <c r="I341" s="145"/>
      <c r="J341" s="145"/>
      <c r="K341" s="145"/>
      <c r="L341" s="145"/>
    </row>
    <row r="342" ht="24" customHeight="1">
      <c r="E342" s="271" t="str">
        <f t="shared" si="119"/>
        <v>24.6% / 3.01x</v>
      </c>
      <c r="F342" s="281">
        <f t="shared" si="123" ref="F342:H342">G342-0.25</f>
        <v>1.75</v>
      </c>
      <c r="G342" s="281">
        <f t="shared" si="123"/>
        <v>2</v>
      </c>
      <c r="H342" s="281">
        <f t="shared" si="123"/>
        <v>2.25</v>
      </c>
      <c r="I342" s="280">
        <v>2.5</v>
      </c>
      <c r="J342" s="281">
        <f t="shared" si="124" ref="J342:L342">I342+0.25</f>
        <v>2.75</v>
      </c>
      <c r="K342" s="281">
        <f t="shared" si="124"/>
        <v>3</v>
      </c>
      <c r="L342" s="281">
        <f t="shared" si="124"/>
        <v>3.25</v>
      </c>
    </row>
    <row r="343" ht="24" customHeight="1">
      <c r="D343" s="259" t="s">
        <v>304</v>
      </c>
      <c r="E343" s="274">
        <f t="shared" si="117"/>
        <v>3.5</v>
      </c>
      <c r="F343" s="275" t="s">
        <v>359</v>
      </c>
      <c r="G343" s="276" t="s">
        <v>396</v>
      </c>
      <c r="H343" s="276" t="s">
        <v>397</v>
      </c>
      <c r="I343" s="276" t="s">
        <v>308</v>
      </c>
      <c r="J343" s="276" t="s">
        <v>398</v>
      </c>
      <c r="K343" s="276" t="s">
        <v>399</v>
      </c>
      <c r="L343" s="276" t="s">
        <v>330</v>
      </c>
    </row>
    <row r="344" ht="24" customHeight="1">
      <c r="D344" s="259"/>
      <c r="E344" s="274">
        <f t="shared" si="117"/>
        <v>4</v>
      </c>
      <c r="F344" s="277" t="s">
        <v>400</v>
      </c>
      <c r="G344" s="25" t="s">
        <v>401</v>
      </c>
      <c r="H344" s="25" t="s">
        <v>402</v>
      </c>
      <c r="I344" s="25" t="s">
        <v>315</v>
      </c>
      <c r="J344" s="25" t="s">
        <v>403</v>
      </c>
      <c r="K344" s="25" t="s">
        <v>404</v>
      </c>
      <c r="L344" s="25" t="s">
        <v>322</v>
      </c>
    </row>
    <row r="345" ht="24" customHeight="1">
      <c r="D345" s="259"/>
      <c r="E345" s="274">
        <f t="shared" si="117"/>
        <v>4.5</v>
      </c>
      <c r="F345" s="277" t="s">
        <v>364</v>
      </c>
      <c r="G345" s="25" t="s">
        <v>405</v>
      </c>
      <c r="H345" s="25" t="s">
        <v>406</v>
      </c>
      <c r="I345" s="25" t="s">
        <v>322</v>
      </c>
      <c r="J345" s="25" t="s">
        <v>407</v>
      </c>
      <c r="K345" s="25" t="s">
        <v>408</v>
      </c>
      <c r="L345" s="25" t="s">
        <v>409</v>
      </c>
    </row>
    <row r="346" ht="24" customHeight="1">
      <c r="D346" s="259"/>
      <c r="E346" s="273">
        <v>5</v>
      </c>
      <c r="F346" s="277" t="s">
        <v>322</v>
      </c>
      <c r="G346" s="25" t="s">
        <v>363</v>
      </c>
      <c r="H346" s="25" t="s">
        <v>370</v>
      </c>
      <c r="I346" s="278" t="s">
        <v>303</v>
      </c>
      <c r="J346" s="25" t="s">
        <v>376</v>
      </c>
      <c r="K346" s="25" t="s">
        <v>383</v>
      </c>
      <c r="L346" s="25" t="s">
        <v>390</v>
      </c>
    </row>
    <row r="347" ht="24" customHeight="1">
      <c r="D347" s="259"/>
      <c r="E347" s="274">
        <f t="shared" si="118"/>
        <v>5.5</v>
      </c>
      <c r="F347" s="277" t="s">
        <v>410</v>
      </c>
      <c r="G347" s="25" t="s">
        <v>411</v>
      </c>
      <c r="H347" s="25" t="s">
        <v>412</v>
      </c>
      <c r="I347" s="25" t="s">
        <v>335</v>
      </c>
      <c r="J347" s="25" t="s">
        <v>413</v>
      </c>
      <c r="K347" s="25" t="s">
        <v>414</v>
      </c>
      <c r="L347" s="25" t="s">
        <v>415</v>
      </c>
    </row>
    <row r="348" ht="24" customHeight="1">
      <c r="D348" s="259"/>
      <c r="E348" s="274">
        <f t="shared" si="118"/>
        <v>6</v>
      </c>
      <c r="F348" s="277" t="s">
        <v>416</v>
      </c>
      <c r="G348" s="25" t="s">
        <v>335</v>
      </c>
      <c r="H348" s="25" t="s">
        <v>417</v>
      </c>
      <c r="I348" s="25" t="s">
        <v>342</v>
      </c>
      <c r="J348" s="25" t="s">
        <v>418</v>
      </c>
      <c r="K348" s="25" t="s">
        <v>320</v>
      </c>
      <c r="L348" s="25" t="s">
        <v>341</v>
      </c>
    </row>
    <row r="349" ht="24" customHeight="1">
      <c r="D349" s="259"/>
      <c r="E349" s="274">
        <f t="shared" si="118"/>
        <v>6.5</v>
      </c>
      <c r="F349" s="277" t="s">
        <v>419</v>
      </c>
      <c r="G349" s="25" t="s">
        <v>420</v>
      </c>
      <c r="H349" s="25" t="s">
        <v>421</v>
      </c>
      <c r="I349" s="25" t="s">
        <v>349</v>
      </c>
      <c r="J349" s="25" t="s">
        <v>422</v>
      </c>
      <c r="K349" s="25" t="s">
        <v>423</v>
      </c>
      <c r="L349" s="25" t="s">
        <v>424</v>
      </c>
    </row>
  </sheetData>
  <mergeCells>
    <mergeCell ref="D329:D335"/>
    <mergeCell ref="F339:L339"/>
    <mergeCell ref="F341:L341"/>
    <mergeCell ref="D343:D349"/>
    <mergeCell ref="D315:D321"/>
    <mergeCell ref="F325:L325"/>
    <mergeCell ref="F327:L327"/>
    <mergeCell ref="G304:J304"/>
    <mergeCell ref="G305:J305"/>
    <mergeCell ref="F313:L313"/>
    <mergeCell ref="F311:L311"/>
    <mergeCell ref="K175:O175"/>
    <mergeCell ref="K211:O211"/>
    <mergeCell ref="K233:O233"/>
    <mergeCell ref="I298:I302"/>
    <mergeCell ref="G298:G302"/>
    <mergeCell ref="K258:O258"/>
    <mergeCell ref="J259:J260"/>
    <mergeCell ref="K247:O247"/>
    <mergeCell ref="J248:J249"/>
    <mergeCell ref="F160:J160"/>
    <mergeCell ref="K160:O160"/>
    <mergeCell ref="D161:D162"/>
    <mergeCell ref="E161:E162"/>
    <mergeCell ref="F87:J87"/>
    <mergeCell ref="K87:O87"/>
    <mergeCell ref="D88:D89"/>
    <mergeCell ref="E88:E89"/>
    <mergeCell ref="K117:O117"/>
    <mergeCell ref="H118:I118"/>
    <mergeCell ref="G117:J117"/>
    <mergeCell ref="D259:D260"/>
    <mergeCell ref="E259:E260"/>
    <mergeCell ref="G259:G260"/>
    <mergeCell ref="H259:H260"/>
    <mergeCell ref="I259:I260"/>
    <mergeCell ref="D248:D249"/>
    <mergeCell ref="E248:E249"/>
    <mergeCell ref="G248:G249"/>
    <mergeCell ref="H248:H249"/>
    <mergeCell ref="I248:I249"/>
    <mergeCell ref="N41:N42"/>
    <mergeCell ref="O41:O42"/>
    <mergeCell ref="D41:D42"/>
    <mergeCell ref="D54:D55"/>
    <mergeCell ref="K53:O53"/>
    <mergeCell ref="F53:J53"/>
    <mergeCell ref="E54:E55"/>
    <mergeCell ref="M41:M42"/>
    <mergeCell ref="L29:L30"/>
    <mergeCell ref="H29:I30"/>
    <mergeCell ref="E41:E42"/>
    <mergeCell ref="F41:F42"/>
    <mergeCell ref="G41:G42"/>
    <mergeCell ref="H41:H42"/>
    <mergeCell ref="I41:I42"/>
    <mergeCell ref="J41:J42"/>
    <mergeCell ref="K41:K42"/>
    <mergeCell ref="L41:L42"/>
    <mergeCell ref="F29:F30"/>
    <mergeCell ref="D29:D30"/>
    <mergeCell ref="E29:E30"/>
    <mergeCell ref="B29:B30"/>
    <mergeCell ref="J29:J30"/>
    <mergeCell ref="K29:K30"/>
  </mergeCell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Cover</vt:lpstr>
      <vt:lpstr>Historical Financials</vt:lpstr>
      <vt:lpstr>Capex &amp;amp;amp; NWC Drivers</vt:lpstr>
      <vt:lpstr>P&amp;amp;amp;L Drivers</vt:lpstr>
      <vt:lpstr>Returns Model</vt:lpstr>
      <vt:lpstr>&amp;apos;Capex &amp;amp;amp; NWC Drivers&amp;apos;!Print_Area</vt:lpstr>
      <vt:lpstr>Cover!Print_Area</vt:lpstr>
      <vt:lpstr>&amp;apos;Historical Financials&amp;apos;!Print_Area</vt:lpstr>
      <vt:lpstr>&amp;apos;P&amp;amp;amp;L Drivers&amp;apos;!Print_Area</vt:lpstr>
      <vt:lpstr>&amp;apos;Returns Model&amp;apos;!Print_Area</vt:lpstr>
      <vt:lpstr>Cover!Print_Titles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2026-01-22T18:05:41Z</dcterms:created>
  <dcterms:modified xsi:type="dcterms:W3CDTF">2026-01-22T18:05:44Z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nalysis00" linkTarget="Prop_Analysis00">
    <vt:lpwstr>#REF!</vt:lpwstr>
  </property>
  <property fmtid="{D5CDD505-2E9C-101B-9397-08002B2CF9AE}" pid="3" name="Analysis99" linkTarget="Prop_Analysis99">
    <vt:lpwstr>#REF!</vt:lpwstr>
  </property>
  <property fmtid="{D5CDD505-2E9C-101B-9397-08002B2CF9AE}" pid="4" name="TAX_GROW" linkTarget="PROP_TAX_GROW">
    <vt:lpwstr>#REF!</vt:lpwstr>
  </property>
</Properties>
</file>