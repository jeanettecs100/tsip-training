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4" documentId="13_ncr:8001_{3998887E-05E2-4DA2-9C3A-FE9C4F7AC9DC}" xr6:coauthVersionLast="47" xr6:coauthVersionMax="47" xr10:uidLastSave="{54286B9C-BF66-4E17-935C-B53AA555BDB7}"/>
  <bookViews>
    <workbookView xWindow="1215" yWindow="2160" windowWidth="21225" windowHeight="13260" xr2:uid="{0E912B02-B0E6-41FE-80D1-383EC273A710}"/>
  </bookViews>
  <sheets>
    <sheet name="LBO Model" sheetId="2" r:id="rId1"/>
  </sheets>
  <definedNames>
    <definedName name="circ">'LBO Model'!$O$4</definedName>
    <definedName name="_xlnm.Print_Area" localSheetId="0">'LBO Model'!$B$3:$M$35,'LBO Model'!$B$37:$M$65,'LBO Model'!$B$68:$M$125,'LBO Model'!$B$128:$N$159</definedName>
    <definedName name="_xlnm.Print_Titles" localSheetId="0">'LBO Model'!#REF!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2" i="2" l="1"/>
  <c r="K82" i="2"/>
  <c r="J82" i="2"/>
  <c r="I82" i="2"/>
  <c r="H82" i="2"/>
  <c r="H83" i="2" s="1"/>
  <c r="M154" i="2" l="1"/>
  <c r="N154" i="2" s="1"/>
  <c r="K154" i="2"/>
  <c r="J154" i="2" s="1"/>
  <c r="I158" i="2"/>
  <c r="I159" i="2" s="1"/>
  <c r="I156" i="2"/>
  <c r="I155" i="2"/>
  <c r="K25" i="2" l="1"/>
  <c r="B158" i="2" l="1"/>
  <c r="B159" i="2" s="1"/>
  <c r="M31" i="2"/>
  <c r="L132" i="2"/>
  <c r="K132" i="2"/>
  <c r="J132" i="2"/>
  <c r="I132" i="2"/>
  <c r="H132" i="2"/>
  <c r="G117" i="2"/>
  <c r="G115" i="2"/>
  <c r="G100" i="2"/>
  <c r="H100" i="2" s="1"/>
  <c r="I100" i="2" s="1"/>
  <c r="J100" i="2" s="1"/>
  <c r="K100" i="2" s="1"/>
  <c r="L100" i="2" s="1"/>
  <c r="F100" i="2"/>
  <c r="G91" i="2"/>
  <c r="L91" i="2" s="1"/>
  <c r="F91" i="2"/>
  <c r="G79" i="2"/>
  <c r="F79" i="2"/>
  <c r="M34" i="2"/>
  <c r="M32" i="2"/>
  <c r="F23" i="2"/>
  <c r="G43" i="2"/>
  <c r="F26" i="2" s="1"/>
  <c r="F30" i="2" s="1"/>
  <c r="H88" i="2" s="1"/>
  <c r="G118" i="2" s="1"/>
  <c r="H40" i="2"/>
  <c r="I40" i="2" s="1"/>
  <c r="I56" i="2" s="1"/>
  <c r="G39" i="2"/>
  <c r="D154" i="2" l="1"/>
  <c r="C154" i="2" s="1"/>
  <c r="F154" i="2"/>
  <c r="G154" i="2" s="1"/>
  <c r="B156" i="2"/>
  <c r="I91" i="2"/>
  <c r="I79" i="2"/>
  <c r="L79" i="2"/>
  <c r="J79" i="2"/>
  <c r="K91" i="2"/>
  <c r="H91" i="2"/>
  <c r="K79" i="2"/>
  <c r="I57" i="2"/>
  <c r="J91" i="2"/>
  <c r="H46" i="2"/>
  <c r="H54" i="2" s="1"/>
  <c r="H79" i="2"/>
  <c r="H56" i="2"/>
  <c r="I46" i="2"/>
  <c r="I54" i="2" s="1"/>
  <c r="H57" i="2"/>
  <c r="F31" i="2"/>
  <c r="K22" i="2"/>
  <c r="J40" i="2"/>
  <c r="I43" i="2"/>
  <c r="H43" i="2"/>
  <c r="H137" i="2"/>
  <c r="I137" i="2" s="1"/>
  <c r="J137" i="2" s="1"/>
  <c r="K137" i="2" s="1"/>
  <c r="L137" i="2" s="1"/>
  <c r="H130" i="2"/>
  <c r="I130" i="2" s="1"/>
  <c r="H72" i="2"/>
  <c r="I72" i="2" s="1"/>
  <c r="J72" i="2" s="1"/>
  <c r="K72" i="2" s="1"/>
  <c r="L72" i="2" s="1"/>
  <c r="H114" i="2"/>
  <c r="I114" i="2" s="1"/>
  <c r="J114" i="2" s="1"/>
  <c r="K114" i="2" s="1"/>
  <c r="L114" i="2" s="1"/>
  <c r="H131" i="2" l="1"/>
  <c r="H133" i="2" s="1"/>
  <c r="B155" i="2"/>
  <c r="K23" i="2"/>
  <c r="M33" i="2" s="1"/>
  <c r="F108" i="2" s="1"/>
  <c r="H97" i="2"/>
  <c r="G119" i="2" s="1"/>
  <c r="G120" i="2" s="1"/>
  <c r="I47" i="2"/>
  <c r="J57" i="2"/>
  <c r="J56" i="2"/>
  <c r="J46" i="2"/>
  <c r="J54" i="2" s="1"/>
  <c r="F32" i="2"/>
  <c r="F7" i="2"/>
  <c r="F9" i="2" s="1"/>
  <c r="F12" i="2" s="1"/>
  <c r="M30" i="2" s="1"/>
  <c r="H47" i="2"/>
  <c r="K40" i="2"/>
  <c r="J43" i="2"/>
  <c r="J130" i="2"/>
  <c r="B139" i="2"/>
  <c r="B138" i="2"/>
  <c r="G124" i="2" l="1"/>
  <c r="G122" i="2"/>
  <c r="G125" i="2" s="1"/>
  <c r="K108" i="2"/>
  <c r="K49" i="2" s="1"/>
  <c r="K55" i="2" s="1"/>
  <c r="L108" i="2"/>
  <c r="L49" i="2" s="1"/>
  <c r="L55" i="2" s="1"/>
  <c r="J47" i="2"/>
  <c r="I131" i="2"/>
  <c r="I133" i="2" s="1"/>
  <c r="I108" i="2"/>
  <c r="I49" i="2" s="1"/>
  <c r="I55" i="2" s="1"/>
  <c r="H108" i="2"/>
  <c r="H49" i="2" s="1"/>
  <c r="H55" i="2" s="1"/>
  <c r="K56" i="2"/>
  <c r="K46" i="2"/>
  <c r="K54" i="2" s="1"/>
  <c r="K57" i="2"/>
  <c r="J108" i="2"/>
  <c r="J49" i="2" s="1"/>
  <c r="J55" i="2" s="1"/>
  <c r="M35" i="2"/>
  <c r="F35" i="2" s="1"/>
  <c r="F34" i="2" s="1"/>
  <c r="L40" i="2"/>
  <c r="M40" i="2" s="1"/>
  <c r="M43" i="2" s="1"/>
  <c r="L131" i="2" s="1"/>
  <c r="L133" i="2" s="1"/>
  <c r="K43" i="2"/>
  <c r="J131" i="2" s="1"/>
  <c r="J133" i="2" s="1"/>
  <c r="K130" i="2"/>
  <c r="B140" i="2"/>
  <c r="G142" i="2" l="1"/>
  <c r="G138" i="2"/>
  <c r="G141" i="2"/>
  <c r="G140" i="2"/>
  <c r="G139" i="2"/>
  <c r="O35" i="2"/>
  <c r="L43" i="2"/>
  <c r="K131" i="2" s="1"/>
  <c r="K133" i="2" s="1"/>
  <c r="L57" i="2"/>
  <c r="L56" i="2"/>
  <c r="L46" i="2"/>
  <c r="L54" i="2" s="1"/>
  <c r="K47" i="2"/>
  <c r="L130" i="2"/>
  <c r="B142" i="2" s="1"/>
  <c r="B141" i="2"/>
  <c r="L47" i="2" l="1"/>
  <c r="I39" i="2" l="1"/>
  <c r="J39" i="2" s="1"/>
  <c r="K39" i="2" s="1"/>
  <c r="L39" i="2" s="1"/>
  <c r="M39" i="2" s="1"/>
  <c r="M8" i="2"/>
  <c r="M9" i="2"/>
  <c r="H48" i="2"/>
  <c r="I48" i="2"/>
  <c r="J48" i="2"/>
  <c r="K48" i="2"/>
  <c r="L48" i="2"/>
  <c r="H50" i="2"/>
  <c r="I50" i="2"/>
  <c r="J50" i="2"/>
  <c r="K50" i="2"/>
  <c r="L50" i="2"/>
  <c r="H51" i="2"/>
  <c r="I51" i="2"/>
  <c r="J51" i="2"/>
  <c r="K51" i="2"/>
  <c r="L51" i="2"/>
  <c r="H52" i="2"/>
  <c r="I52" i="2"/>
  <c r="J52" i="2"/>
  <c r="K52" i="2"/>
  <c r="L52" i="2"/>
  <c r="H58" i="2"/>
  <c r="I58" i="2"/>
  <c r="J58" i="2"/>
  <c r="K58" i="2"/>
  <c r="L58" i="2"/>
  <c r="O58" i="2"/>
  <c r="H59" i="2"/>
  <c r="I59" i="2"/>
  <c r="J59" i="2"/>
  <c r="K59" i="2"/>
  <c r="L59" i="2"/>
  <c r="H60" i="2"/>
  <c r="I60" i="2"/>
  <c r="J60" i="2"/>
  <c r="K60" i="2"/>
  <c r="L60" i="2"/>
  <c r="H73" i="2"/>
  <c r="I73" i="2"/>
  <c r="J73" i="2"/>
  <c r="K73" i="2"/>
  <c r="L73" i="2"/>
  <c r="I76" i="2"/>
  <c r="J76" i="2"/>
  <c r="K76" i="2"/>
  <c r="L76" i="2"/>
  <c r="H77" i="2"/>
  <c r="I77" i="2"/>
  <c r="J77" i="2"/>
  <c r="K77" i="2"/>
  <c r="L77" i="2"/>
  <c r="H78" i="2"/>
  <c r="I78" i="2"/>
  <c r="J78" i="2"/>
  <c r="K78" i="2"/>
  <c r="L78" i="2"/>
  <c r="H80" i="2"/>
  <c r="I80" i="2"/>
  <c r="J80" i="2"/>
  <c r="K80" i="2"/>
  <c r="L80" i="2"/>
  <c r="I83" i="2"/>
  <c r="J83" i="2"/>
  <c r="K83" i="2"/>
  <c r="L83" i="2"/>
  <c r="H85" i="2"/>
  <c r="I85" i="2"/>
  <c r="J85" i="2"/>
  <c r="K85" i="2"/>
  <c r="L85" i="2"/>
  <c r="I88" i="2"/>
  <c r="J88" i="2"/>
  <c r="K88" i="2"/>
  <c r="L88" i="2"/>
  <c r="H89" i="2"/>
  <c r="I89" i="2"/>
  <c r="J89" i="2"/>
  <c r="K89" i="2"/>
  <c r="L89" i="2"/>
  <c r="H90" i="2"/>
  <c r="I90" i="2"/>
  <c r="J90" i="2"/>
  <c r="K90" i="2"/>
  <c r="L90" i="2"/>
  <c r="H92" i="2"/>
  <c r="I92" i="2"/>
  <c r="J92" i="2"/>
  <c r="K92" i="2"/>
  <c r="L92" i="2"/>
  <c r="H94" i="2"/>
  <c r="I94" i="2"/>
  <c r="J94" i="2"/>
  <c r="K94" i="2"/>
  <c r="L94" i="2"/>
  <c r="I97" i="2"/>
  <c r="J97" i="2"/>
  <c r="K97" i="2"/>
  <c r="L97" i="2"/>
  <c r="H98" i="2"/>
  <c r="I98" i="2"/>
  <c r="J98" i="2"/>
  <c r="K98" i="2"/>
  <c r="L98" i="2"/>
  <c r="H99" i="2"/>
  <c r="I99" i="2"/>
  <c r="J99" i="2"/>
  <c r="K99" i="2"/>
  <c r="L99" i="2"/>
  <c r="H101" i="2"/>
  <c r="I101" i="2"/>
  <c r="J101" i="2"/>
  <c r="K101" i="2"/>
  <c r="L101" i="2"/>
  <c r="H104" i="2"/>
  <c r="I104" i="2"/>
  <c r="J104" i="2"/>
  <c r="K104" i="2"/>
  <c r="L104" i="2"/>
  <c r="H105" i="2"/>
  <c r="I105" i="2"/>
  <c r="J105" i="2"/>
  <c r="K105" i="2"/>
  <c r="L105" i="2"/>
  <c r="H106" i="2"/>
  <c r="I106" i="2"/>
  <c r="J106" i="2"/>
  <c r="K106" i="2"/>
  <c r="L106" i="2"/>
  <c r="H107" i="2"/>
  <c r="I107" i="2"/>
  <c r="J107" i="2"/>
  <c r="K107" i="2"/>
  <c r="L107" i="2"/>
  <c r="H109" i="2"/>
  <c r="I109" i="2"/>
  <c r="J109" i="2"/>
  <c r="K109" i="2"/>
  <c r="L109" i="2"/>
  <c r="H115" i="2"/>
  <c r="I115" i="2"/>
  <c r="J115" i="2"/>
  <c r="K115" i="2"/>
  <c r="L115" i="2"/>
  <c r="H117" i="2"/>
  <c r="I117" i="2"/>
  <c r="J117" i="2"/>
  <c r="K117" i="2"/>
  <c r="L117" i="2"/>
  <c r="H118" i="2"/>
  <c r="I118" i="2"/>
  <c r="J118" i="2"/>
  <c r="K118" i="2"/>
  <c r="L118" i="2"/>
  <c r="H119" i="2"/>
  <c r="I119" i="2"/>
  <c r="J119" i="2"/>
  <c r="K119" i="2"/>
  <c r="L119" i="2"/>
  <c r="H120" i="2"/>
  <c r="I120" i="2"/>
  <c r="J120" i="2"/>
  <c r="K120" i="2"/>
  <c r="L120" i="2"/>
  <c r="H121" i="2"/>
  <c r="I121" i="2"/>
  <c r="J121" i="2"/>
  <c r="K121" i="2"/>
  <c r="L121" i="2"/>
  <c r="H122" i="2"/>
  <c r="I122" i="2"/>
  <c r="J122" i="2"/>
  <c r="K122" i="2"/>
  <c r="L122" i="2"/>
  <c r="H124" i="2"/>
  <c r="I124" i="2"/>
  <c r="J124" i="2"/>
  <c r="K124" i="2"/>
  <c r="L124" i="2"/>
  <c r="H125" i="2"/>
  <c r="I125" i="2"/>
  <c r="J125" i="2"/>
  <c r="K125" i="2"/>
  <c r="L125" i="2"/>
  <c r="H134" i="2"/>
  <c r="I134" i="2"/>
  <c r="J134" i="2"/>
  <c r="K134" i="2"/>
  <c r="L134" i="2"/>
  <c r="H135" i="2"/>
  <c r="I135" i="2"/>
  <c r="J135" i="2"/>
  <c r="K135" i="2"/>
  <c r="L135" i="2"/>
  <c r="H138" i="2"/>
  <c r="I139" i="2"/>
  <c r="J140" i="2"/>
  <c r="K141" i="2"/>
  <c r="L142" i="2"/>
  <c r="H144" i="2"/>
  <c r="I144" i="2"/>
  <c r="J144" i="2"/>
  <c r="K144" i="2"/>
  <c r="L144" i="2"/>
  <c r="H145" i="2"/>
  <c r="I145" i="2"/>
  <c r="J145" i="2"/>
  <c r="K145" i="2"/>
  <c r="L145" i="2"/>
  <c r="B154" i="2"/>
  <c r="I154" i="2"/>
</calcChain>
</file>

<file path=xl/sharedStrings.xml><?xml version="1.0" encoding="utf-8"?>
<sst xmlns="http://schemas.openxmlformats.org/spreadsheetml/2006/main" count="134" uniqueCount="99">
  <si>
    <t>Transaction Drivers</t>
  </si>
  <si>
    <t>Entry EBITDA</t>
  </si>
  <si>
    <t>(x) Entry Multiple</t>
  </si>
  <si>
    <t>Purchase Enterprise Value</t>
  </si>
  <si>
    <t>Financial Forecast</t>
  </si>
  <si>
    <t>Revenue</t>
  </si>
  <si>
    <t>% Margin</t>
  </si>
  <si>
    <t>EBITDA</t>
  </si>
  <si>
    <t>EBIT</t>
  </si>
  <si>
    <t>Less: D&amp;A</t>
  </si>
  <si>
    <t>EBT</t>
  </si>
  <si>
    <t>Less: Taxes</t>
  </si>
  <si>
    <t>Net Income</t>
  </si>
  <si>
    <t>% Growth</t>
  </si>
  <si>
    <t>Less: Cash Interest Expense</t>
  </si>
  <si>
    <t>Less: Amortization of Financing Fees</t>
  </si>
  <si>
    <t>Plus: D&amp;A</t>
  </si>
  <si>
    <t>Plus: Amortization of Financing Fees</t>
  </si>
  <si>
    <t>Less: Capex</t>
  </si>
  <si>
    <t>Less: (Increase) / Decrease in NWC</t>
  </si>
  <si>
    <t>Free Cash Flow (Before Debt Paydown)</t>
  </si>
  <si>
    <t>Debt Schedule</t>
  </si>
  <si>
    <t>Optional Borrowing / (Repayment)</t>
  </si>
  <si>
    <t>Beginning Balance</t>
  </si>
  <si>
    <t>Ending Balance</t>
  </si>
  <si>
    <t>Revolver</t>
  </si>
  <si>
    <t>Interest Rate</t>
  </si>
  <si>
    <t>Cash Available for Revolver Paydown</t>
  </si>
  <si>
    <t>(Repayment)</t>
  </si>
  <si>
    <t>Cash Available for Optional Senior Notes</t>
  </si>
  <si>
    <t>Interest Calculation</t>
  </si>
  <si>
    <t>Senior Notes</t>
  </si>
  <si>
    <t>Bank Debt</t>
  </si>
  <si>
    <t>Cash Available for Bank Debt Paydown</t>
  </si>
  <si>
    <t>Total Interest Expense</t>
  </si>
  <si>
    <t>Amortization of Financing Fees</t>
  </si>
  <si>
    <t>Total Cash Interest Expense</t>
  </si>
  <si>
    <t>Balance Sheet</t>
  </si>
  <si>
    <t>Cash</t>
  </si>
  <si>
    <t>Total Debt</t>
  </si>
  <si>
    <t>% of Initial Debt</t>
  </si>
  <si>
    <t>Total Debt / EBITDA</t>
  </si>
  <si>
    <t>Returns Calculation</t>
  </si>
  <si>
    <t>NFY EBITDA</t>
  </si>
  <si>
    <t>(x) Exit Multiple</t>
  </si>
  <si>
    <t>Total Enterprise Value</t>
  </si>
  <si>
    <t>Less: Net Debt</t>
  </si>
  <si>
    <t>Equity Value</t>
  </si>
  <si>
    <t>IRR</t>
  </si>
  <si>
    <t>MoM</t>
  </si>
  <si>
    <t>Sensitivity Tables</t>
  </si>
  <si>
    <t>Exit Multiple</t>
  </si>
  <si>
    <t>Entry</t>
  </si>
  <si>
    <t>Sources &amp; Uses</t>
  </si>
  <si>
    <t>Sources</t>
  </si>
  <si>
    <t>Purchase Equity Value</t>
  </si>
  <si>
    <t>Refinancing Net Debt</t>
  </si>
  <si>
    <t>Cash to B/S</t>
  </si>
  <si>
    <t>Underwriting Fees</t>
  </si>
  <si>
    <t>Transaction Expenses</t>
  </si>
  <si>
    <t>Uses</t>
  </si>
  <si>
    <t>Total Uses</t>
  </si>
  <si>
    <t>Equity Investment</t>
  </si>
  <si>
    <t>Model Assumptions</t>
  </si>
  <si>
    <t>Total Sources</t>
  </si>
  <si>
    <t>Check</t>
  </si>
  <si>
    <t>Total Leverage</t>
  </si>
  <si>
    <t>Revolver Capacity</t>
  </si>
  <si>
    <t>Rate</t>
  </si>
  <si>
    <t>L+ Floor</t>
  </si>
  <si>
    <t>Tax Rate</t>
  </si>
  <si>
    <t>Transaction</t>
  </si>
  <si>
    <t>Debt</t>
  </si>
  <si>
    <t>Entry Valuation</t>
  </si>
  <si>
    <t>(x) EBITDA</t>
  </si>
  <si>
    <t>Leverageable EBITDA</t>
  </si>
  <si>
    <t>Less: Debt</t>
  </si>
  <si>
    <t>Plus: Cash</t>
  </si>
  <si>
    <t>Fee (%)</t>
  </si>
  <si>
    <t>Fee ($)</t>
  </si>
  <si>
    <t>Operating Assumptions</t>
  </si>
  <si>
    <t>D&amp;A % of Revenue</t>
  </si>
  <si>
    <t>Capex % of Revenue</t>
  </si>
  <si>
    <t>Increase in NWC % of Revenue</t>
  </si>
  <si>
    <t>LIBOR Curve</t>
  </si>
  <si>
    <t>Floor</t>
  </si>
  <si>
    <t>Interest Expense</t>
  </si>
  <si>
    <t>Amount</t>
  </si>
  <si>
    <t>Yrs</t>
  </si>
  <si>
    <t>Txn</t>
  </si>
  <si>
    <t>Less: Optional Borrowing / (Repayment)</t>
  </si>
  <si>
    <t>Cash Flow</t>
  </si>
  <si>
    <t>Circ</t>
  </si>
  <si>
    <t>5 Year Returns</t>
  </si>
  <si>
    <t>FCF Check</t>
  </si>
  <si>
    <t>Total Net Debt</t>
  </si>
  <si>
    <t>Total Net Debt / EBITDA</t>
  </si>
  <si>
    <t>Maximum Capacity</t>
  </si>
  <si>
    <t>Available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</si>
</sst>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\x_);\(#,##0.0\x\);\-\-_)"/>
    <numFmt numFmtId="165" formatCode="#&quot;E&quot;"/>
    <numFmt numFmtId="166" formatCode="m/d/yy"/>
    <numFmt numFmtId="167" formatCode="#&quot;A&quot;"/>
    <numFmt numFmtId="168" formatCode="&quot;$&quot;#,##0_);\(&quot;$&quot;#,##0\);\-\-_)"/>
    <numFmt numFmtId="169" formatCode="0.0%"/>
    <numFmt numFmtId="170" formatCode="0.00%_);\(0.00%\);\-\-_)"/>
    <numFmt numFmtId="171" formatCode="&quot;L + &quot;#"/>
    <numFmt numFmtId="172" formatCode="0.0%_);\(0.0%\);\-\-_)"/>
    <numFmt numFmtId="173" formatCode="0%_);\(0%\);\-\-_)"/>
    <numFmt numFmtId="174" formatCode="#,##0_);\(#,##0\);\-\-_)"/>
    <numFmt numFmtId="175" formatCode="#\ &quot;Years&quot;"/>
    <numFmt numFmtId="176" formatCode="&quot;Multiple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i/>
      <u/>
      <sz val="10"/>
      <color theme="1"/>
      <name val="Arial"/>
      <family val="2"/>
    </font>
    <font>
      <sz val="10"/>
      <color rgb="FF00B050"/>
      <name val="Arial"/>
      <family val="2"/>
    </font>
    <font>
      <i/>
      <sz val="10"/>
      <color rgb="FF00B050"/>
      <name val="Arial"/>
      <family val="2"/>
    </font>
    <font>
      <i/>
      <sz val="10"/>
      <name val="Arial"/>
      <family val="2"/>
    </font>
    <font>
      <u/>
      <sz val="10"/>
      <color theme="1"/>
      <name val="Arial"/>
      <family val="2"/>
    </font>
    <font>
      <b/>
      <sz val="10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3" fillId="2" borderId="0" xfId="0" applyFont="1" applyFill="1"/>
    <xf numFmtId="164" fontId="5" fillId="0" borderId="0" xfId="0" applyNumberFormat="1" applyFont="1"/>
    <xf numFmtId="165" fontId="2" fillId="0" borderId="0" xfId="0" applyNumberFormat="1" applyFont="1"/>
    <xf numFmtId="0" fontId="2" fillId="0" borderId="2" xfId="0" applyFont="1" applyBorder="1"/>
    <xf numFmtId="0" fontId="6" fillId="0" borderId="2" xfId="0" applyFont="1" applyBorder="1"/>
    <xf numFmtId="0" fontId="6" fillId="0" borderId="0" xfId="0" applyFont="1"/>
    <xf numFmtId="0" fontId="4" fillId="0" borderId="0" xfId="0" applyFont="1"/>
    <xf numFmtId="166" fontId="2" fillId="0" borderId="0" xfId="0" applyNumberFormat="1" applyFont="1"/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Continuous"/>
    </xf>
    <xf numFmtId="0" fontId="7" fillId="3" borderId="10" xfId="0" applyFont="1" applyFill="1" applyBorder="1" applyAlignment="1">
      <alignment horizontal="centerContinuous"/>
    </xf>
    <xf numFmtId="0" fontId="7" fillId="3" borderId="11" xfId="0" applyFont="1" applyFill="1" applyBorder="1" applyAlignment="1">
      <alignment horizontal="centerContinuous"/>
    </xf>
    <xf numFmtId="0" fontId="7" fillId="3" borderId="12" xfId="0" applyFont="1" applyFill="1" applyBorder="1" applyAlignment="1">
      <alignment horizontal="centerContinuous"/>
    </xf>
    <xf numFmtId="0" fontId="8" fillId="0" borderId="0" xfId="0" applyFont="1"/>
    <xf numFmtId="0" fontId="6" fillId="0" borderId="0" xfId="0" applyFont="1" applyAlignment="1">
      <alignment horizontal="center"/>
    </xf>
    <xf numFmtId="0" fontId="9" fillId="0" borderId="0" xfId="0" applyFont="1"/>
    <xf numFmtId="0" fontId="2" fillId="4" borderId="0" xfId="0" applyFont="1" applyFill="1"/>
    <xf numFmtId="0" fontId="6" fillId="4" borderId="0" xfId="0" applyFont="1" applyFill="1"/>
    <xf numFmtId="168" fontId="2" fillId="0" borderId="2" xfId="0" applyNumberFormat="1" applyFont="1" applyBorder="1"/>
    <xf numFmtId="168" fontId="2" fillId="0" borderId="0" xfId="0" applyNumberFormat="1" applyFont="1"/>
    <xf numFmtId="168" fontId="6" fillId="0" borderId="0" xfId="0" applyNumberFormat="1" applyFont="1"/>
    <xf numFmtId="168" fontId="6" fillId="0" borderId="2" xfId="0" applyNumberFormat="1" applyFont="1" applyBorder="1"/>
    <xf numFmtId="164" fontId="8" fillId="0" borderId="0" xfId="0" applyNumberFormat="1" applyFont="1"/>
    <xf numFmtId="170" fontId="5" fillId="0" borderId="0" xfId="1" applyNumberFormat="1" applyFont="1"/>
    <xf numFmtId="164" fontId="5" fillId="0" borderId="2" xfId="0" applyNumberFormat="1" applyFont="1" applyBorder="1"/>
    <xf numFmtId="170" fontId="5" fillId="0" borderId="2" xfId="1" applyNumberFormat="1" applyFont="1" applyBorder="1"/>
    <xf numFmtId="171" fontId="5" fillId="0" borderId="2" xfId="0" applyNumberFormat="1" applyFont="1" applyBorder="1" applyAlignment="1">
      <alignment horizontal="center"/>
    </xf>
    <xf numFmtId="170" fontId="5" fillId="0" borderId="0" xfId="1" applyNumberFormat="1" applyFont="1" applyBorder="1"/>
    <xf numFmtId="171" fontId="5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173" fontId="5" fillId="0" borderId="0" xfId="1" applyNumberFormat="1" applyFont="1"/>
    <xf numFmtId="168" fontId="5" fillId="0" borderId="0" xfId="0" applyNumberFormat="1" applyFont="1"/>
    <xf numFmtId="174" fontId="8" fillId="0" borderId="0" xfId="0" applyNumberFormat="1" applyFont="1"/>
    <xf numFmtId="0" fontId="12" fillId="0" borderId="2" xfId="0" applyFont="1" applyBorder="1"/>
    <xf numFmtId="168" fontId="12" fillId="0" borderId="2" xfId="0" applyNumberFormat="1" applyFont="1" applyBorder="1"/>
    <xf numFmtId="174" fontId="5" fillId="0" borderId="0" xfId="0" applyNumberFormat="1" applyFont="1"/>
    <xf numFmtId="174" fontId="8" fillId="0" borderId="0" xfId="0" applyNumberFormat="1" applyFont="1" applyAlignment="1">
      <alignment horizontal="center"/>
    </xf>
    <xf numFmtId="0" fontId="6" fillId="3" borderId="0" xfId="0" applyFont="1" applyFill="1"/>
    <xf numFmtId="175" fontId="5" fillId="0" borderId="0" xfId="0" applyNumberFormat="1" applyFont="1" applyAlignment="1">
      <alignment horizontal="center"/>
    </xf>
    <xf numFmtId="169" fontId="10" fillId="0" borderId="0" xfId="1" applyNumberFormat="1" applyFont="1"/>
    <xf numFmtId="0" fontId="9" fillId="0" borderId="0" xfId="0" applyFont="1" applyAlignment="1">
      <alignment horizontal="center"/>
    </xf>
    <xf numFmtId="165" fontId="6" fillId="0" borderId="0" xfId="0" applyNumberFormat="1" applyFont="1"/>
    <xf numFmtId="0" fontId="13" fillId="0" borderId="2" xfId="0" applyFont="1" applyBorder="1" applyAlignment="1">
      <alignment horizontal="center"/>
    </xf>
    <xf numFmtId="170" fontId="15" fillId="0" borderId="0" xfId="0" applyNumberFormat="1" applyFont="1" applyAlignment="1">
      <alignment horizontal="center"/>
    </xf>
    <xf numFmtId="171" fontId="15" fillId="0" borderId="0" xfId="0" applyNumberFormat="1" applyFont="1" applyAlignment="1">
      <alignment horizontal="center"/>
    </xf>
    <xf numFmtId="169" fontId="16" fillId="0" borderId="0" xfId="1" applyNumberFormat="1" applyFont="1"/>
    <xf numFmtId="172" fontId="15" fillId="0" borderId="0" xfId="0" applyNumberFormat="1" applyFont="1" applyAlignment="1">
      <alignment horizontal="center"/>
    </xf>
    <xf numFmtId="168" fontId="14" fillId="0" borderId="0" xfId="0" applyNumberFormat="1" applyFont="1"/>
    <xf numFmtId="168" fontId="2" fillId="4" borderId="0" xfId="0" applyNumberFormat="1" applyFont="1" applyFill="1"/>
    <xf numFmtId="168" fontId="6" fillId="4" borderId="0" xfId="0" applyNumberFormat="1" applyFont="1" applyFill="1"/>
    <xf numFmtId="0" fontId="2" fillId="4" borderId="2" xfId="0" applyFont="1" applyFill="1" applyBorder="1"/>
    <xf numFmtId="168" fontId="6" fillId="4" borderId="2" xfId="0" applyNumberFormat="1" applyFont="1" applyFill="1" applyBorder="1"/>
    <xf numFmtId="0" fontId="6" fillId="4" borderId="2" xfId="0" applyFont="1" applyFill="1" applyBorder="1"/>
    <xf numFmtId="174" fontId="14" fillId="0" borderId="0" xfId="0" applyNumberFormat="1" applyFont="1"/>
    <xf numFmtId="0" fontId="17" fillId="0" borderId="0" xfId="0" applyFont="1" applyAlignment="1">
      <alignment horizontal="center"/>
    </xf>
    <xf numFmtId="169" fontId="9" fillId="0" borderId="0" xfId="1" applyNumberFormat="1" applyFont="1"/>
    <xf numFmtId="164" fontId="12" fillId="0" borderId="0" xfId="0" applyNumberFormat="1" applyFont="1"/>
    <xf numFmtId="168" fontId="18" fillId="0" borderId="2" xfId="0" applyNumberFormat="1" applyFont="1" applyBorder="1"/>
    <xf numFmtId="168" fontId="14" fillId="0" borderId="2" xfId="0" applyNumberFormat="1" applyFont="1" applyBorder="1"/>
    <xf numFmtId="0" fontId="2" fillId="4" borderId="1" xfId="0" applyFont="1" applyFill="1" applyBorder="1"/>
    <xf numFmtId="0" fontId="6" fillId="4" borderId="4" xfId="0" applyFont="1" applyFill="1" applyBorder="1"/>
    <xf numFmtId="169" fontId="6" fillId="4" borderId="2" xfId="1" applyNumberFormat="1" applyFont="1" applyFill="1" applyBorder="1"/>
    <xf numFmtId="169" fontId="6" fillId="4" borderId="5" xfId="1" applyNumberFormat="1" applyFont="1" applyFill="1" applyBorder="1"/>
    <xf numFmtId="0" fontId="6" fillId="4" borderId="8" xfId="0" applyFont="1" applyFill="1" applyBorder="1"/>
    <xf numFmtId="0" fontId="6" fillId="4" borderId="1" xfId="0" applyFont="1" applyFill="1" applyBorder="1"/>
    <xf numFmtId="164" fontId="12" fillId="4" borderId="1" xfId="0" applyNumberFormat="1" applyFont="1" applyFill="1" applyBorder="1"/>
    <xf numFmtId="164" fontId="12" fillId="4" borderId="9" xfId="0" applyNumberFormat="1" applyFont="1" applyFill="1" applyBorder="1"/>
    <xf numFmtId="176" fontId="6" fillId="0" borderId="0" xfId="0" applyNumberFormat="1" applyFont="1" applyAlignment="1">
      <alignment horizontal="center"/>
    </xf>
    <xf numFmtId="164" fontId="14" fillId="0" borderId="0" xfId="0" applyNumberFormat="1" applyFont="1"/>
    <xf numFmtId="164" fontId="8" fillId="0" borderId="4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169" fontId="2" fillId="0" borderId="4" xfId="1" applyNumberFormat="1" applyFont="1" applyBorder="1" applyAlignment="1">
      <alignment horizontal="center"/>
    </xf>
    <xf numFmtId="169" fontId="2" fillId="0" borderId="2" xfId="1" applyNumberFormat="1" applyFont="1" applyBorder="1" applyAlignment="1">
      <alignment horizontal="center"/>
    </xf>
    <xf numFmtId="169" fontId="2" fillId="0" borderId="5" xfId="1" applyNumberFormat="1" applyFont="1" applyBorder="1" applyAlignment="1">
      <alignment horizontal="center"/>
    </xf>
    <xf numFmtId="169" fontId="2" fillId="0" borderId="6" xfId="1" applyNumberFormat="1" applyFont="1" applyBorder="1" applyAlignment="1">
      <alignment horizontal="center"/>
    </xf>
    <xf numFmtId="169" fontId="2" fillId="0" borderId="7" xfId="1" applyNumberFormat="1" applyFont="1" applyBorder="1" applyAlignment="1">
      <alignment horizontal="center"/>
    </xf>
    <xf numFmtId="169" fontId="2" fillId="0" borderId="8" xfId="1" applyNumberFormat="1" applyFont="1" applyBorder="1" applyAlignment="1">
      <alignment horizontal="center"/>
    </xf>
    <xf numFmtId="169" fontId="2" fillId="0" borderId="1" xfId="1" applyNumberFormat="1" applyFont="1" applyBorder="1" applyAlignment="1">
      <alignment horizontal="center"/>
    </xf>
    <xf numFmtId="169" fontId="2" fillId="0" borderId="9" xfId="1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72" fontId="10" fillId="0" borderId="0" xfId="1" applyNumberFormat="1" applyFont="1"/>
    <xf numFmtId="169" fontId="2" fillId="4" borderId="0" xfId="1" applyNumberFormat="1" applyFont="1" applyFill="1" applyBorder="1" applyAlignment="1">
      <alignment horizontal="center"/>
    </xf>
    <xf numFmtId="164" fontId="8" fillId="4" borderId="0" xfId="0" applyNumberFormat="1" applyFont="1" applyFill="1" applyAlignment="1">
      <alignment horizontal="center"/>
    </xf>
    <xf numFmtId="167" fontId="6" fillId="0" borderId="13" xfId="0" applyNumberFormat="1" applyFont="1" applyBorder="1"/>
    <xf numFmtId="168" fontId="11" fillId="0" borderId="14" xfId="0" applyNumberFormat="1" applyFont="1" applyBorder="1"/>
    <xf numFmtId="0" fontId="2" fillId="0" borderId="13" xfId="0" applyFont="1" applyBorder="1"/>
    <xf numFmtId="168" fontId="6" fillId="0" borderId="13" xfId="0" applyNumberFormat="1" applyFont="1" applyBorder="1"/>
    <xf numFmtId="169" fontId="10" fillId="0" borderId="13" xfId="1" applyNumberFormat="1" applyFont="1" applyBorder="1"/>
    <xf numFmtId="0" fontId="2" fillId="0" borderId="14" xfId="0" applyFont="1" applyBorder="1"/>
    <xf numFmtId="174" fontId="8" fillId="0" borderId="3" xfId="0" applyNumberFormat="1" applyFont="1" applyBorder="1" applyAlignment="1">
      <alignment horizontal="center"/>
    </xf>
    <xf numFmtId="168" fontId="14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238B-6AA7-499C-ABA6-4423EE0973CA}">
  <dimension ref="B3:O159"/>
  <sheetViews>
    <sheetView showGridLines="0" tabSelected="1" view="pageBreakPreview" zoomScale="110" zoomScaleNormal="100" zoomScaleSheetLayoutView="110" workbookViewId="0"/>
  </sheetViews>
  <sheetFormatPr defaultRowHeight="12.75" x14ac:dyDescent="0.2"/>
  <cols>
    <col min="1" max="16384" width="9.140625" style="1"/>
  </cols>
  <sheetData>
    <row r="3" spans="2:15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O3" s="11" t="s">
        <v>92</v>
      </c>
    </row>
    <row r="4" spans="2:15" x14ac:dyDescent="0.2">
      <c r="O4" s="89">
        <v>1</v>
      </c>
    </row>
    <row r="5" spans="2:15" x14ac:dyDescent="0.2">
      <c r="B5" s="41" t="s">
        <v>63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2:15" x14ac:dyDescent="0.2">
      <c r="B6" s="8" t="s">
        <v>73</v>
      </c>
    </row>
    <row r="7" spans="2:15" x14ac:dyDescent="0.2">
      <c r="B7" s="1" t="s">
        <v>1</v>
      </c>
      <c r="F7" s="51">
        <f>H43</f>
        <v>110</v>
      </c>
      <c r="I7" s="7" t="s">
        <v>93</v>
      </c>
    </row>
    <row r="8" spans="2:15" x14ac:dyDescent="0.2">
      <c r="B8" s="1" t="s">
        <v>2</v>
      </c>
      <c r="F8" s="3">
        <v>10</v>
      </c>
      <c r="I8" s="64" t="s">
        <v>48</v>
      </c>
      <c r="J8" s="54"/>
      <c r="K8" s="54"/>
      <c r="L8" s="54"/>
      <c r="M8" s="66">
        <f ca="1">L144</f>
        <v>0.20368028283119202</v>
      </c>
    </row>
    <row r="9" spans="2:15" x14ac:dyDescent="0.2">
      <c r="B9" s="6" t="s">
        <v>3</v>
      </c>
      <c r="C9" s="6"/>
      <c r="D9" s="6"/>
      <c r="E9" s="6"/>
      <c r="F9" s="24">
        <f>F7*F8</f>
        <v>1100</v>
      </c>
      <c r="I9" s="67" t="s">
        <v>49</v>
      </c>
      <c r="J9" s="63"/>
      <c r="K9" s="63"/>
      <c r="L9" s="63"/>
      <c r="M9" s="70">
        <f t="shared" ref="M9" ca="1" si="0">L145</f>
        <v>2.5279955731465971</v>
      </c>
    </row>
    <row r="10" spans="2:15" x14ac:dyDescent="0.2">
      <c r="B10" s="1" t="s">
        <v>76</v>
      </c>
      <c r="C10" s="7"/>
      <c r="D10" s="7"/>
      <c r="E10" s="7"/>
      <c r="F10" s="35">
        <v>-200</v>
      </c>
    </row>
    <row r="11" spans="2:15" x14ac:dyDescent="0.2">
      <c r="B11" s="1" t="s">
        <v>77</v>
      </c>
      <c r="C11" s="7"/>
      <c r="D11" s="7"/>
      <c r="E11" s="7"/>
      <c r="F11" s="39">
        <v>25</v>
      </c>
    </row>
    <row r="12" spans="2:15" x14ac:dyDescent="0.2">
      <c r="B12" s="6" t="s">
        <v>47</v>
      </c>
      <c r="C12" s="6"/>
      <c r="D12" s="6"/>
      <c r="E12" s="6"/>
      <c r="F12" s="24">
        <f>SUM(F9:F11)</f>
        <v>925</v>
      </c>
    </row>
    <row r="14" spans="2:15" x14ac:dyDescent="0.2">
      <c r="B14" s="8" t="s">
        <v>71</v>
      </c>
      <c r="F14" s="22"/>
    </row>
    <row r="15" spans="2:15" x14ac:dyDescent="0.2">
      <c r="B15" s="1" t="s">
        <v>51</v>
      </c>
      <c r="F15" s="3">
        <v>10</v>
      </c>
    </row>
    <row r="16" spans="2:15" x14ac:dyDescent="0.2">
      <c r="B16" s="1" t="s">
        <v>70</v>
      </c>
      <c r="F16" s="34">
        <v>0.38</v>
      </c>
    </row>
    <row r="17" spans="2:13" x14ac:dyDescent="0.2">
      <c r="B17" s="1" t="s">
        <v>57</v>
      </c>
      <c r="F17" s="35">
        <v>5</v>
      </c>
    </row>
    <row r="18" spans="2:13" x14ac:dyDescent="0.2">
      <c r="B18" s="1" t="s">
        <v>59</v>
      </c>
      <c r="F18" s="35">
        <v>10</v>
      </c>
    </row>
    <row r="20" spans="2:13" x14ac:dyDescent="0.2">
      <c r="B20" s="8" t="s">
        <v>72</v>
      </c>
      <c r="F20" s="17" t="s">
        <v>74</v>
      </c>
    </row>
    <row r="21" spans="2:13" x14ac:dyDescent="0.2">
      <c r="B21" s="1" t="s">
        <v>66</v>
      </c>
      <c r="F21" s="3">
        <v>6</v>
      </c>
      <c r="H21" s="17" t="s">
        <v>69</v>
      </c>
      <c r="I21" s="17" t="s">
        <v>68</v>
      </c>
      <c r="J21" s="17" t="s">
        <v>78</v>
      </c>
      <c r="K21" s="17" t="s">
        <v>79</v>
      </c>
    </row>
    <row r="22" spans="2:13" x14ac:dyDescent="0.2">
      <c r="B22" s="32" t="s">
        <v>32</v>
      </c>
      <c r="C22" s="5"/>
      <c r="D22" s="5"/>
      <c r="E22" s="5"/>
      <c r="F22" s="27">
        <v>4</v>
      </c>
      <c r="G22" s="5"/>
      <c r="H22" s="28">
        <v>0.01</v>
      </c>
      <c r="I22" s="29">
        <v>400</v>
      </c>
      <c r="J22" s="28">
        <v>0.02</v>
      </c>
      <c r="K22" s="21">
        <f>J22*F30</f>
        <v>8</v>
      </c>
    </row>
    <row r="23" spans="2:13" x14ac:dyDescent="0.2">
      <c r="B23" s="33" t="s">
        <v>31</v>
      </c>
      <c r="F23" s="25">
        <f>MAX(F21-F22,0)</f>
        <v>2</v>
      </c>
      <c r="H23" s="26">
        <v>0</v>
      </c>
      <c r="I23" s="26">
        <v>8.5000000000000006E-2</v>
      </c>
      <c r="J23" s="26">
        <v>0.02</v>
      </c>
      <c r="K23" s="36">
        <f t="shared" ref="K23" si="1">J23*F31</f>
        <v>4</v>
      </c>
    </row>
    <row r="24" spans="2:13" x14ac:dyDescent="0.2">
      <c r="B24" s="33"/>
      <c r="F24" s="25"/>
      <c r="H24" s="26"/>
      <c r="I24" s="26"/>
      <c r="J24" s="26"/>
    </row>
    <row r="25" spans="2:13" x14ac:dyDescent="0.2">
      <c r="B25" s="1" t="s">
        <v>67</v>
      </c>
      <c r="F25" s="35">
        <v>100</v>
      </c>
      <c r="H25" s="30">
        <v>0.01</v>
      </c>
      <c r="I25" s="31">
        <v>400</v>
      </c>
      <c r="J25" s="26">
        <v>0</v>
      </c>
      <c r="K25" s="36">
        <f>J25*F25</f>
        <v>0</v>
      </c>
    </row>
    <row r="26" spans="2:13" x14ac:dyDescent="0.2">
      <c r="B26" s="1" t="s">
        <v>75</v>
      </c>
      <c r="F26" s="51">
        <f>G43</f>
        <v>100</v>
      </c>
      <c r="H26" s="30"/>
      <c r="I26" s="31"/>
      <c r="J26" s="26"/>
    </row>
    <row r="27" spans="2:13" x14ac:dyDescent="0.2">
      <c r="E27" s="22"/>
    </row>
    <row r="28" spans="2:13" x14ac:dyDescent="0.2">
      <c r="B28" s="41" t="s">
        <v>53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</row>
    <row r="29" spans="2:13" x14ac:dyDescent="0.2">
      <c r="B29" s="8" t="s">
        <v>54</v>
      </c>
      <c r="I29" s="8" t="s">
        <v>60</v>
      </c>
    </row>
    <row r="30" spans="2:13" x14ac:dyDescent="0.2">
      <c r="B30" s="1" t="s">
        <v>32</v>
      </c>
      <c r="F30" s="22">
        <f>F22*$F$26</f>
        <v>400</v>
      </c>
      <c r="I30" s="1" t="s">
        <v>55</v>
      </c>
      <c r="M30" s="51">
        <f>F12</f>
        <v>925</v>
      </c>
    </row>
    <row r="31" spans="2:13" x14ac:dyDescent="0.2">
      <c r="B31" s="1" t="s">
        <v>31</v>
      </c>
      <c r="F31" s="36">
        <f>F23*$F$26</f>
        <v>200</v>
      </c>
      <c r="I31" s="1" t="s">
        <v>56</v>
      </c>
      <c r="M31" s="36">
        <f>-SUM(F10:F11)</f>
        <v>175</v>
      </c>
    </row>
    <row r="32" spans="2:13" x14ac:dyDescent="0.2">
      <c r="B32" s="37" t="s">
        <v>39</v>
      </c>
      <c r="C32" s="37"/>
      <c r="D32" s="37"/>
      <c r="E32" s="37"/>
      <c r="F32" s="38">
        <f>SUM(F30:F31)</f>
        <v>600</v>
      </c>
      <c r="I32" s="1" t="s">
        <v>57</v>
      </c>
      <c r="M32" s="57">
        <f>F17</f>
        <v>5</v>
      </c>
    </row>
    <row r="33" spans="2:15" x14ac:dyDescent="0.2">
      <c r="I33" s="1" t="s">
        <v>58</v>
      </c>
      <c r="M33" s="36">
        <f>SUM(K22:K25)</f>
        <v>12</v>
      </c>
    </row>
    <row r="34" spans="2:15" x14ac:dyDescent="0.2">
      <c r="B34" s="1" t="s">
        <v>62</v>
      </c>
      <c r="F34" s="22">
        <f>MAX(F35-F32,0)</f>
        <v>527</v>
      </c>
      <c r="I34" s="1" t="s">
        <v>59</v>
      </c>
      <c r="M34" s="57">
        <f>F18</f>
        <v>10</v>
      </c>
      <c r="O34" s="11" t="s">
        <v>65</v>
      </c>
    </row>
    <row r="35" spans="2:15" x14ac:dyDescent="0.2">
      <c r="B35" s="6" t="s">
        <v>64</v>
      </c>
      <c r="C35" s="6"/>
      <c r="D35" s="6"/>
      <c r="E35" s="6"/>
      <c r="F35" s="24">
        <f>M35</f>
        <v>1127</v>
      </c>
      <c r="I35" s="6" t="s">
        <v>61</v>
      </c>
      <c r="J35" s="6"/>
      <c r="K35" s="6"/>
      <c r="L35" s="6"/>
      <c r="M35" s="24">
        <f>SUM(M30:M34)</f>
        <v>1127</v>
      </c>
      <c r="O35" s="40">
        <f>M35-F35</f>
        <v>0</v>
      </c>
    </row>
    <row r="37" spans="2:15" x14ac:dyDescent="0.2">
      <c r="B37" s="2" t="s">
        <v>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9" spans="2:15" x14ac:dyDescent="0.2">
      <c r="G39" s="93">
        <f>H39-1</f>
        <v>2020</v>
      </c>
      <c r="H39" s="45">
        <v>2021</v>
      </c>
      <c r="I39" s="45">
        <f>H39+1</f>
        <v>2022</v>
      </c>
      <c r="J39" s="45">
        <f t="shared" ref="J39:L39" si="2">I39+1</f>
        <v>2023</v>
      </c>
      <c r="K39" s="45">
        <f t="shared" si="2"/>
        <v>2024</v>
      </c>
      <c r="L39" s="45">
        <f t="shared" si="2"/>
        <v>2025</v>
      </c>
      <c r="M39" s="45">
        <f t="shared" ref="M39" si="3">L39+1</f>
        <v>2026</v>
      </c>
    </row>
    <row r="40" spans="2:15" x14ac:dyDescent="0.2">
      <c r="B40" s="6" t="s">
        <v>5</v>
      </c>
      <c r="C40" s="5"/>
      <c r="D40" s="5"/>
      <c r="E40" s="5"/>
      <c r="F40" s="5"/>
      <c r="G40" s="94">
        <v>1000</v>
      </c>
      <c r="H40" s="24">
        <f>G40*(1+H41)</f>
        <v>1100</v>
      </c>
      <c r="I40" s="24">
        <f t="shared" ref="I40:L40" si="4">H40*(1+I41)</f>
        <v>1210</v>
      </c>
      <c r="J40" s="24">
        <f t="shared" si="4"/>
        <v>1331</v>
      </c>
      <c r="K40" s="24">
        <f t="shared" si="4"/>
        <v>1464.1000000000001</v>
      </c>
      <c r="L40" s="24">
        <f t="shared" si="4"/>
        <v>1610.5100000000002</v>
      </c>
      <c r="M40" s="24">
        <f t="shared" ref="M40" si="5">L40*(1+M41)</f>
        <v>1771.5610000000004</v>
      </c>
    </row>
    <row r="41" spans="2:15" x14ac:dyDescent="0.2">
      <c r="B41" s="18" t="s">
        <v>13</v>
      </c>
      <c r="G41" s="95"/>
      <c r="H41" s="90">
        <v>0.1</v>
      </c>
      <c r="I41" s="90">
        <v>0.1</v>
      </c>
      <c r="J41" s="90">
        <v>0.1</v>
      </c>
      <c r="K41" s="90">
        <v>0.1</v>
      </c>
      <c r="L41" s="90">
        <v>0.1</v>
      </c>
      <c r="M41" s="90">
        <v>0.1</v>
      </c>
    </row>
    <row r="42" spans="2:15" x14ac:dyDescent="0.2">
      <c r="G42" s="95"/>
    </row>
    <row r="43" spans="2:15" x14ac:dyDescent="0.2">
      <c r="B43" s="7" t="s">
        <v>7</v>
      </c>
      <c r="G43" s="96">
        <f>G44*G40</f>
        <v>100</v>
      </c>
      <c r="H43" s="23">
        <f t="shared" ref="H43:L43" si="6">H44*H40</f>
        <v>110</v>
      </c>
      <c r="I43" s="23">
        <f t="shared" si="6"/>
        <v>121</v>
      </c>
      <c r="J43" s="23">
        <f t="shared" si="6"/>
        <v>133.1</v>
      </c>
      <c r="K43" s="23">
        <f t="shared" si="6"/>
        <v>146.41000000000003</v>
      </c>
      <c r="L43" s="23">
        <f t="shared" si="6"/>
        <v>161.05100000000004</v>
      </c>
      <c r="M43" s="23">
        <f t="shared" ref="M43" si="7">M44*M40</f>
        <v>177.15610000000004</v>
      </c>
    </row>
    <row r="44" spans="2:15" x14ac:dyDescent="0.2">
      <c r="B44" s="1" t="s">
        <v>6</v>
      </c>
      <c r="G44" s="97">
        <v>0.1</v>
      </c>
      <c r="H44" s="43">
        <v>0.1</v>
      </c>
      <c r="I44" s="43">
        <v>0.1</v>
      </c>
      <c r="J44" s="43">
        <v>0.1</v>
      </c>
      <c r="K44" s="43">
        <v>0.1</v>
      </c>
      <c r="L44" s="43">
        <v>0.1</v>
      </c>
      <c r="M44" s="43">
        <v>0.1</v>
      </c>
    </row>
    <row r="45" spans="2:15" x14ac:dyDescent="0.2">
      <c r="G45" s="95"/>
    </row>
    <row r="46" spans="2:15" x14ac:dyDescent="0.2">
      <c r="B46" s="1" t="s">
        <v>9</v>
      </c>
      <c r="G46" s="95"/>
      <c r="H46" s="22">
        <f>-H63*H$40</f>
        <v>-22</v>
      </c>
      <c r="I46" s="22">
        <f>-I63*I$40</f>
        <v>-24.2</v>
      </c>
      <c r="J46" s="22">
        <f>-J63*J$40</f>
        <v>-26.62</v>
      </c>
      <c r="K46" s="22">
        <f>-K63*K$40</f>
        <v>-29.282000000000004</v>
      </c>
      <c r="L46" s="22">
        <f>-L63*L$40</f>
        <v>-32.210200000000007</v>
      </c>
    </row>
    <row r="47" spans="2:15" x14ac:dyDescent="0.2">
      <c r="B47" s="6" t="s">
        <v>8</v>
      </c>
      <c r="C47" s="5"/>
      <c r="D47" s="5"/>
      <c r="E47" s="5"/>
      <c r="F47" s="5"/>
      <c r="G47" s="98"/>
      <c r="H47" s="24">
        <f>H43+H46</f>
        <v>88</v>
      </c>
      <c r="I47" s="24">
        <f t="shared" ref="I47:L47" si="8">I43+I46</f>
        <v>96.8</v>
      </c>
      <c r="J47" s="24">
        <f t="shared" si="8"/>
        <v>106.47999999999999</v>
      </c>
      <c r="K47" s="24">
        <f t="shared" si="8"/>
        <v>117.12800000000001</v>
      </c>
      <c r="L47" s="24">
        <f t="shared" si="8"/>
        <v>128.84080000000003</v>
      </c>
    </row>
    <row r="48" spans="2:15" x14ac:dyDescent="0.2">
      <c r="B48" s="1" t="s">
        <v>14</v>
      </c>
      <c r="G48" s="95"/>
      <c r="H48" s="36">
        <f ca="1">IF(circ=0,0,-H107)</f>
        <v>-38.439580562882867</v>
      </c>
      <c r="I48" s="36">
        <f ca="1">IF(circ=0,0,-I107)</f>
        <v>-37.924354986852833</v>
      </c>
      <c r="J48" s="36">
        <f ca="1">IF(circ=0,0,-J107)</f>
        <v>-37.022490193767624</v>
      </c>
      <c r="K48" s="36">
        <f ca="1">IF(circ=0,0,-K107)</f>
        <v>-35.659985364868966</v>
      </c>
      <c r="L48" s="36">
        <f ca="1">IF(circ=0,0,-L107)</f>
        <v>-34.02234987370305</v>
      </c>
    </row>
    <row r="49" spans="2:15" x14ac:dyDescent="0.2">
      <c r="B49" s="1" t="s">
        <v>15</v>
      </c>
      <c r="G49" s="95"/>
      <c r="H49" s="36">
        <f>-H108</f>
        <v>-1.7142857142857142</v>
      </c>
      <c r="I49" s="36">
        <f t="shared" ref="I49:L49" si="9">-I108</f>
        <v>-1.7142857142857142</v>
      </c>
      <c r="J49" s="36">
        <f t="shared" si="9"/>
        <v>-1.7142857142857142</v>
      </c>
      <c r="K49" s="36">
        <f t="shared" si="9"/>
        <v>-1.7142857142857142</v>
      </c>
      <c r="L49" s="36">
        <f t="shared" si="9"/>
        <v>-1.7142857142857142</v>
      </c>
    </row>
    <row r="50" spans="2:15" x14ac:dyDescent="0.2">
      <c r="B50" s="6" t="s">
        <v>10</v>
      </c>
      <c r="C50" s="5"/>
      <c r="D50" s="5"/>
      <c r="E50" s="5"/>
      <c r="F50" s="5"/>
      <c r="G50" s="98"/>
      <c r="H50" s="24">
        <f ca="1">SUM(H47:H49)</f>
        <v>47.846133722831418</v>
      </c>
      <c r="I50" s="24">
        <f t="shared" ref="I50:L50" ca="1" si="10">SUM(I47:I49)</f>
        <v>57.161359298861449</v>
      </c>
      <c r="J50" s="24">
        <f t="shared" ca="1" si="10"/>
        <v>67.743224091946658</v>
      </c>
      <c r="K50" s="24">
        <f t="shared" ca="1" si="10"/>
        <v>79.753728920845347</v>
      </c>
      <c r="L50" s="24">
        <f t="shared" ca="1" si="10"/>
        <v>93.104164412011272</v>
      </c>
    </row>
    <row r="51" spans="2:15" x14ac:dyDescent="0.2">
      <c r="B51" s="1" t="s">
        <v>11</v>
      </c>
      <c r="G51" s="95"/>
      <c r="H51" s="36">
        <f ca="1">MIN(-H50*$F$16,0)</f>
        <v>-18.181530814675938</v>
      </c>
      <c r="I51" s="36">
        <f t="shared" ref="I51:L51" ca="1" si="11">MIN(-I50*$F$16,0)</f>
        <v>-21.72131653356735</v>
      </c>
      <c r="J51" s="36">
        <f t="shared" ca="1" si="11"/>
        <v>-25.742425154939731</v>
      </c>
      <c r="K51" s="36">
        <f t="shared" ca="1" si="11"/>
        <v>-30.306416989921232</v>
      </c>
      <c r="L51" s="36">
        <f t="shared" ca="1" si="11"/>
        <v>-35.379582476564281</v>
      </c>
    </row>
    <row r="52" spans="2:15" x14ac:dyDescent="0.2">
      <c r="B52" s="6" t="s">
        <v>12</v>
      </c>
      <c r="C52" s="5"/>
      <c r="D52" s="5"/>
      <c r="E52" s="5"/>
      <c r="F52" s="5"/>
      <c r="G52" s="98"/>
      <c r="H52" s="24">
        <f ca="1">SUM(H50:H51)</f>
        <v>29.66460290815548</v>
      </c>
      <c r="I52" s="24">
        <f t="shared" ref="I52:L52" ca="1" si="12">SUM(I50:I51)</f>
        <v>35.440042765294095</v>
      </c>
      <c r="J52" s="24">
        <f t="shared" ca="1" si="12"/>
        <v>42.000798937006927</v>
      </c>
      <c r="K52" s="24">
        <f t="shared" ca="1" si="12"/>
        <v>49.447311930924116</v>
      </c>
      <c r="L52" s="24">
        <f t="shared" ca="1" si="12"/>
        <v>57.724581935446992</v>
      </c>
    </row>
    <row r="53" spans="2:15" x14ac:dyDescent="0.2">
      <c r="G53" s="95"/>
    </row>
    <row r="54" spans="2:15" x14ac:dyDescent="0.2">
      <c r="B54" s="1" t="s">
        <v>16</v>
      </c>
      <c r="G54" s="95"/>
      <c r="H54" s="22">
        <f>-H46</f>
        <v>22</v>
      </c>
      <c r="I54" s="22">
        <f t="shared" ref="I54:L54" si="13">-I46</f>
        <v>24.2</v>
      </c>
      <c r="J54" s="22">
        <f t="shared" si="13"/>
        <v>26.62</v>
      </c>
      <c r="K54" s="22">
        <f t="shared" si="13"/>
        <v>29.282000000000004</v>
      </c>
      <c r="L54" s="22">
        <f t="shared" si="13"/>
        <v>32.210200000000007</v>
      </c>
    </row>
    <row r="55" spans="2:15" x14ac:dyDescent="0.2">
      <c r="B55" s="1" t="s">
        <v>17</v>
      </c>
      <c r="G55" s="95"/>
      <c r="H55" s="36">
        <f>-H49</f>
        <v>1.7142857142857142</v>
      </c>
      <c r="I55" s="36">
        <f t="shared" ref="I55:L55" si="14">-I49</f>
        <v>1.7142857142857142</v>
      </c>
      <c r="J55" s="36">
        <f t="shared" si="14"/>
        <v>1.7142857142857142</v>
      </c>
      <c r="K55" s="36">
        <f t="shared" si="14"/>
        <v>1.7142857142857142</v>
      </c>
      <c r="L55" s="36">
        <f t="shared" si="14"/>
        <v>1.7142857142857142</v>
      </c>
    </row>
    <row r="56" spans="2:15" x14ac:dyDescent="0.2">
      <c r="B56" s="1" t="s">
        <v>18</v>
      </c>
      <c r="G56" s="95"/>
      <c r="H56" s="36">
        <f t="shared" ref="H56:L57" si="15">-H64*H$40</f>
        <v>-22</v>
      </c>
      <c r="I56" s="36">
        <f t="shared" si="15"/>
        <v>-24.2</v>
      </c>
      <c r="J56" s="36">
        <f t="shared" si="15"/>
        <v>-26.62</v>
      </c>
      <c r="K56" s="36">
        <f t="shared" si="15"/>
        <v>-29.282000000000004</v>
      </c>
      <c r="L56" s="36">
        <f t="shared" si="15"/>
        <v>-32.210200000000007</v>
      </c>
    </row>
    <row r="57" spans="2:15" x14ac:dyDescent="0.2">
      <c r="B57" s="1" t="s">
        <v>19</v>
      </c>
      <c r="G57" s="95"/>
      <c r="H57" s="36">
        <f t="shared" si="15"/>
        <v>-11</v>
      </c>
      <c r="I57" s="36">
        <f t="shared" si="15"/>
        <v>-12.1</v>
      </c>
      <c r="J57" s="36">
        <f t="shared" si="15"/>
        <v>-13.31</v>
      </c>
      <c r="K57" s="36">
        <f t="shared" si="15"/>
        <v>-14.641000000000002</v>
      </c>
      <c r="L57" s="36">
        <f t="shared" si="15"/>
        <v>-16.105100000000004</v>
      </c>
      <c r="O57" s="11" t="s">
        <v>94</v>
      </c>
    </row>
    <row r="58" spans="2:15" x14ac:dyDescent="0.2">
      <c r="B58" s="6" t="s">
        <v>20</v>
      </c>
      <c r="C58" s="5"/>
      <c r="D58" s="5"/>
      <c r="E58" s="5"/>
      <c r="F58" s="5"/>
      <c r="G58" s="98"/>
      <c r="H58" s="24">
        <f ca="1">SUM(H54:H57)+H52</f>
        <v>20.378888622441195</v>
      </c>
      <c r="I58" s="24">
        <f t="shared" ref="I58:L58" ca="1" si="16">SUM(I54:I57)+I52</f>
        <v>25.054328479579809</v>
      </c>
      <c r="J58" s="24">
        <f t="shared" ca="1" si="16"/>
        <v>30.40508465129264</v>
      </c>
      <c r="K58" s="24">
        <f t="shared" ca="1" si="16"/>
        <v>36.520597645209833</v>
      </c>
      <c r="L58" s="24">
        <f t="shared" ca="1" si="16"/>
        <v>43.333767649732707</v>
      </c>
      <c r="O58" s="99">
        <f ca="1">SUM(H58:L58)-(G122-L122)</f>
        <v>0</v>
      </c>
    </row>
    <row r="59" spans="2:15" x14ac:dyDescent="0.2">
      <c r="B59" s="1" t="s">
        <v>90</v>
      </c>
      <c r="G59" s="95"/>
      <c r="H59" s="36">
        <f ca="1">H77+H89+H98</f>
        <v>-20.378888622441195</v>
      </c>
      <c r="I59" s="36">
        <f t="shared" ref="I59:L59" ca="1" si="17">I77+I89+I98</f>
        <v>-25.054328479579809</v>
      </c>
      <c r="J59" s="36">
        <f t="shared" ca="1" si="17"/>
        <v>-30.40508465129264</v>
      </c>
      <c r="K59" s="36">
        <f t="shared" ca="1" si="17"/>
        <v>-36.520597645209833</v>
      </c>
      <c r="L59" s="36">
        <f t="shared" ca="1" si="17"/>
        <v>-43.333767649732707</v>
      </c>
      <c r="O59" s="40"/>
    </row>
    <row r="60" spans="2:15" x14ac:dyDescent="0.2">
      <c r="B60" s="6" t="s">
        <v>91</v>
      </c>
      <c r="C60" s="5"/>
      <c r="D60" s="5"/>
      <c r="E60" s="5"/>
      <c r="F60" s="5"/>
      <c r="G60" s="98"/>
      <c r="H60" s="24">
        <f ca="1">H58+H59</f>
        <v>0</v>
      </c>
      <c r="I60" s="24">
        <f t="shared" ref="I60:L60" ca="1" si="18">I58+I59</f>
        <v>0</v>
      </c>
      <c r="J60" s="24">
        <f t="shared" ca="1" si="18"/>
        <v>0</v>
      </c>
      <c r="K60" s="24">
        <f t="shared" ca="1" si="18"/>
        <v>0</v>
      </c>
      <c r="L60" s="24">
        <f t="shared" ca="1" si="18"/>
        <v>0</v>
      </c>
    </row>
    <row r="62" spans="2:15" x14ac:dyDescent="0.2">
      <c r="B62" s="8" t="s">
        <v>80</v>
      </c>
    </row>
    <row r="63" spans="2:15" x14ac:dyDescent="0.2">
      <c r="B63" s="1" t="s">
        <v>81</v>
      </c>
      <c r="H63" s="43">
        <v>0.02</v>
      </c>
      <c r="I63" s="43">
        <v>0.02</v>
      </c>
      <c r="J63" s="43">
        <v>0.02</v>
      </c>
      <c r="K63" s="43">
        <v>0.02</v>
      </c>
      <c r="L63" s="43">
        <v>0.02</v>
      </c>
    </row>
    <row r="64" spans="2:15" x14ac:dyDescent="0.2">
      <c r="B64" s="1" t="s">
        <v>82</v>
      </c>
      <c r="H64" s="43">
        <v>0.02</v>
      </c>
      <c r="I64" s="43">
        <v>0.02</v>
      </c>
      <c r="J64" s="43">
        <v>0.02</v>
      </c>
      <c r="K64" s="43">
        <v>0.02</v>
      </c>
      <c r="L64" s="43">
        <v>0.02</v>
      </c>
    </row>
    <row r="65" spans="2:13" x14ac:dyDescent="0.2">
      <c r="B65" s="1" t="s">
        <v>83</v>
      </c>
      <c r="H65" s="43">
        <v>0.01</v>
      </c>
      <c r="I65" s="43">
        <v>0.01</v>
      </c>
      <c r="J65" s="43">
        <v>0.01</v>
      </c>
      <c r="K65" s="43">
        <v>0.01</v>
      </c>
      <c r="L65" s="43">
        <v>0.01</v>
      </c>
    </row>
    <row r="66" spans="2:13" x14ac:dyDescent="0.2">
      <c r="H66" s="43"/>
      <c r="I66" s="43"/>
      <c r="J66" s="43"/>
      <c r="K66" s="43"/>
      <c r="L66" s="43"/>
    </row>
    <row r="68" spans="2:13" x14ac:dyDescent="0.2">
      <c r="B68" s="2" t="s">
        <v>21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70" spans="2:13" x14ac:dyDescent="0.2">
      <c r="F70" s="44" t="s">
        <v>84</v>
      </c>
      <c r="H70" s="43">
        <v>1.4999999999999999E-2</v>
      </c>
      <c r="I70" s="43">
        <v>1.7000000000000001E-2</v>
      </c>
      <c r="J70" s="43">
        <v>1.9E-2</v>
      </c>
      <c r="K70" s="43">
        <v>2.1000000000000001E-2</v>
      </c>
      <c r="L70" s="43">
        <v>2.4E-2</v>
      </c>
    </row>
    <row r="72" spans="2:13" x14ac:dyDescent="0.2">
      <c r="H72" s="45">
        <f>H39</f>
        <v>2021</v>
      </c>
      <c r="I72" s="45">
        <f>H72+1</f>
        <v>2022</v>
      </c>
      <c r="J72" s="45">
        <f t="shared" ref="J72:L72" si="19">I72+1</f>
        <v>2023</v>
      </c>
      <c r="K72" s="45">
        <f t="shared" si="19"/>
        <v>2024</v>
      </c>
      <c r="L72" s="45">
        <f t="shared" si="19"/>
        <v>2025</v>
      </c>
    </row>
    <row r="73" spans="2:13" x14ac:dyDescent="0.2">
      <c r="B73" s="56" t="s">
        <v>27</v>
      </c>
      <c r="C73" s="54"/>
      <c r="D73" s="54"/>
      <c r="E73" s="54"/>
      <c r="F73" s="54"/>
      <c r="G73" s="54"/>
      <c r="H73" s="55">
        <f ca="1">H58</f>
        <v>20.378888622441195</v>
      </c>
      <c r="I73" s="55">
        <f ca="1">I58</f>
        <v>25.054328479579809</v>
      </c>
      <c r="J73" s="55">
        <f ca="1">J58</f>
        <v>30.40508465129264</v>
      </c>
      <c r="K73" s="55">
        <f ca="1">K58</f>
        <v>36.520597645209833</v>
      </c>
      <c r="L73" s="55">
        <f ca="1">L58</f>
        <v>43.333767649732707</v>
      </c>
    </row>
    <row r="75" spans="2:13" x14ac:dyDescent="0.2">
      <c r="B75" s="8" t="s">
        <v>25</v>
      </c>
    </row>
    <row r="76" spans="2:13" x14ac:dyDescent="0.2">
      <c r="B76" s="1" t="s">
        <v>23</v>
      </c>
      <c r="H76" s="35">
        <v>0</v>
      </c>
      <c r="I76" s="22">
        <f ca="1">H78</f>
        <v>0</v>
      </c>
      <c r="J76" s="22">
        <f t="shared" ref="J76:L76" ca="1" si="20">I78</f>
        <v>0</v>
      </c>
      <c r="K76" s="22">
        <f t="shared" ca="1" si="20"/>
        <v>0</v>
      </c>
      <c r="L76" s="22">
        <f t="shared" ca="1" si="20"/>
        <v>0</v>
      </c>
    </row>
    <row r="77" spans="2:13" x14ac:dyDescent="0.2">
      <c r="B77" s="1" t="s">
        <v>22</v>
      </c>
      <c r="H77" s="36">
        <f ca="1">MIN(H83,-MIN(H73,H76))</f>
        <v>0</v>
      </c>
      <c r="I77" s="36">
        <f t="shared" ref="I77:L77" ca="1" si="21">MIN(I83,-MIN(I73,I76))</f>
        <v>0</v>
      </c>
      <c r="J77" s="36">
        <f t="shared" ca="1" si="21"/>
        <v>0</v>
      </c>
      <c r="K77" s="36">
        <f t="shared" ca="1" si="21"/>
        <v>0</v>
      </c>
      <c r="L77" s="36">
        <f t="shared" ca="1" si="21"/>
        <v>0</v>
      </c>
    </row>
    <row r="78" spans="2:13" x14ac:dyDescent="0.2">
      <c r="B78" s="6" t="s">
        <v>24</v>
      </c>
      <c r="C78" s="5"/>
      <c r="D78" s="5"/>
      <c r="E78" s="5"/>
      <c r="F78" s="46" t="s">
        <v>85</v>
      </c>
      <c r="G78" s="46" t="s">
        <v>68</v>
      </c>
      <c r="H78" s="24">
        <f ca="1">SUM(H76:H77)</f>
        <v>0</v>
      </c>
      <c r="I78" s="24">
        <f t="shared" ref="I78:L78" ca="1" si="22">SUM(I76:I77)</f>
        <v>0</v>
      </c>
      <c r="J78" s="24">
        <f t="shared" ca="1" si="22"/>
        <v>0</v>
      </c>
      <c r="K78" s="24">
        <f t="shared" ca="1" si="22"/>
        <v>0</v>
      </c>
      <c r="L78" s="24">
        <f t="shared" ca="1" si="22"/>
        <v>0</v>
      </c>
    </row>
    <row r="79" spans="2:13" x14ac:dyDescent="0.2">
      <c r="B79" s="1" t="s">
        <v>26</v>
      </c>
      <c r="F79" s="50">
        <f>H25</f>
        <v>0.01</v>
      </c>
      <c r="G79" s="48">
        <f>I25</f>
        <v>400</v>
      </c>
      <c r="H79" s="49">
        <f>($G79/10000+MAX($F79,H$70))</f>
        <v>5.5E-2</v>
      </c>
      <c r="I79" s="49">
        <f>($G79/10000+MAX($F79,I$70))</f>
        <v>5.7000000000000002E-2</v>
      </c>
      <c r="J79" s="49">
        <f>($G79/10000+MAX($F79,J$70))</f>
        <v>5.8999999999999997E-2</v>
      </c>
      <c r="K79" s="49">
        <f>($G79/10000+MAX($F79,K$70))</f>
        <v>6.0999999999999999E-2</v>
      </c>
      <c r="L79" s="49">
        <f>($G79/10000+MAX($F79,L$70))</f>
        <v>6.4000000000000001E-2</v>
      </c>
    </row>
    <row r="80" spans="2:13" x14ac:dyDescent="0.2">
      <c r="B80" s="1" t="s">
        <v>86</v>
      </c>
      <c r="F80" s="47"/>
      <c r="G80" s="48"/>
      <c r="H80" s="22">
        <f ca="1">H79*AVERAGE(H76,H78)</f>
        <v>0</v>
      </c>
      <c r="I80" s="22">
        <f t="shared" ref="I80:L80" ca="1" si="23">I79*AVERAGE(I76,I78)</f>
        <v>0</v>
      </c>
      <c r="J80" s="22">
        <f t="shared" ca="1" si="23"/>
        <v>0</v>
      </c>
      <c r="K80" s="22">
        <f t="shared" ca="1" si="23"/>
        <v>0</v>
      </c>
      <c r="L80" s="22">
        <f t="shared" ca="1" si="23"/>
        <v>0</v>
      </c>
    </row>
    <row r="82" spans="2:12" x14ac:dyDescent="0.2">
      <c r="B82" s="1" t="s">
        <v>97</v>
      </c>
      <c r="H82" s="51">
        <f>$F$25</f>
        <v>100</v>
      </c>
      <c r="I82" s="51">
        <f t="shared" ref="I82:L82" si="24">$F$25</f>
        <v>100</v>
      </c>
      <c r="J82" s="51">
        <f t="shared" si="24"/>
        <v>100</v>
      </c>
      <c r="K82" s="51">
        <f t="shared" si="24"/>
        <v>100</v>
      </c>
      <c r="L82" s="51">
        <f t="shared" si="24"/>
        <v>100</v>
      </c>
    </row>
    <row r="83" spans="2:12" x14ac:dyDescent="0.2">
      <c r="B83" s="1" t="s">
        <v>98</v>
      </c>
      <c r="H83" s="22">
        <f>H82-H76</f>
        <v>100</v>
      </c>
      <c r="I83" s="22">
        <f t="shared" ref="I83:L83" ca="1" si="25">I82-I76</f>
        <v>100</v>
      </c>
      <c r="J83" s="22">
        <f t="shared" ca="1" si="25"/>
        <v>100</v>
      </c>
      <c r="K83" s="22">
        <f t="shared" ca="1" si="25"/>
        <v>100</v>
      </c>
      <c r="L83" s="22">
        <f t="shared" ca="1" si="25"/>
        <v>100</v>
      </c>
    </row>
    <row r="85" spans="2:12" x14ac:dyDescent="0.2">
      <c r="B85" s="20" t="s">
        <v>33</v>
      </c>
      <c r="C85" s="19"/>
      <c r="D85" s="19"/>
      <c r="E85" s="19"/>
      <c r="F85" s="19"/>
      <c r="G85" s="19"/>
      <c r="H85" s="53">
        <f ca="1">H73+H77</f>
        <v>20.378888622441195</v>
      </c>
      <c r="I85" s="53">
        <f t="shared" ref="I85:L85" ca="1" si="26">I73+I77</f>
        <v>25.054328479579809</v>
      </c>
      <c r="J85" s="53">
        <f t="shared" ca="1" si="26"/>
        <v>30.40508465129264</v>
      </c>
      <c r="K85" s="53">
        <f t="shared" ca="1" si="26"/>
        <v>36.520597645209833</v>
      </c>
      <c r="L85" s="53">
        <f t="shared" ca="1" si="26"/>
        <v>43.333767649732707</v>
      </c>
    </row>
    <row r="87" spans="2:12" x14ac:dyDescent="0.2">
      <c r="B87" s="8" t="s">
        <v>32</v>
      </c>
    </row>
    <row r="88" spans="2:12" x14ac:dyDescent="0.2">
      <c r="B88" s="1" t="s">
        <v>23</v>
      </c>
      <c r="H88" s="51">
        <f>F30</f>
        <v>400</v>
      </c>
      <c r="I88" s="22">
        <f ca="1">H90</f>
        <v>379.6211113775588</v>
      </c>
      <c r="J88" s="22">
        <f t="shared" ref="J88:L88" ca="1" si="27">I90</f>
        <v>354.56678289797901</v>
      </c>
      <c r="K88" s="22">
        <f t="shared" ca="1" si="27"/>
        <v>324.16169824668634</v>
      </c>
      <c r="L88" s="22">
        <f t="shared" ca="1" si="27"/>
        <v>287.64110060147652</v>
      </c>
    </row>
    <row r="89" spans="2:12" x14ac:dyDescent="0.2">
      <c r="B89" s="1" t="s">
        <v>28</v>
      </c>
      <c r="H89" s="36">
        <f ca="1">-(MIN(H88,H85))</f>
        <v>-20.378888622441195</v>
      </c>
      <c r="I89" s="36">
        <f t="shared" ref="I89:L89" ca="1" si="28">-(MIN(I88,I85))</f>
        <v>-25.054328479579809</v>
      </c>
      <c r="J89" s="36">
        <f t="shared" ca="1" si="28"/>
        <v>-30.40508465129264</v>
      </c>
      <c r="K89" s="36">
        <f t="shared" ca="1" si="28"/>
        <v>-36.520597645209833</v>
      </c>
      <c r="L89" s="36">
        <f t="shared" ca="1" si="28"/>
        <v>-43.333767649732707</v>
      </c>
    </row>
    <row r="90" spans="2:12" x14ac:dyDescent="0.2">
      <c r="B90" s="6" t="s">
        <v>24</v>
      </c>
      <c r="C90" s="5"/>
      <c r="D90" s="5"/>
      <c r="E90" s="5"/>
      <c r="F90" s="46" t="s">
        <v>85</v>
      </c>
      <c r="G90" s="46" t="s">
        <v>68</v>
      </c>
      <c r="H90" s="24">
        <f ca="1">SUM(H88:H89)</f>
        <v>379.6211113775588</v>
      </c>
      <c r="I90" s="24">
        <f t="shared" ref="I90:L90" ca="1" si="29">SUM(I88:I89)</f>
        <v>354.56678289797901</v>
      </c>
      <c r="J90" s="24">
        <f t="shared" ca="1" si="29"/>
        <v>324.16169824668634</v>
      </c>
      <c r="K90" s="24">
        <f t="shared" ca="1" si="29"/>
        <v>287.64110060147652</v>
      </c>
      <c r="L90" s="24">
        <f t="shared" ca="1" si="29"/>
        <v>244.30733295174383</v>
      </c>
    </row>
    <row r="91" spans="2:12" x14ac:dyDescent="0.2">
      <c r="B91" s="1" t="s">
        <v>26</v>
      </c>
      <c r="F91" s="50">
        <f>H22</f>
        <v>0.01</v>
      </c>
      <c r="G91" s="48">
        <f>I22</f>
        <v>400</v>
      </c>
      <c r="H91" s="49">
        <f>($G91/10000+MAX($F91,H$70))</f>
        <v>5.5E-2</v>
      </c>
      <c r="I91" s="49">
        <f>($G91/10000+MAX($F91,I$70))</f>
        <v>5.7000000000000002E-2</v>
      </c>
      <c r="J91" s="49">
        <f>($G91/10000+MAX($F91,J$70))</f>
        <v>5.8999999999999997E-2</v>
      </c>
      <c r="K91" s="49">
        <f>($G91/10000+MAX($F91,K$70))</f>
        <v>6.0999999999999999E-2</v>
      </c>
      <c r="L91" s="49">
        <f>($G91/10000+MAX($F91,L$70))</f>
        <v>6.4000000000000001E-2</v>
      </c>
    </row>
    <row r="92" spans="2:12" x14ac:dyDescent="0.2">
      <c r="B92" s="1" t="s">
        <v>86</v>
      </c>
      <c r="F92" s="47"/>
      <c r="G92" s="48"/>
      <c r="H92" s="22">
        <f ca="1">H91*AVERAGE(H88,H90)</f>
        <v>21.439580562882867</v>
      </c>
      <c r="I92" s="22">
        <f t="shared" ref="I92" ca="1" si="30">I91*AVERAGE(I88,I90)</f>
        <v>20.92435498685283</v>
      </c>
      <c r="J92" s="22">
        <f t="shared" ref="J92" ca="1" si="31">J91*AVERAGE(J88,J90)</f>
        <v>20.022490193767627</v>
      </c>
      <c r="K92" s="22">
        <f t="shared" ref="K92" ca="1" si="32">K91*AVERAGE(K88,K90)</f>
        <v>18.659985364868966</v>
      </c>
      <c r="L92" s="22">
        <f t="shared" ref="L92" ca="1" si="33">L91*AVERAGE(L88,L90)</f>
        <v>17.022349873703053</v>
      </c>
    </row>
    <row r="94" spans="2:12" x14ac:dyDescent="0.2">
      <c r="B94" s="20" t="s">
        <v>29</v>
      </c>
      <c r="C94" s="19"/>
      <c r="D94" s="19"/>
      <c r="E94" s="19"/>
      <c r="F94" s="19"/>
      <c r="G94" s="19"/>
      <c r="H94" s="52">
        <f ca="1">H85+H89</f>
        <v>0</v>
      </c>
      <c r="I94" s="52">
        <f t="shared" ref="I94:L94" ca="1" si="34">I85+I89</f>
        <v>0</v>
      </c>
      <c r="J94" s="52">
        <f t="shared" ca="1" si="34"/>
        <v>0</v>
      </c>
      <c r="K94" s="52">
        <f t="shared" ca="1" si="34"/>
        <v>0</v>
      </c>
      <c r="L94" s="52">
        <f t="shared" ca="1" si="34"/>
        <v>0</v>
      </c>
    </row>
    <row r="96" spans="2:12" x14ac:dyDescent="0.2">
      <c r="B96" s="8" t="s">
        <v>31</v>
      </c>
    </row>
    <row r="97" spans="2:13" x14ac:dyDescent="0.2">
      <c r="B97" s="1" t="s">
        <v>23</v>
      </c>
      <c r="H97" s="51">
        <f>F31</f>
        <v>200</v>
      </c>
      <c r="I97" s="22">
        <f ca="1">H99</f>
        <v>200</v>
      </c>
      <c r="J97" s="22">
        <f t="shared" ref="J97:L97" ca="1" si="35">I99</f>
        <v>200</v>
      </c>
      <c r="K97" s="22">
        <f t="shared" ca="1" si="35"/>
        <v>200</v>
      </c>
      <c r="L97" s="22">
        <f t="shared" ca="1" si="35"/>
        <v>200</v>
      </c>
    </row>
    <row r="98" spans="2:13" x14ac:dyDescent="0.2">
      <c r="B98" s="1" t="s">
        <v>28</v>
      </c>
      <c r="H98" s="36">
        <f ca="1">-(MIN(H97,H94))</f>
        <v>0</v>
      </c>
      <c r="I98" s="36">
        <f t="shared" ref="I98:L98" ca="1" si="36">-(MIN(I97,I94))</f>
        <v>0</v>
      </c>
      <c r="J98" s="36">
        <f t="shared" ca="1" si="36"/>
        <v>0</v>
      </c>
      <c r="K98" s="36">
        <f t="shared" ca="1" si="36"/>
        <v>0</v>
      </c>
      <c r="L98" s="36">
        <f t="shared" ca="1" si="36"/>
        <v>0</v>
      </c>
    </row>
    <row r="99" spans="2:13" x14ac:dyDescent="0.2">
      <c r="B99" s="6" t="s">
        <v>24</v>
      </c>
      <c r="C99" s="5"/>
      <c r="D99" s="5"/>
      <c r="E99" s="5"/>
      <c r="F99" s="46" t="s">
        <v>85</v>
      </c>
      <c r="G99" s="46" t="s">
        <v>68</v>
      </c>
      <c r="H99" s="24">
        <f ca="1">SUM(H97:H98)</f>
        <v>200</v>
      </c>
      <c r="I99" s="24">
        <f t="shared" ref="I99" ca="1" si="37">SUM(I97:I98)</f>
        <v>200</v>
      </c>
      <c r="J99" s="24">
        <f t="shared" ref="J99" ca="1" si="38">SUM(J97:J98)</f>
        <v>200</v>
      </c>
      <c r="K99" s="24">
        <f t="shared" ref="K99" ca="1" si="39">SUM(K97:K98)</f>
        <v>200</v>
      </c>
      <c r="L99" s="24">
        <f t="shared" ref="L99" ca="1" si="40">SUM(L97:L98)</f>
        <v>200</v>
      </c>
    </row>
    <row r="100" spans="2:13" x14ac:dyDescent="0.2">
      <c r="B100" s="1" t="s">
        <v>26</v>
      </c>
      <c r="F100" s="50">
        <f>H23</f>
        <v>0</v>
      </c>
      <c r="G100" s="50">
        <f>I23</f>
        <v>8.5000000000000006E-2</v>
      </c>
      <c r="H100" s="49">
        <f>G$100</f>
        <v>8.5000000000000006E-2</v>
      </c>
      <c r="I100" s="49">
        <f>H$100</f>
        <v>8.5000000000000006E-2</v>
      </c>
      <c r="J100" s="49">
        <f>I$100</f>
        <v>8.5000000000000006E-2</v>
      </c>
      <c r="K100" s="49">
        <f>J$100</f>
        <v>8.5000000000000006E-2</v>
      </c>
      <c r="L100" s="49">
        <f>K$100</f>
        <v>8.5000000000000006E-2</v>
      </c>
    </row>
    <row r="101" spans="2:13" x14ac:dyDescent="0.2">
      <c r="B101" s="1" t="s">
        <v>86</v>
      </c>
      <c r="F101" s="47"/>
      <c r="G101" s="48"/>
      <c r="H101" s="22">
        <f ca="1">H100*AVERAGE(H97,H99)</f>
        <v>17</v>
      </c>
      <c r="I101" s="22">
        <f t="shared" ref="I101" ca="1" si="41">I100*AVERAGE(I97,I99)</f>
        <v>17</v>
      </c>
      <c r="J101" s="22">
        <f t="shared" ref="J101" ca="1" si="42">J100*AVERAGE(J97,J99)</f>
        <v>17</v>
      </c>
      <c r="K101" s="22">
        <f t="shared" ref="K101" ca="1" si="43">K100*AVERAGE(K97,K99)</f>
        <v>17</v>
      </c>
      <c r="L101" s="22">
        <f t="shared" ref="L101" ca="1" si="44">L100*AVERAGE(L97,L99)</f>
        <v>17</v>
      </c>
    </row>
    <row r="103" spans="2:13" x14ac:dyDescent="0.2">
      <c r="B103" s="8" t="s">
        <v>30</v>
      </c>
    </row>
    <row r="104" spans="2:13" x14ac:dyDescent="0.2">
      <c r="B104" s="1" t="s">
        <v>25</v>
      </c>
      <c r="H104" s="51">
        <f ca="1">H80</f>
        <v>0</v>
      </c>
      <c r="I104" s="51">
        <f t="shared" ref="I104:L104" ca="1" si="45">I80</f>
        <v>0</v>
      </c>
      <c r="J104" s="51">
        <f t="shared" ca="1" si="45"/>
        <v>0</v>
      </c>
      <c r="K104" s="51">
        <f t="shared" ca="1" si="45"/>
        <v>0</v>
      </c>
      <c r="L104" s="51">
        <f t="shared" ca="1" si="45"/>
        <v>0</v>
      </c>
    </row>
    <row r="105" spans="2:13" x14ac:dyDescent="0.2">
      <c r="B105" s="1" t="s">
        <v>32</v>
      </c>
      <c r="H105" s="57">
        <f ca="1">H92</f>
        <v>21.439580562882867</v>
      </c>
      <c r="I105" s="57">
        <f t="shared" ref="I105:L105" ca="1" si="46">I92</f>
        <v>20.92435498685283</v>
      </c>
      <c r="J105" s="57">
        <f t="shared" ca="1" si="46"/>
        <v>20.022490193767627</v>
      </c>
      <c r="K105" s="57">
        <f t="shared" ca="1" si="46"/>
        <v>18.659985364868966</v>
      </c>
      <c r="L105" s="57">
        <f t="shared" ca="1" si="46"/>
        <v>17.022349873703053</v>
      </c>
    </row>
    <row r="106" spans="2:13" x14ac:dyDescent="0.2">
      <c r="B106" s="1" t="s">
        <v>31</v>
      </c>
      <c r="H106" s="57">
        <f ca="1">H101</f>
        <v>17</v>
      </c>
      <c r="I106" s="57">
        <f t="shared" ref="I106:L106" ca="1" si="47">I101</f>
        <v>17</v>
      </c>
      <c r="J106" s="57">
        <f t="shared" ca="1" si="47"/>
        <v>17</v>
      </c>
      <c r="K106" s="57">
        <f t="shared" ca="1" si="47"/>
        <v>17</v>
      </c>
      <c r="L106" s="57">
        <f t="shared" ca="1" si="47"/>
        <v>17</v>
      </c>
    </row>
    <row r="107" spans="2:13" x14ac:dyDescent="0.2">
      <c r="B107" s="6" t="s">
        <v>36</v>
      </c>
      <c r="C107" s="6"/>
      <c r="D107" s="6"/>
      <c r="E107" s="6"/>
      <c r="F107" s="46" t="s">
        <v>87</v>
      </c>
      <c r="G107" s="46" t="s">
        <v>88</v>
      </c>
      <c r="H107" s="24">
        <f ca="1">SUM(H104:H106)</f>
        <v>38.439580562882867</v>
      </c>
      <c r="I107" s="24">
        <f t="shared" ref="I107:L107" ca="1" si="48">SUM(I104:I106)</f>
        <v>37.924354986852833</v>
      </c>
      <c r="J107" s="24">
        <f t="shared" ca="1" si="48"/>
        <v>37.022490193767624</v>
      </c>
      <c r="K107" s="24">
        <f t="shared" ca="1" si="48"/>
        <v>35.659985364868966</v>
      </c>
      <c r="L107" s="24">
        <f t="shared" ca="1" si="48"/>
        <v>34.02234987370305</v>
      </c>
    </row>
    <row r="108" spans="2:13" x14ac:dyDescent="0.2">
      <c r="B108" s="1" t="s">
        <v>35</v>
      </c>
      <c r="F108" s="100">
        <f>M33</f>
        <v>12</v>
      </c>
      <c r="G108" s="42">
        <v>7</v>
      </c>
      <c r="H108" s="22">
        <f>$F$108/$G$108</f>
        <v>1.7142857142857142</v>
      </c>
      <c r="I108" s="22">
        <f>$F$108/$G$108</f>
        <v>1.7142857142857142</v>
      </c>
      <c r="J108" s="22">
        <f>$F$108/$G$108</f>
        <v>1.7142857142857142</v>
      </c>
      <c r="K108" s="22">
        <f>$F$108/$G$108</f>
        <v>1.7142857142857142</v>
      </c>
      <c r="L108" s="22">
        <f>$F$108/$G$108</f>
        <v>1.7142857142857142</v>
      </c>
    </row>
    <row r="109" spans="2:13" x14ac:dyDescent="0.2">
      <c r="B109" s="6" t="s">
        <v>34</v>
      </c>
      <c r="C109" s="6"/>
      <c r="D109" s="6"/>
      <c r="E109" s="6"/>
      <c r="F109" s="6"/>
      <c r="G109" s="6"/>
      <c r="H109" s="24">
        <f ca="1">SUM(H107:H108)</f>
        <v>40.153866277168582</v>
      </c>
      <c r="I109" s="24">
        <f t="shared" ref="I109:L109" ca="1" si="49">SUM(I107:I108)</f>
        <v>39.638640701138549</v>
      </c>
      <c r="J109" s="24">
        <f t="shared" ca="1" si="49"/>
        <v>38.736775908053339</v>
      </c>
      <c r="K109" s="24">
        <f t="shared" ca="1" si="49"/>
        <v>37.374271079154681</v>
      </c>
      <c r="L109" s="24">
        <f t="shared" ca="1" si="49"/>
        <v>35.736635587988765</v>
      </c>
    </row>
    <row r="112" spans="2:13" x14ac:dyDescent="0.2">
      <c r="B112" s="2" t="s">
        <v>37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4" spans="2:14" x14ac:dyDescent="0.2">
      <c r="G114" s="58" t="s">
        <v>89</v>
      </c>
      <c r="H114" s="45">
        <f>H39</f>
        <v>2021</v>
      </c>
      <c r="I114" s="45">
        <f>H114+1</f>
        <v>2022</v>
      </c>
      <c r="J114" s="45">
        <f t="shared" ref="J114:L114" si="50">I114+1</f>
        <v>2023</v>
      </c>
      <c r="K114" s="45">
        <f t="shared" si="50"/>
        <v>2024</v>
      </c>
      <c r="L114" s="45">
        <f t="shared" si="50"/>
        <v>2025</v>
      </c>
    </row>
    <row r="115" spans="2:14" x14ac:dyDescent="0.2">
      <c r="B115" s="5" t="s">
        <v>38</v>
      </c>
      <c r="C115" s="5"/>
      <c r="D115" s="5"/>
      <c r="E115" s="5"/>
      <c r="F115" s="5"/>
      <c r="G115" s="62">
        <f>F17</f>
        <v>5</v>
      </c>
      <c r="H115" s="21">
        <f ca="1">G115+H60</f>
        <v>5</v>
      </c>
      <c r="I115" s="21">
        <f ca="1">H115+I60</f>
        <v>5</v>
      </c>
      <c r="J115" s="21">
        <f ca="1">I115+J60</f>
        <v>5</v>
      </c>
      <c r="K115" s="21">
        <f ca="1">J115+K60</f>
        <v>5</v>
      </c>
      <c r="L115" s="21">
        <f ca="1">K115+L60</f>
        <v>5</v>
      </c>
    </row>
    <row r="116" spans="2:14" x14ac:dyDescent="0.2">
      <c r="G116" s="51"/>
      <c r="H116" s="22"/>
    </row>
    <row r="117" spans="2:14" x14ac:dyDescent="0.2">
      <c r="B117" s="1" t="s">
        <v>25</v>
      </c>
      <c r="G117" s="51">
        <f>H76</f>
        <v>0</v>
      </c>
      <c r="H117" s="51">
        <f ca="1">H78</f>
        <v>0</v>
      </c>
      <c r="I117" s="51">
        <f t="shared" ref="I117:L117" ca="1" si="51">I78</f>
        <v>0</v>
      </c>
      <c r="J117" s="51">
        <f t="shared" ca="1" si="51"/>
        <v>0</v>
      </c>
      <c r="K117" s="51">
        <f t="shared" ca="1" si="51"/>
        <v>0</v>
      </c>
      <c r="L117" s="51">
        <f t="shared" ca="1" si="51"/>
        <v>0</v>
      </c>
    </row>
    <row r="118" spans="2:14" x14ac:dyDescent="0.2">
      <c r="B118" s="1" t="s">
        <v>32</v>
      </c>
      <c r="G118" s="57">
        <f>H88</f>
        <v>400</v>
      </c>
      <c r="H118" s="57">
        <f ca="1">H90</f>
        <v>379.6211113775588</v>
      </c>
      <c r="I118" s="57">
        <f t="shared" ref="I118:L118" ca="1" si="52">I90</f>
        <v>354.56678289797901</v>
      </c>
      <c r="J118" s="57">
        <f t="shared" ca="1" si="52"/>
        <v>324.16169824668634</v>
      </c>
      <c r="K118" s="57">
        <f t="shared" ca="1" si="52"/>
        <v>287.64110060147652</v>
      </c>
      <c r="L118" s="57">
        <f t="shared" ca="1" si="52"/>
        <v>244.30733295174383</v>
      </c>
    </row>
    <row r="119" spans="2:14" x14ac:dyDescent="0.2">
      <c r="B119" s="1" t="s">
        <v>31</v>
      </c>
      <c r="G119" s="57">
        <f>H97</f>
        <v>200</v>
      </c>
      <c r="H119" s="57">
        <f ca="1">H99</f>
        <v>200</v>
      </c>
      <c r="I119" s="57">
        <f t="shared" ref="I119:L119" ca="1" si="53">I99</f>
        <v>200</v>
      </c>
      <c r="J119" s="57">
        <f t="shared" ca="1" si="53"/>
        <v>200</v>
      </c>
      <c r="K119" s="57">
        <f t="shared" ca="1" si="53"/>
        <v>200</v>
      </c>
      <c r="L119" s="57">
        <f t="shared" ca="1" si="53"/>
        <v>200</v>
      </c>
    </row>
    <row r="120" spans="2:14" x14ac:dyDescent="0.2">
      <c r="B120" s="6" t="s">
        <v>39</v>
      </c>
      <c r="C120" s="6"/>
      <c r="D120" s="6"/>
      <c r="E120" s="6"/>
      <c r="F120" s="6"/>
      <c r="G120" s="24">
        <f>SUM(G117:G119)</f>
        <v>600</v>
      </c>
      <c r="H120" s="24">
        <f ca="1">SUM(H117:H119)</f>
        <v>579.6211113775588</v>
      </c>
      <c r="I120" s="24">
        <f t="shared" ref="I120:L120" ca="1" si="54">SUM(I117:I119)</f>
        <v>554.56678289797901</v>
      </c>
      <c r="J120" s="24">
        <f t="shared" ca="1" si="54"/>
        <v>524.16169824668634</v>
      </c>
      <c r="K120" s="24">
        <f t="shared" ca="1" si="54"/>
        <v>487.64110060147652</v>
      </c>
      <c r="L120" s="24">
        <f t="shared" ca="1" si="54"/>
        <v>444.30733295174383</v>
      </c>
    </row>
    <row r="121" spans="2:14" x14ac:dyDescent="0.2">
      <c r="B121" s="1" t="s">
        <v>40</v>
      </c>
      <c r="H121" s="59">
        <f ca="1">H120/$G$120</f>
        <v>0.96603518562926471</v>
      </c>
      <c r="I121" s="59">
        <f t="shared" ref="I121:L121" ca="1" si="55">I120/$G$120</f>
        <v>0.92427797149663171</v>
      </c>
      <c r="J121" s="59">
        <f t="shared" ca="1" si="55"/>
        <v>0.87360283041114395</v>
      </c>
      <c r="K121" s="59">
        <f t="shared" ca="1" si="55"/>
        <v>0.81273516766912757</v>
      </c>
      <c r="L121" s="59">
        <f t="shared" ca="1" si="55"/>
        <v>0.74051222158623975</v>
      </c>
    </row>
    <row r="122" spans="2:14" x14ac:dyDescent="0.2">
      <c r="B122" s="7" t="s">
        <v>95</v>
      </c>
      <c r="G122" s="23">
        <f>G120-G115</f>
        <v>595</v>
      </c>
      <c r="H122" s="23">
        <f ca="1">H120-H115</f>
        <v>574.6211113775588</v>
      </c>
      <c r="I122" s="23">
        <f t="shared" ref="I122:L122" ca="1" si="56">I120-I115</f>
        <v>549.56678289797901</v>
      </c>
      <c r="J122" s="23">
        <f t="shared" ca="1" si="56"/>
        <v>519.16169824668634</v>
      </c>
      <c r="K122" s="23">
        <f t="shared" ca="1" si="56"/>
        <v>482.64110060147652</v>
      </c>
      <c r="L122" s="23">
        <f t="shared" ca="1" si="56"/>
        <v>439.30733295174383</v>
      </c>
    </row>
    <row r="124" spans="2:14" x14ac:dyDescent="0.2">
      <c r="B124" s="7" t="s">
        <v>41</v>
      </c>
      <c r="C124" s="7"/>
      <c r="D124" s="7"/>
      <c r="E124" s="7"/>
      <c r="F124" s="7"/>
      <c r="G124" s="60">
        <f t="shared" ref="G124:L124" si="57">G120/G43</f>
        <v>6</v>
      </c>
      <c r="H124" s="60">
        <f t="shared" ca="1" si="57"/>
        <v>5.2692828307050803</v>
      </c>
      <c r="I124" s="60">
        <f t="shared" ca="1" si="57"/>
        <v>4.5831965528758598</v>
      </c>
      <c r="J124" s="60">
        <f t="shared" ca="1" si="57"/>
        <v>3.9381044195844206</v>
      </c>
      <c r="K124" s="60">
        <f t="shared" ca="1" si="57"/>
        <v>3.3306543309984047</v>
      </c>
      <c r="L124" s="60">
        <f t="shared" ca="1" si="57"/>
        <v>2.7587989702128128</v>
      </c>
    </row>
    <row r="125" spans="2:14" x14ac:dyDescent="0.2">
      <c r="B125" s="7" t="s">
        <v>96</v>
      </c>
      <c r="C125" s="7"/>
      <c r="D125" s="7"/>
      <c r="E125" s="7"/>
      <c r="F125" s="7"/>
      <c r="G125" s="60">
        <f>G122/G43</f>
        <v>5.95</v>
      </c>
      <c r="H125" s="60">
        <f t="shared" ref="H125:L125" ca="1" si="58">H122/H43</f>
        <v>5.2238282852505344</v>
      </c>
      <c r="I125" s="60">
        <f t="shared" ca="1" si="58"/>
        <v>4.5418742388262725</v>
      </c>
      <c r="J125" s="60">
        <f t="shared" ca="1" si="58"/>
        <v>3.9005386795393417</v>
      </c>
      <c r="K125" s="60">
        <f t="shared" ca="1" si="58"/>
        <v>3.2965036582301512</v>
      </c>
      <c r="L125" s="60">
        <f t="shared" ca="1" si="58"/>
        <v>2.7277529040598552</v>
      </c>
    </row>
    <row r="128" spans="2:14" x14ac:dyDescent="0.2">
      <c r="B128" s="2" t="s">
        <v>42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30" spans="2:12" x14ac:dyDescent="0.2">
      <c r="H130" s="45">
        <f>$H$39</f>
        <v>2021</v>
      </c>
      <c r="I130" s="45">
        <f>H130+1</f>
        <v>2022</v>
      </c>
      <c r="J130" s="45">
        <f t="shared" ref="J130:L130" si="59">I130+1</f>
        <v>2023</v>
      </c>
      <c r="K130" s="45">
        <f t="shared" si="59"/>
        <v>2024</v>
      </c>
      <c r="L130" s="45">
        <f t="shared" si="59"/>
        <v>2025</v>
      </c>
    </row>
    <row r="131" spans="2:12" x14ac:dyDescent="0.2">
      <c r="B131" s="6" t="s">
        <v>43</v>
      </c>
      <c r="C131" s="6"/>
      <c r="D131" s="6"/>
      <c r="E131" s="6"/>
      <c r="F131" s="6"/>
      <c r="G131" s="6"/>
      <c r="H131" s="61">
        <f>I43</f>
        <v>121</v>
      </c>
      <c r="I131" s="61">
        <f t="shared" ref="I131:L131" si="60">J43</f>
        <v>133.1</v>
      </c>
      <c r="J131" s="61">
        <f t="shared" si="60"/>
        <v>146.41000000000003</v>
      </c>
      <c r="K131" s="61">
        <f t="shared" si="60"/>
        <v>161.05100000000004</v>
      </c>
      <c r="L131" s="61">
        <f t="shared" si="60"/>
        <v>177.15610000000004</v>
      </c>
    </row>
    <row r="132" spans="2:12" x14ac:dyDescent="0.2">
      <c r="B132" s="1" t="s">
        <v>44</v>
      </c>
      <c r="H132" s="72">
        <f>$F$15</f>
        <v>10</v>
      </c>
      <c r="I132" s="72">
        <f t="shared" ref="I132:L132" si="61">$F$15</f>
        <v>10</v>
      </c>
      <c r="J132" s="72">
        <f t="shared" si="61"/>
        <v>10</v>
      </c>
      <c r="K132" s="72">
        <f t="shared" si="61"/>
        <v>10</v>
      </c>
      <c r="L132" s="72">
        <f t="shared" si="61"/>
        <v>10</v>
      </c>
    </row>
    <row r="133" spans="2:12" x14ac:dyDescent="0.2">
      <c r="B133" s="6" t="s">
        <v>45</v>
      </c>
      <c r="C133" s="5"/>
      <c r="D133" s="5"/>
      <c r="E133" s="5"/>
      <c r="F133" s="5"/>
      <c r="G133" s="5"/>
      <c r="H133" s="38">
        <f>H131*H132</f>
        <v>1210</v>
      </c>
      <c r="I133" s="38">
        <f t="shared" ref="I133:L133" si="62">I131*I132</f>
        <v>1331</v>
      </c>
      <c r="J133" s="38">
        <f t="shared" si="62"/>
        <v>1464.1000000000004</v>
      </c>
      <c r="K133" s="38">
        <f t="shared" si="62"/>
        <v>1610.5100000000004</v>
      </c>
      <c r="L133" s="38">
        <f t="shared" si="62"/>
        <v>1771.5610000000004</v>
      </c>
    </row>
    <row r="134" spans="2:12" x14ac:dyDescent="0.2">
      <c r="B134" s="1" t="s">
        <v>46</v>
      </c>
      <c r="H134" s="36">
        <f ca="1">-(H120-H115)</f>
        <v>-574.6211113775588</v>
      </c>
      <c r="I134" s="36">
        <f t="shared" ref="I134:L134" ca="1" si="63">-(I120-I115)</f>
        <v>-549.56678289797901</v>
      </c>
      <c r="J134" s="36">
        <f t="shared" ca="1" si="63"/>
        <v>-519.16169824668634</v>
      </c>
      <c r="K134" s="36">
        <f t="shared" ca="1" si="63"/>
        <v>-482.64110060147652</v>
      </c>
      <c r="L134" s="36">
        <f t="shared" ca="1" si="63"/>
        <v>-439.30733295174383</v>
      </c>
    </row>
    <row r="135" spans="2:12" x14ac:dyDescent="0.2">
      <c r="B135" s="6" t="s">
        <v>47</v>
      </c>
      <c r="C135" s="5"/>
      <c r="D135" s="5"/>
      <c r="E135" s="5"/>
      <c r="F135" s="5"/>
      <c r="G135" s="5"/>
      <c r="H135" s="24">
        <f ca="1">H133+H134</f>
        <v>635.3788886224412</v>
      </c>
      <c r="I135" s="24">
        <f t="shared" ref="I135:L135" ca="1" si="64">I133+I134</f>
        <v>781.43321710202099</v>
      </c>
      <c r="J135" s="24">
        <f t="shared" ca="1" si="64"/>
        <v>944.93830175331402</v>
      </c>
      <c r="K135" s="24">
        <f t="shared" ca="1" si="64"/>
        <v>1127.8688993985238</v>
      </c>
      <c r="L135" s="24">
        <f t="shared" ca="1" si="64"/>
        <v>1332.2536670482566</v>
      </c>
    </row>
    <row r="137" spans="2:12" x14ac:dyDescent="0.2">
      <c r="G137" s="9">
        <v>44196</v>
      </c>
      <c r="H137" s="9">
        <f>EOMONTH(G137,12)</f>
        <v>44561</v>
      </c>
      <c r="I137" s="9">
        <f t="shared" ref="I137:L137" si="65">EOMONTH(H137,12)</f>
        <v>44926</v>
      </c>
      <c r="J137" s="9">
        <f t="shared" si="65"/>
        <v>45291</v>
      </c>
      <c r="K137" s="9">
        <f t="shared" si="65"/>
        <v>45657</v>
      </c>
      <c r="L137" s="9">
        <f t="shared" si="65"/>
        <v>46022</v>
      </c>
    </row>
    <row r="138" spans="2:12" x14ac:dyDescent="0.2">
      <c r="B138" s="4" t="str">
        <f>H130&amp;" Exit Value"</f>
        <v>2021 Exit Value</v>
      </c>
      <c r="G138" s="51">
        <f>-$F$34</f>
        <v>-527</v>
      </c>
      <c r="H138" s="22">
        <f ca="1">H135</f>
        <v>635.3788886224412</v>
      </c>
    </row>
    <row r="139" spans="2:12" x14ac:dyDescent="0.2">
      <c r="B139" s="4" t="str">
        <f>I130&amp;" Exit Value"</f>
        <v>2022 Exit Value</v>
      </c>
      <c r="G139" s="51">
        <f t="shared" ref="G139:G142" si="66">-$F$34</f>
        <v>-527</v>
      </c>
      <c r="I139" s="22">
        <f ca="1">I135</f>
        <v>781.43321710202099</v>
      </c>
    </row>
    <row r="140" spans="2:12" x14ac:dyDescent="0.2">
      <c r="B140" s="4" t="str">
        <f>J130&amp;" Exit Value"</f>
        <v>2023 Exit Value</v>
      </c>
      <c r="G140" s="51">
        <f t="shared" si="66"/>
        <v>-527</v>
      </c>
      <c r="J140" s="22">
        <f ca="1">J135</f>
        <v>944.93830175331402</v>
      </c>
    </row>
    <row r="141" spans="2:12" x14ac:dyDescent="0.2">
      <c r="B141" s="4" t="str">
        <f>K130&amp;" Exit Value"</f>
        <v>2024 Exit Value</v>
      </c>
      <c r="G141" s="51">
        <f t="shared" si="66"/>
        <v>-527</v>
      </c>
      <c r="K141" s="22">
        <f ca="1">K135</f>
        <v>1127.8688993985238</v>
      </c>
    </row>
    <row r="142" spans="2:12" x14ac:dyDescent="0.2">
      <c r="B142" s="4" t="str">
        <f>L130&amp;" Exit Value"</f>
        <v>2025 Exit Value</v>
      </c>
      <c r="G142" s="51">
        <f t="shared" si="66"/>
        <v>-527</v>
      </c>
      <c r="L142" s="22">
        <f ca="1">L135</f>
        <v>1332.2536670482566</v>
      </c>
    </row>
    <row r="144" spans="2:12" x14ac:dyDescent="0.2">
      <c r="B144" s="64" t="s">
        <v>48</v>
      </c>
      <c r="C144" s="56"/>
      <c r="D144" s="56"/>
      <c r="E144" s="56"/>
      <c r="F144" s="56"/>
      <c r="G144" s="56"/>
      <c r="H144" s="65">
        <f ca="1">XIRR($G138:$L138,$G$137:$L$137)</f>
        <v>0.20565254092216492</v>
      </c>
      <c r="I144" s="65">
        <f ca="1">XIRR($G139:$L139,$G$137:$L$137)</f>
        <v>0.21770089268684387</v>
      </c>
      <c r="J144" s="65">
        <f ca="1">XIRR($G140:$L140,$G$137:$L$137)</f>
        <v>0.21487318873405456</v>
      </c>
      <c r="K144" s="65">
        <f ca="1">XIRR($G141:$L141,$G$137:$L$137)</f>
        <v>0.20935960412025453</v>
      </c>
      <c r="L144" s="66">
        <f ca="1">XIRR($G142:$L142,$G$137:$L$137)</f>
        <v>0.20368028283119202</v>
      </c>
    </row>
    <row r="145" spans="2:14" x14ac:dyDescent="0.2">
      <c r="B145" s="67" t="s">
        <v>49</v>
      </c>
      <c r="C145" s="68"/>
      <c r="D145" s="68"/>
      <c r="E145" s="68"/>
      <c r="F145" s="68"/>
      <c r="G145" s="68"/>
      <c r="H145" s="69">
        <f ca="1">-SUM($H138:$L138)/$G138</f>
        <v>1.2056525400805336</v>
      </c>
      <c r="I145" s="69">
        <f ca="1">-SUM($H139:$L139)/$G139</f>
        <v>1.4827954783719564</v>
      </c>
      <c r="J145" s="69">
        <f ca="1">-SUM($H140:$L140)/$G140</f>
        <v>1.7930518059835181</v>
      </c>
      <c r="K145" s="69">
        <f ca="1">-SUM($H141:$L141)/$G141</f>
        <v>2.1401686895607663</v>
      </c>
      <c r="L145" s="70">
        <f ca="1">-SUM($H142:$L142)/$G142</f>
        <v>2.5279955731465971</v>
      </c>
    </row>
    <row r="148" spans="2:14" x14ac:dyDescent="0.2">
      <c r="B148" s="2" t="s">
        <v>50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51" spans="2:14" x14ac:dyDescent="0.2">
      <c r="B151" s="16"/>
      <c r="C151" s="13" t="s">
        <v>48</v>
      </c>
      <c r="D151" s="14"/>
      <c r="E151" s="14"/>
      <c r="F151" s="14"/>
      <c r="G151" s="15"/>
      <c r="I151" s="16"/>
      <c r="J151" s="13" t="s">
        <v>49</v>
      </c>
      <c r="K151" s="14"/>
      <c r="L151" s="14"/>
      <c r="M151" s="14"/>
      <c r="N151" s="15"/>
    </row>
    <row r="152" spans="2:14" x14ac:dyDescent="0.2">
      <c r="C152" s="10"/>
      <c r="D152" s="10"/>
      <c r="E152" s="10"/>
      <c r="F152" s="10"/>
      <c r="G152" s="10"/>
      <c r="J152" s="10"/>
      <c r="K152" s="10"/>
      <c r="L152" s="10"/>
      <c r="M152" s="10"/>
      <c r="N152" s="10"/>
    </row>
    <row r="153" spans="2:14" x14ac:dyDescent="0.2">
      <c r="B153" s="17" t="s">
        <v>52</v>
      </c>
      <c r="C153" s="12" t="s">
        <v>51</v>
      </c>
      <c r="D153" s="12"/>
      <c r="E153" s="12"/>
      <c r="F153" s="12"/>
      <c r="G153" s="12"/>
      <c r="I153" s="17" t="s">
        <v>52</v>
      </c>
      <c r="J153" s="12" t="s">
        <v>51</v>
      </c>
      <c r="K153" s="12"/>
      <c r="L153" s="12"/>
      <c r="M153" s="12"/>
      <c r="N153" s="12"/>
    </row>
    <row r="154" spans="2:14" x14ac:dyDescent="0.2">
      <c r="B154" s="71">
        <f ca="1">L144</f>
        <v>0.20368028283119202</v>
      </c>
      <c r="C154" s="101">
        <f t="shared" ref="C154" si="67">D154-0.5</f>
        <v>9</v>
      </c>
      <c r="D154" s="101">
        <f>E154-0.5</f>
        <v>9.5</v>
      </c>
      <c r="E154" s="102">
        <v>10</v>
      </c>
      <c r="F154" s="101">
        <f>E154+0.5</f>
        <v>10.5</v>
      </c>
      <c r="G154" s="101">
        <f t="shared" ref="G154" si="68">F154+0.5</f>
        <v>11</v>
      </c>
      <c r="H154" s="11"/>
      <c r="I154" s="71">
        <f ca="1">L145</f>
        <v>2.5279955731465971</v>
      </c>
      <c r="J154" s="101">
        <f t="shared" ref="J154" si="69">K154-0.5</f>
        <v>9</v>
      </c>
      <c r="K154" s="101">
        <f>L154-0.5</f>
        <v>9.5</v>
      </c>
      <c r="L154" s="102">
        <v>10</v>
      </c>
      <c r="M154" s="101">
        <f>L154+0.5</f>
        <v>10.5</v>
      </c>
      <c r="N154" s="101">
        <f t="shared" ref="N154" si="70">M154+0.5</f>
        <v>11</v>
      </c>
    </row>
    <row r="155" spans="2:14" x14ac:dyDescent="0.2">
      <c r="B155" s="25">
        <f t="shared" ref="B155" si="71">B156-0.5</f>
        <v>9</v>
      </c>
      <c r="C155" s="81">
        <v>0.22588028311729427</v>
      </c>
      <c r="D155" s="82">
        <v>0.24411988854408259</v>
      </c>
      <c r="E155" s="82">
        <v>0.26134799122810359</v>
      </c>
      <c r="F155" s="82">
        <v>0.27768266797065733</v>
      </c>
      <c r="G155" s="83">
        <v>0.29322183728218076</v>
      </c>
      <c r="I155" s="25">
        <f t="shared" ref="I155" si="72">I156-0.5</f>
        <v>9</v>
      </c>
      <c r="J155" s="73">
        <v>2.770018146398697</v>
      </c>
      <c r="K155" s="74">
        <v>2.982435532489824</v>
      </c>
      <c r="L155" s="74">
        <v>3.1948529185809509</v>
      </c>
      <c r="M155" s="74">
        <v>3.4072703046720783</v>
      </c>
      <c r="N155" s="75">
        <v>3.6196876907632052</v>
      </c>
    </row>
    <row r="156" spans="2:14" x14ac:dyDescent="0.2">
      <c r="B156" s="25">
        <f>B157-0.5</f>
        <v>9.5</v>
      </c>
      <c r="C156" s="84">
        <v>0.19589421153068545</v>
      </c>
      <c r="D156" s="91">
        <v>0.21368766427040101</v>
      </c>
      <c r="E156" s="91">
        <v>0.23049436211586002</v>
      </c>
      <c r="F156" s="91">
        <v>0.24642947316169742</v>
      </c>
      <c r="G156" s="85">
        <v>0.26158853173255925</v>
      </c>
      <c r="I156" s="25">
        <f>I157-0.5</f>
        <v>9.5</v>
      </c>
      <c r="J156" s="76">
        <v>2.447240608153086</v>
      </c>
      <c r="K156" s="92">
        <v>2.6349059683225775</v>
      </c>
      <c r="L156" s="92">
        <v>2.822571328492069</v>
      </c>
      <c r="M156" s="92">
        <v>3.0102366886615606</v>
      </c>
      <c r="N156" s="77">
        <v>3.1979020488310521</v>
      </c>
    </row>
    <row r="157" spans="2:14" x14ac:dyDescent="0.2">
      <c r="B157" s="3">
        <v>10</v>
      </c>
      <c r="C157" s="84">
        <f t="dataTable" ref="C157:G159" dt2D="1" dtr="1" r1="F15" r2="F8"/>
        <v>9.5</v>
      </c>
      <c r="D157" s="91">
        <v>9.5</v>
      </c>
      <c r="E157" s="91">
        <v>9.5</v>
      </c>
      <c r="F157" s="91">
        <v>9.5</v>
      </c>
      <c r="G157" s="85">
        <v>9.5</v>
      </c>
      <c r="I157" s="3">
        <v>10</v>
      </c>
      <c r="J157" s="76">
        <f t="dataTable" ref="J157:N159" dt2D="1" dtr="1" r1="F15" r2="F8"/>
        <v>9.5</v>
      </c>
      <c r="K157" s="92">
        <v>9.5</v>
      </c>
      <c r="L157" s="92">
        <v>9.5</v>
      </c>
      <c r="M157" s="92">
        <v>9.5</v>
      </c>
      <c r="N157" s="77">
        <v>9.5</v>
      </c>
    </row>
    <row r="158" spans="2:14" x14ac:dyDescent="0.2">
      <c r="B158" s="25">
        <f t="shared" ref="B158:B159" si="73">B157+0.5</f>
        <v>10.5</v>
      </c>
      <c r="C158" s="84">
        <v>9.5</v>
      </c>
      <c r="D158" s="91">
        <v>9.5</v>
      </c>
      <c r="E158" s="91">
        <v>9.5</v>
      </c>
      <c r="F158" s="91">
        <v>9.5</v>
      </c>
      <c r="G158" s="85">
        <v>9.5</v>
      </c>
      <c r="I158" s="25">
        <f t="shared" ref="I158:I159" si="74">I157+0.5</f>
        <v>10.5</v>
      </c>
      <c r="J158" s="76">
        <v>9.5</v>
      </c>
      <c r="K158" s="92">
        <v>9.5</v>
      </c>
      <c r="L158" s="92">
        <v>9.5</v>
      </c>
      <c r="M158" s="92">
        <v>9.5</v>
      </c>
      <c r="N158" s="77">
        <v>9.5</v>
      </c>
    </row>
    <row r="159" spans="2:14" x14ac:dyDescent="0.2">
      <c r="B159" s="25">
        <f t="shared" si="73"/>
        <v>11</v>
      </c>
      <c r="C159" s="86">
        <v>9.5</v>
      </c>
      <c r="D159" s="87">
        <v>9.5</v>
      </c>
      <c r="E159" s="87">
        <v>9.5</v>
      </c>
      <c r="F159" s="87">
        <v>9.5</v>
      </c>
      <c r="G159" s="88">
        <v>9.5</v>
      </c>
      <c r="I159" s="25">
        <f t="shared" si="74"/>
        <v>11</v>
      </c>
      <c r="J159" s="78">
        <v>9.5</v>
      </c>
      <c r="K159" s="79">
        <v>9.5</v>
      </c>
      <c r="L159" s="79">
        <v>9.5</v>
      </c>
      <c r="M159" s="79">
        <v>9.5</v>
      </c>
      <c r="N159" s="80">
        <v>9.5</v>
      </c>
    </row>
  </sheetData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LBO Model</vt:lpstr>
      <vt:lpstr>circ</vt:lpstr>
      <vt:lpstr>'LBO 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2026-01-31T00:04:33Z</dcterms:created>
  <dcterms:modified xsi:type="dcterms:W3CDTF">2026-01-31T00:05:02Z</dcterms:modified>
</cp:coreProperties>
</file>